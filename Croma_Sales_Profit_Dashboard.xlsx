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Tejas Data Analyst\Project 2\"/>
    </mc:Choice>
  </mc:AlternateContent>
  <xr:revisionPtr revIDLastSave="0" documentId="13_ncr:1_{2221C1BC-0ED3-4E21-87FB-17A1A17B8ACB}" xr6:coauthVersionLast="47" xr6:coauthVersionMax="47" xr10:uidLastSave="{00000000-0000-0000-0000-000000000000}"/>
  <bookViews>
    <workbookView xWindow="-108" yWindow="-108" windowWidth="23256" windowHeight="12456" activeTab="2" xr2:uid="{00000000-000D-0000-FFFF-FFFF00000000}"/>
  </bookViews>
  <sheets>
    <sheet name="Sales Data" sheetId="1" r:id="rId1"/>
    <sheet name="Pivot Table" sheetId="3" r:id="rId2"/>
    <sheet name="Dashboard" sheetId="4" r:id="rId3"/>
    <sheet name="Read Me" sheetId="2" r:id="rId4"/>
  </sheets>
  <definedNames>
    <definedName name="_xlnm._FilterDatabase" localSheetId="0" hidden="1">'Sales Data'!$A$1:$L$2001</definedName>
    <definedName name="_xlchart.v5.0" hidden="1">'Pivot Table'!$AA$3</definedName>
    <definedName name="_xlchart.v5.1" hidden="1">'Pivot Table'!$AA$4:$AA$18</definedName>
    <definedName name="_xlchart.v5.2" hidden="1">'Pivot Table'!$AB$3</definedName>
    <definedName name="_xlchart.v5.3" hidden="1">'Pivot Table'!$AB$4:$AB$18</definedName>
    <definedName name="Slicer_Category">#N/A</definedName>
    <definedName name="Slicer_Month">#N/A</definedName>
    <definedName name="Slicer_Year">#N/A</definedName>
  </definedNames>
  <calcPr calcId="191029"/>
  <pivotCaches>
    <pivotCache cacheId="75" r:id="rId5"/>
    <pivotCache cacheId="8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5" i="3" l="1"/>
  <c r="AB6" i="3"/>
  <c r="AB7" i="3"/>
  <c r="AB8" i="3"/>
  <c r="AB9" i="3"/>
  <c r="AB10" i="3"/>
  <c r="AB11" i="3"/>
  <c r="AB12" i="3"/>
  <c r="AB13" i="3"/>
  <c r="AB14" i="3"/>
  <c r="AB15" i="3"/>
  <c r="AB16" i="3"/>
  <c r="AB17" i="3"/>
  <c r="AB18" i="3"/>
  <c r="AB4" i="3"/>
  <c r="O5" i="3"/>
  <c r="O6" i="3"/>
  <c r="O7" i="3"/>
  <c r="O8" i="3"/>
  <c r="O9" i="3"/>
  <c r="O10" i="3"/>
  <c r="O11" i="3"/>
  <c r="O12" i="3"/>
  <c r="O13" i="3"/>
  <c r="O14" i="3"/>
  <c r="O15" i="3"/>
  <c r="O4" i="3"/>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L2" i="1"/>
  <c r="K2" i="1"/>
  <c r="P4" i="3"/>
  <c r="P10" i="3"/>
  <c r="P8" i="3"/>
  <c r="P15" i="3"/>
  <c r="A13" i="3"/>
  <c r="P13" i="3"/>
  <c r="P5" i="3"/>
  <c r="P12" i="3"/>
  <c r="P11" i="3"/>
  <c r="P9" i="3"/>
  <c r="P6" i="3"/>
  <c r="A12" i="3"/>
  <c r="P7" i="3"/>
  <c r="P14" i="3"/>
</calcChain>
</file>

<file path=xl/sharedStrings.xml><?xml version="1.0" encoding="utf-8"?>
<sst xmlns="http://schemas.openxmlformats.org/spreadsheetml/2006/main" count="12229" uniqueCount="157">
  <si>
    <t>Order Date</t>
  </si>
  <si>
    <t>Customer Name</t>
  </si>
  <si>
    <t>State</t>
  </si>
  <si>
    <t>Category</t>
  </si>
  <si>
    <t>Sub-Category</t>
  </si>
  <si>
    <t>Product Name</t>
  </si>
  <si>
    <t>Sales</t>
  </si>
  <si>
    <t>Quantity</t>
  </si>
  <si>
    <t>Profit</t>
  </si>
  <si>
    <t>Month</t>
  </si>
  <si>
    <t>Year</t>
  </si>
  <si>
    <t>Neha Desai</t>
  </si>
  <si>
    <t>Telangana</t>
  </si>
  <si>
    <t>Mobiles &amp; Accessories</t>
  </si>
  <si>
    <t>Mobile Accessories</t>
  </si>
  <si>
    <t>Portronics Power Bank 20000mAh</t>
  </si>
  <si>
    <t>Akash Menon</t>
  </si>
  <si>
    <t>Uttar Pradesh</t>
  </si>
  <si>
    <t>Computers &amp; Accessories</t>
  </si>
  <si>
    <t>Laptops</t>
  </si>
  <si>
    <t>Lenovo IdeaPad Slim 5</t>
  </si>
  <si>
    <t>Pooja Iyer</t>
  </si>
  <si>
    <t>Goa</t>
  </si>
  <si>
    <t>Smartphones</t>
  </si>
  <si>
    <t>OnePlus 12</t>
  </si>
  <si>
    <t>Ananya Patel</t>
  </si>
  <si>
    <t>TVs &amp; Entertainment</t>
  </si>
  <si>
    <t>Audio</t>
  </si>
  <si>
    <t>Sony Bluetooth Soundbar</t>
  </si>
  <si>
    <t>Aditi Shah</t>
  </si>
  <si>
    <t>Gujarat</t>
  </si>
  <si>
    <t>Sony Wireless Headphones</t>
  </si>
  <si>
    <t>Sneha Joshi</t>
  </si>
  <si>
    <t>Dell Inspiron 15 Laptop</t>
  </si>
  <si>
    <t>Tanvi Malhotra</t>
  </si>
  <si>
    <t>Home Appliances</t>
  </si>
  <si>
    <t>Washing Machines</t>
  </si>
  <si>
    <t>LG 7kg Fully Automatic Washing Machine</t>
  </si>
  <si>
    <t>Priya Nair</t>
  </si>
  <si>
    <t>Madhya Pradesh</t>
  </si>
  <si>
    <t>Computer Accessories</t>
  </si>
  <si>
    <t>Dell 27 inch Monitor</t>
  </si>
  <si>
    <t>Small Appliances</t>
  </si>
  <si>
    <t>Home Care</t>
  </si>
  <si>
    <t>Philips Air Purifier</t>
  </si>
  <si>
    <t>Riya Choudhary</t>
  </si>
  <si>
    <t>Kerala</t>
  </si>
  <si>
    <t>Samsung Galaxy S24</t>
  </si>
  <si>
    <t>Arjun Rao</t>
  </si>
  <si>
    <t>Haryana</t>
  </si>
  <si>
    <t>Kitchen Appliances</t>
  </si>
  <si>
    <t>Philips Air Fryer</t>
  </si>
  <si>
    <t>Yash Patil</t>
  </si>
  <si>
    <t>Televisions</t>
  </si>
  <si>
    <t>TCL 50 inch 4K Smart TV</t>
  </si>
  <si>
    <t>Vikram Shah</t>
  </si>
  <si>
    <t>Andhra Pradesh</t>
  </si>
  <si>
    <t>boAt Wireless Earphones</t>
  </si>
  <si>
    <t>Rajasthan</t>
  </si>
  <si>
    <t>ASUS Vivobook 15</t>
  </si>
  <si>
    <t>Ishita Gupta</t>
  </si>
  <si>
    <t>Karnataka</t>
  </si>
  <si>
    <t>Delhi</t>
  </si>
  <si>
    <t>Refrigerators</t>
  </si>
  <si>
    <t>Samsung 253L Refrigerator</t>
  </si>
  <si>
    <t>Divya Sinha</t>
  </si>
  <si>
    <t>Maharashtra</t>
  </si>
  <si>
    <t>Nikhil Jain</t>
  </si>
  <si>
    <t>West Bengal</t>
  </si>
  <si>
    <t>Punjab</t>
  </si>
  <si>
    <t>JBL Bluetooth Earbuds</t>
  </si>
  <si>
    <t>Rahul Verma</t>
  </si>
  <si>
    <t>HP Pavilion 15 Laptop</t>
  </si>
  <si>
    <t>Simran Kaur</t>
  </si>
  <si>
    <t>Karan Singh</t>
  </si>
  <si>
    <t>Air Conditioners</t>
  </si>
  <si>
    <t>LG 1.5 Ton 5 Star Split AC</t>
  </si>
  <si>
    <t>Samsung Galaxy A55</t>
  </si>
  <si>
    <t>Kavya Reddy</t>
  </si>
  <si>
    <t>Apple iPhone 15</t>
  </si>
  <si>
    <t>Siddharth Das</t>
  </si>
  <si>
    <t>Tamil Nadu</t>
  </si>
  <si>
    <t>JBL 5.1 Soundbar</t>
  </si>
  <si>
    <t>Nandini Pillai</t>
  </si>
  <si>
    <t>IFB 7kg Front Load Washing Machine</t>
  </si>
  <si>
    <t>Nothing Phone 2</t>
  </si>
  <si>
    <t>Aarav Sharma</t>
  </si>
  <si>
    <t>Eureka Forbes Vacuum Cleaner</t>
  </si>
  <si>
    <t>Samsung 25W Charger</t>
  </si>
  <si>
    <t>Dyson V8 Vacuum Cleaner</t>
  </si>
  <si>
    <t>Personal Care</t>
  </si>
  <si>
    <t>Philips Hair Dryer</t>
  </si>
  <si>
    <t>Saurabh Mishra</t>
  </si>
  <si>
    <t>Shreya Banerjee</t>
  </si>
  <si>
    <t>boAt Home Theatre System</t>
  </si>
  <si>
    <t>Manish Bansal</t>
  </si>
  <si>
    <t>Samsung 55 inch 4K Smart TV</t>
  </si>
  <si>
    <t>Philips Trimmer</t>
  </si>
  <si>
    <t>OnePlus 43 inch 4K Smart TV</t>
  </si>
  <si>
    <t>Samsung 8kg Front Load Washing Machine</t>
  </si>
  <si>
    <t>LG 55 inch OLED Smart TV</t>
  </si>
  <si>
    <t>Harsh Vora</t>
  </si>
  <si>
    <t>Logitech Wireless Mouse</t>
  </si>
  <si>
    <t>Aditya Kulkarni</t>
  </si>
  <si>
    <t>Sony 55 inch Bravia 4K TV</t>
  </si>
  <si>
    <t>Logitech Wireless Keyboard</t>
  </si>
  <si>
    <t>Apple MacBook Air M2</t>
  </si>
  <si>
    <t>Voltas 1.5 Ton Split AC</t>
  </si>
  <si>
    <t>Google Pixel 8</t>
  </si>
  <si>
    <t>Meera Kapoor</t>
  </si>
  <si>
    <t>Daikin 1.5 Ton Inverter AC</t>
  </si>
  <si>
    <t>Apple 20W USB-C Power Adapter</t>
  </si>
  <si>
    <t>LG 260L Double Door Refrigerator</t>
  </si>
  <si>
    <t>Rohan Mehta</t>
  </si>
  <si>
    <t>Whirlpool 265L Frost Free Refrigerator</t>
  </si>
  <si>
    <t>HP 24 inch Monitor</t>
  </si>
  <si>
    <t>Abhishek Roy</t>
  </si>
  <si>
    <t>TP-Link Wi-Fi Router</t>
  </si>
  <si>
    <t>Morphy Richards OTG</t>
  </si>
  <si>
    <t>Prestige Induction Cooktop</t>
  </si>
  <si>
    <t>Braun Electric Shaver</t>
  </si>
  <si>
    <t>Bajaj Mixer Grinder</t>
  </si>
  <si>
    <t>Croma Sales &amp; Profit Dashboard – Dataset</t>
  </si>
  <si>
    <t>Purpose</t>
  </si>
  <si>
    <t>Croma-style simulated electronics retail sales data for an Excel Sales &amp; Profit Dashboard.</t>
  </si>
  <si>
    <t>Rows</t>
  </si>
  <si>
    <t>Period</t>
  </si>
  <si>
    <t>2023–2026 (2026 data through August 30)</t>
  </si>
  <si>
    <t>Important</t>
  </si>
  <si>
    <t>This is simulated portfolio data, not Croma's confidential/internal data.</t>
  </si>
  <si>
    <t>Sum of Sales</t>
  </si>
  <si>
    <t>Sum of Profit</t>
  </si>
  <si>
    <t>Total Sales</t>
  </si>
  <si>
    <t>Total Profit</t>
  </si>
  <si>
    <t>Row Labels</t>
  </si>
  <si>
    <t>Grand Total</t>
  </si>
  <si>
    <t>Sales by Sub-Category</t>
  </si>
  <si>
    <t>Count of Customer Name</t>
  </si>
  <si>
    <t>Custome Count by Year</t>
  </si>
  <si>
    <t>Sales by State</t>
  </si>
  <si>
    <t>Top 5 Customer Profit</t>
  </si>
  <si>
    <t>Sales by Month</t>
  </si>
  <si>
    <t>January</t>
  </si>
  <si>
    <t>February</t>
  </si>
  <si>
    <t>March</t>
  </si>
  <si>
    <t>April</t>
  </si>
  <si>
    <t>May</t>
  </si>
  <si>
    <t>June</t>
  </si>
  <si>
    <t>July</t>
  </si>
  <si>
    <t>August</t>
  </si>
  <si>
    <t>September</t>
  </si>
  <si>
    <t>October</t>
  </si>
  <si>
    <t>November</t>
  </si>
  <si>
    <t>December</t>
  </si>
  <si>
    <t xml:space="preserve">Profit by Year </t>
  </si>
  <si>
    <t>Country</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</si>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</sst>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dd\-mm\-yy"/>
    <numFmt numFmtId="165" formatCode="yyyy\-mm\-dd"/>
    <numFmt numFmtId="166" formatCode="&quot;₹&quot;#,#00,\ \K"/>
    <numFmt numFmtId="168" formatCode="\ \ \ &quot;₹&quot;0.0,,&quot;M&quot;"/>
  </numFmts>
  <fonts count="4" x14ac:knownFonts="1">
    <font>
      <sz val="11"/>
      <color theme="1"/>
      <name val="Calibri"/>
      <family val="2"/>
      <scheme val="minor"/>
    </font>
    <font>
      <b/>
      <sz val="11"/>
      <color rgb="FFFFFFFF"/>
      <name val="Calibri"/>
      <family val="2"/>
    </font>
    <font>
      <b/>
      <sz val="16"/>
      <name val="Calibri"/>
      <family val="2"/>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0" xfId="0" applyFont="1" applyFill="1" applyAlignment="1">
      <alignment horizontal="center"/>
    </xf>
    <xf numFmtId="164" fontId="0" fillId="0" borderId="0" xfId="0" applyNumberFormat="1"/>
    <xf numFmtId="4" fontId="0" fillId="0" borderId="0" xfId="0" applyNumberFormat="1"/>
    <xf numFmtId="1" fontId="0" fillId="0" borderId="0" xfId="0" applyNumberFormat="1"/>
    <xf numFmtId="0" fontId="2"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1" xfId="0" applyBorder="1"/>
    <xf numFmtId="0" fontId="3" fillId="3" borderId="1" xfId="0" applyFont="1" applyFill="1" applyBorder="1" applyAlignment="1">
      <alignment horizontal="center"/>
    </xf>
    <xf numFmtId="0" fontId="3" fillId="0" borderId="0" xfId="0" applyFont="1"/>
    <xf numFmtId="44" fontId="0" fillId="0" borderId="1" xfId="0" applyNumberFormat="1" applyBorder="1"/>
    <xf numFmtId="0" fontId="0" fillId="0" borderId="0" xfId="0" applyAlignment="1">
      <alignment horizontal="left" indent="1"/>
    </xf>
    <xf numFmtId="166" fontId="0" fillId="0" borderId="0" xfId="0" applyNumberFormat="1"/>
    <xf numFmtId="0" fontId="3" fillId="3" borderId="0" xfId="0" applyFont="1" applyFill="1" applyAlignment="1">
      <alignment horizontal="center"/>
    </xf>
    <xf numFmtId="168" fontId="0" fillId="0" borderId="0" xfId="0" applyNumberFormat="1"/>
    <xf numFmtId="0" fontId="0" fillId="0" borderId="0" xfId="0" applyNumberFormat="1"/>
  </cellXfs>
  <cellStyles count="1">
    <cellStyle name="Normal" xfId="0" builtinId="0"/>
  </cellStyles>
  <dxfs count="7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0" formatCode="General"/>
    </dxf>
    <dxf>
      <numFmt numFmtId="166" formatCode="&quot;₹&quot;#,#00,\ \K"/>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0" formatCode="General"/>
    </dxf>
    <dxf>
      <numFmt numFmtId="166" formatCode="&quot;₹&quot;#,#00,\ \K"/>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0" formatCode="General"/>
    </dxf>
    <dxf>
      <numFmt numFmtId="166" formatCode="&quot;₹&quot;#,#00,\ \K"/>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0" formatCode="General"/>
    </dxf>
    <dxf>
      <numFmt numFmtId="166" formatCode="&quot;₹&quot;#,#00,\ \K"/>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0" formatCode="General"/>
    </dxf>
    <dxf>
      <numFmt numFmtId="166" formatCode="&quot;₹&quot;#,#00,\ \K"/>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0" formatCode="General"/>
    </dxf>
    <dxf>
      <numFmt numFmtId="166" formatCode="&quot;₹&quot;#,#00,\ \K"/>
    </dxf>
    <dxf>
      <numFmt numFmtId="166" formatCode="&quot;₹&quot;#,#00,\ \K"/>
    </dxf>
    <dxf>
      <numFmt numFmtId="0" formatCode="General"/>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rgb="FFFFFFFF"/>
      </font>
      <fill>
        <patternFill>
          <bgColor rgb="FF003B5C"/>
        </patternFill>
      </fill>
    </dxf>
    <dxf>
      <font>
        <color rgb="FF003B5C"/>
      </font>
      <fill>
        <patternFill>
          <bgColor rgb="FFDCEFF3"/>
        </patternFill>
      </fill>
    </dxf>
  </dxfs>
  <tableStyles count="1" defaultTableStyle="TableStyleMedium9" defaultPivotStyle="PivotStyleLight16">
    <tableStyle name="croma slicer style" pivot="0" table="0" count="4" xr9:uid="{F30FA1ED-42CD-493B-82F0-A097E861EDB5}">
      <tableStyleElement type="wholeTable" dxfId="71"/>
      <tableStyleElement type="headerRow" dxfId="70"/>
    </tableStyle>
  </tableStyles>
  <colors>
    <mruColors>
      <color rgb="FFDCEFF3"/>
      <color rgb="FFF3F8FA"/>
      <color rgb="FFFFFFFF"/>
      <color rgb="FF003B5C"/>
      <color rgb="FF00A6A6"/>
    </mruColors>
  </colors>
  <extLst>
    <ext xmlns:x14="http://schemas.microsoft.com/office/spreadsheetml/2009/9/main" uri="{46F421CA-312F-682f-3DD2-61675219B42D}">
      <x14:dxfs count="2">
        <dxf>
          <font>
            <b/>
            <i val="0"/>
            <color rgb="FFFFFFFF"/>
          </font>
          <fill>
            <patternFill>
              <bgColor rgb="FF00A6A6"/>
            </patternFill>
          </fill>
        </dxf>
        <dxf>
          <font>
            <color rgb="FF003B5C"/>
          </font>
          <fill>
            <patternFill>
              <bgColor rgb="FFDCEFF3"/>
            </patternFill>
          </fill>
        </dxf>
      </x14:dxfs>
    </ext>
    <ext xmlns:x14="http://schemas.microsoft.com/office/spreadsheetml/2009/9/main" uri="{EB79DEF2-80B8-43e5-95BD-54CBDDF9020C}">
      <x14:slicerStyles defaultSlicerStyle="croma slicer style">
        <x14:slicerStyle name="croma slicer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[Croma_Sales_Profit_Dashboard.xlsx]Pivot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a:solidFill>
                  <a:srgbClr val="003B5C"/>
                </a:solidFill>
              </a:rPr>
              <a:t>PROFIT</a:t>
            </a:r>
            <a:r>
              <a:rPr lang="en-IN" sz="1500" b="1" baseline="0">
                <a:solidFill>
                  <a:srgbClr val="003B5C"/>
                </a:solidFill>
              </a:rPr>
              <a:t> BY YEAR</a:t>
            </a:r>
            <a:endParaRPr lang="en-IN" sz="1500" b="1">
              <a:solidFill>
                <a:srgbClr val="003B5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A6A6"/>
          </a:solidFill>
          <a:ln>
            <a:noFill/>
          </a:ln>
          <a:effectLst/>
        </c:spPr>
        <c:marker>
          <c:symbol val="none"/>
        </c:marker>
        <c:dLbl>
          <c:idx val="0"/>
          <c:numFmt formatCode="\ \ \ &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6A6"/>
          </a:solidFill>
          <a:ln>
            <a:noFill/>
          </a:ln>
          <a:effectLst/>
        </c:spPr>
        <c:dLbl>
          <c:idx val="0"/>
          <c:layout>
            <c:manualLayout>
              <c:x val="-8.6131187262352265E-17"/>
              <c:y val="-3.4865780471868529E-2"/>
            </c:manualLayout>
          </c:layout>
          <c:numFmt formatCode="\ \ \ &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6A6"/>
          </a:solidFill>
          <a:ln>
            <a:noFill/>
          </a:ln>
          <a:effectLst/>
        </c:spPr>
        <c:dLbl>
          <c:idx val="0"/>
          <c:layout>
            <c:manualLayout>
              <c:x val="0"/>
              <c:y val="-5.8109634119781952E-3"/>
            </c:manualLayout>
          </c:layout>
          <c:numFmt formatCode="\ \ \ &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c:f>
              <c:strCache>
                <c:ptCount val="1"/>
                <c:pt idx="0">
                  <c:v>Total</c:v>
                </c:pt>
              </c:strCache>
            </c:strRef>
          </c:tx>
          <c:spPr>
            <a:solidFill>
              <a:srgbClr val="00A6A6"/>
            </a:solidFill>
            <a:ln>
              <a:noFill/>
            </a:ln>
            <a:effectLst/>
          </c:spPr>
          <c:invertIfNegative val="0"/>
          <c:dPt>
            <c:idx val="2"/>
            <c:invertIfNegative val="0"/>
            <c:bubble3D val="0"/>
            <c:spPr>
              <a:solidFill>
                <a:srgbClr val="00A6A6"/>
              </a:solidFill>
              <a:ln>
                <a:noFill/>
              </a:ln>
              <a:effectLst/>
            </c:spPr>
            <c:extLst>
              <c:ext xmlns:c16="http://schemas.microsoft.com/office/drawing/2014/chart" uri="{C3380CC4-5D6E-409C-BE32-E72D297353CC}">
                <c16:uniqueId val="{00000001-4F86-4438-BB91-F71D2DA13918}"/>
              </c:ext>
            </c:extLst>
          </c:dPt>
          <c:dPt>
            <c:idx val="3"/>
            <c:invertIfNegative val="0"/>
            <c:bubble3D val="0"/>
            <c:spPr>
              <a:solidFill>
                <a:srgbClr val="00A6A6"/>
              </a:solidFill>
              <a:ln>
                <a:noFill/>
              </a:ln>
              <a:effectLst/>
            </c:spPr>
            <c:extLst>
              <c:ext xmlns:c16="http://schemas.microsoft.com/office/drawing/2014/chart" uri="{C3380CC4-5D6E-409C-BE32-E72D297353CC}">
                <c16:uniqueId val="{00000000-4F86-4438-BB91-F71D2DA13918}"/>
              </c:ext>
            </c:extLst>
          </c:dPt>
          <c:dLbls>
            <c:dLbl>
              <c:idx val="2"/>
              <c:layout>
                <c:manualLayout>
                  <c:x val="0"/>
                  <c:y val="-5.81096341197819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86-4438-BB91-F71D2DA13918}"/>
                </c:ext>
              </c:extLst>
            </c:dLbl>
            <c:dLbl>
              <c:idx val="3"/>
              <c:layout>
                <c:manualLayout>
                  <c:x val="-8.6131187262352265E-17"/>
                  <c:y val="-3.48657804718685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86-4438-BB91-F71D2DA13918}"/>
                </c:ext>
              </c:extLst>
            </c:dLbl>
            <c:numFmt formatCode="\ \ \ &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2023</c:v>
                </c:pt>
                <c:pt idx="1">
                  <c:v>2024</c:v>
                </c:pt>
                <c:pt idx="2">
                  <c:v>2025</c:v>
                </c:pt>
                <c:pt idx="3">
                  <c:v>2026</c:v>
                </c:pt>
              </c:strCache>
            </c:strRef>
          </c:cat>
          <c:val>
            <c:numRef>
              <c:f>'Pivot Table'!$D$4:$D$8</c:f>
              <c:numCache>
                <c:formatCode>General</c:formatCode>
                <c:ptCount val="4"/>
                <c:pt idx="0">
                  <c:v>3403602.7900000014</c:v>
                </c:pt>
                <c:pt idx="1">
                  <c:v>3169428.4000000022</c:v>
                </c:pt>
                <c:pt idx="2">
                  <c:v>3022157.5400000005</c:v>
                </c:pt>
                <c:pt idx="3">
                  <c:v>3519300.9799999986</c:v>
                </c:pt>
              </c:numCache>
            </c:numRef>
          </c:val>
          <c:extLst>
            <c:ext xmlns:c16="http://schemas.microsoft.com/office/drawing/2014/chart" uri="{C3380CC4-5D6E-409C-BE32-E72D297353CC}">
              <c16:uniqueId val="{00000000-32CE-4CA7-A8A2-4E868F92073E}"/>
            </c:ext>
          </c:extLst>
        </c:ser>
        <c:dLbls>
          <c:dLblPos val="outEnd"/>
          <c:showLegendKey val="0"/>
          <c:showVal val="1"/>
          <c:showCatName val="0"/>
          <c:showSerName val="0"/>
          <c:showPercent val="0"/>
          <c:showBubbleSize val="0"/>
        </c:dLbls>
        <c:gapWidth val="219"/>
        <c:overlap val="-27"/>
        <c:axId val="1425931343"/>
        <c:axId val="1425929423"/>
      </c:barChart>
      <c:catAx>
        <c:axId val="1425931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929423"/>
        <c:crosses val="autoZero"/>
        <c:auto val="1"/>
        <c:lblAlgn val="ctr"/>
        <c:lblOffset val="100"/>
        <c:noMultiLvlLbl val="0"/>
      </c:catAx>
      <c:valAx>
        <c:axId val="14259294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2593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[Croma_Sales_Profit_Dashboard.xlsx]Pivot Table!PivotTable5</c:name>
    <c:fmtId val="10"/>
  </c:pivotSource>
  <c:chart>
    <c:title>
      <c:tx>
        <c:rich>
          <a:bodyPr rot="0" spcFirstLastPara="1" vertOverflow="ellipsis" vert="horz" wrap="square" anchor="ctr" anchorCtr="1"/>
          <a:lstStyle/>
          <a:p>
            <a:pPr>
              <a:defRPr lang="en-US" sz="1500" b="0" i="0" u="none" strike="noStrike" kern="1200" spc="0" baseline="0">
                <a:solidFill>
                  <a:srgbClr val="003B5C"/>
                </a:solidFill>
                <a:latin typeface="Calibri"/>
                <a:ea typeface="Calibri" panose="020F0502020204030204" pitchFamily="34" charset="0"/>
                <a:cs typeface="Calibri" panose="020F0502020204030204" pitchFamily="34" charset="0"/>
              </a:defRPr>
            </a:pPr>
            <a:r>
              <a:rPr lang="en-IN" sz="1500" b="1" i="0" u="none" strike="noStrike" baseline="0"/>
              <a:t>CUSTOMER RECORDS BY YEAR</a:t>
            </a:r>
            <a:endParaRPr lang="en-US" sz="1500" b="1">
              <a:solidFill>
                <a:srgbClr val="003B5C"/>
              </a:solidFill>
            </a:endParaRPr>
          </a:p>
        </c:rich>
      </c:tx>
      <c:overlay val="0"/>
      <c:spPr>
        <a:noFill/>
        <a:ln>
          <a:noFill/>
        </a:ln>
        <a:effectLst/>
      </c:spPr>
      <c:txPr>
        <a:bodyPr rot="0" spcFirstLastPara="1" vertOverflow="ellipsis" vert="horz" wrap="square" anchor="ctr" anchorCtr="1"/>
        <a:lstStyle/>
        <a:p>
          <a:pPr>
            <a:defRPr lang="en-US" sz="1500" b="0" i="0" u="none" strike="noStrike" kern="1200" spc="0" baseline="0">
              <a:solidFill>
                <a:srgbClr val="003B5C"/>
              </a:solidFill>
              <a:latin typeface="Calibri"/>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11111111111110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6.6666666666666666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777777777777777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8.8888888888888892E-2"/>
              <c:y val="2.3148148148148147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111111111111110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888888888888892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777777777777777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666666666666666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rgbClr val="003B5C"/>
                  </a:solidFill>
                  <a:latin typeface="Calibri"/>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55555555555556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rgbClr val="003B5C"/>
                  </a:solidFill>
                  <a:latin typeface="Calibri"/>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888888888888889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rgbClr val="003B5C"/>
                  </a:solidFill>
                  <a:latin typeface="Calibri"/>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3333333333333356E-2"/>
              <c:y val="0.10185185185185168"/>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rgbClr val="003B5C"/>
                  </a:solidFill>
                  <a:latin typeface="Calibri"/>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333333333333329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rgbClr val="003B5C"/>
                  </a:solidFill>
                  <a:latin typeface="Calibri"/>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B5-450B-9153-BE77BDEB60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B5-450B-9153-BE77BDEB60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B5-450B-9153-BE77BDEB60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B5-450B-9153-BE77BDEB603A}"/>
              </c:ext>
            </c:extLst>
          </c:dPt>
          <c:dLbls>
            <c:dLbl>
              <c:idx val="0"/>
              <c:layout>
                <c:manualLayout>
                  <c:x val="8.055555555555556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B5-450B-9153-BE77BDEB603A}"/>
                </c:ext>
              </c:extLst>
            </c:dLbl>
            <c:dLbl>
              <c:idx val="1"/>
              <c:layout>
                <c:manualLayout>
                  <c:x val="8.888888888888889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B5-450B-9153-BE77BDEB603A}"/>
                </c:ext>
              </c:extLst>
            </c:dLbl>
            <c:dLbl>
              <c:idx val="2"/>
              <c:layout>
                <c:manualLayout>
                  <c:x val="-8.3333333333333356E-2"/>
                  <c:y val="0.101851851851851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B5-450B-9153-BE77BDEB603A}"/>
                </c:ext>
              </c:extLst>
            </c:dLbl>
            <c:dLbl>
              <c:idx val="3"/>
              <c:layout>
                <c:manualLayout>
                  <c:x val="-8.3333333333333329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B5-450B-9153-BE77BDEB603A}"/>
                </c:ext>
              </c:extLst>
            </c:dLbl>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rgbClr val="003B5C"/>
                    </a:solidFill>
                    <a:latin typeface="Calibri"/>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Table'!$U$4:$U$8</c:f>
              <c:strCache>
                <c:ptCount val="4"/>
                <c:pt idx="0">
                  <c:v>2023</c:v>
                </c:pt>
                <c:pt idx="1">
                  <c:v>2024</c:v>
                </c:pt>
                <c:pt idx="2">
                  <c:v>2025</c:v>
                </c:pt>
                <c:pt idx="3">
                  <c:v>2026</c:v>
                </c:pt>
              </c:strCache>
            </c:strRef>
          </c:cat>
          <c:val>
            <c:numRef>
              <c:f>'Pivot Table'!$V$4:$V$8</c:f>
              <c:numCache>
                <c:formatCode>General</c:formatCode>
                <c:ptCount val="4"/>
                <c:pt idx="0">
                  <c:v>30</c:v>
                </c:pt>
                <c:pt idx="1">
                  <c:v>30</c:v>
                </c:pt>
                <c:pt idx="2">
                  <c:v>30</c:v>
                </c:pt>
                <c:pt idx="3">
                  <c:v>25</c:v>
                </c:pt>
              </c:numCache>
            </c:numRef>
          </c:val>
          <c:extLst>
            <c:ext xmlns:c16="http://schemas.microsoft.com/office/drawing/2014/chart" uri="{C3380CC4-5D6E-409C-BE32-E72D297353CC}">
              <c16:uniqueId val="{00000008-8BB5-450B-9153-BE77BDEB603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solidFill>
                <a:srgbClr val="003B5C"/>
              </a:solidFill>
              <a:latin typeface="Calibri"/>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400" b="0" i="0" u="none" strike="noStrike" baseline="0">
          <a:solidFill>
            <a:srgbClr val="003B5C"/>
          </a:solidFill>
          <a:latin typeface="Calibri"/>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[Croma_Sales_Profit_Dashboard.xlsx]Pivot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500" b="1" i="0" u="none" strike="noStrike" baseline="0">
                <a:solidFill>
                  <a:srgbClr val="003B5C"/>
                </a:solidFill>
                <a:effectLst/>
              </a:rPr>
              <a:t>TOP 5 CUSTOMER PROFIT</a:t>
            </a:r>
            <a:r>
              <a:rPr lang="en-IN" sz="1500" b="0" i="0" u="none" strike="noStrike" baseline="0">
                <a:solidFill>
                  <a:srgbClr val="003B5C"/>
                </a:solidFill>
                <a:effectLst/>
              </a:rPr>
              <a:t> </a:t>
            </a:r>
            <a:endParaRPr lang="en-US" sz="1500">
              <a:solidFill>
                <a:srgbClr val="003B5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6A6"/>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Table'!$AF$4</c:f>
              <c:strCache>
                <c:ptCount val="1"/>
                <c:pt idx="0">
                  <c:v>Total</c:v>
                </c:pt>
              </c:strCache>
            </c:strRef>
          </c:tx>
          <c:spPr>
            <a:solidFill>
              <a:srgbClr val="00A6A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Table'!$AE$5:$AE$10</c:f>
              <c:strCache>
                <c:ptCount val="5"/>
                <c:pt idx="0">
                  <c:v>Siddharth Das</c:v>
                </c:pt>
                <c:pt idx="1">
                  <c:v>Divya Sinha</c:v>
                </c:pt>
                <c:pt idx="2">
                  <c:v>Kavya Reddy</c:v>
                </c:pt>
                <c:pt idx="3">
                  <c:v>Ananya Patel</c:v>
                </c:pt>
                <c:pt idx="4">
                  <c:v>Pooja Iyer</c:v>
                </c:pt>
              </c:strCache>
            </c:strRef>
          </c:cat>
          <c:val>
            <c:numRef>
              <c:f>'Pivot Table'!$AF$5:$AF$10</c:f>
              <c:numCache>
                <c:formatCode>General</c:formatCode>
                <c:ptCount val="5"/>
                <c:pt idx="0">
                  <c:v>764250.7200000002</c:v>
                </c:pt>
                <c:pt idx="1">
                  <c:v>599053.62999999977</c:v>
                </c:pt>
                <c:pt idx="2">
                  <c:v>591977.54</c:v>
                </c:pt>
                <c:pt idx="3">
                  <c:v>569352.10000000021</c:v>
                </c:pt>
                <c:pt idx="4">
                  <c:v>548449.18999999983</c:v>
                </c:pt>
              </c:numCache>
            </c:numRef>
          </c:val>
          <c:extLst>
            <c:ext xmlns:c16="http://schemas.microsoft.com/office/drawing/2014/chart" uri="{C3380CC4-5D6E-409C-BE32-E72D297353CC}">
              <c16:uniqueId val="{00000000-7840-4D44-89F1-28C50604A30E}"/>
            </c:ext>
          </c:extLst>
        </c:ser>
        <c:dLbls>
          <c:dLblPos val="outEnd"/>
          <c:showLegendKey val="0"/>
          <c:showVal val="1"/>
          <c:showCatName val="0"/>
          <c:showSerName val="0"/>
          <c:showPercent val="0"/>
          <c:showBubbleSize val="0"/>
        </c:dLbls>
        <c:gapWidth val="182"/>
        <c:axId val="1194910783"/>
        <c:axId val="1194894943"/>
      </c:barChart>
      <c:catAx>
        <c:axId val="119491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894943"/>
        <c:crosses val="autoZero"/>
        <c:auto val="1"/>
        <c:lblAlgn val="ctr"/>
        <c:lblOffset val="100"/>
        <c:noMultiLvlLbl val="0"/>
      </c:catAx>
      <c:valAx>
        <c:axId val="11948949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[Croma_Sales_Profit_Dashboard.xlsx]Pivot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rgbClr val="003B5C"/>
                </a:solidFill>
              </a:rPr>
              <a:t>SALES</a:t>
            </a:r>
            <a:r>
              <a:rPr lang="en-US" sz="1500" b="1" baseline="0">
                <a:solidFill>
                  <a:srgbClr val="003B5C"/>
                </a:solidFill>
              </a:rPr>
              <a:t> BY MONTH</a:t>
            </a:r>
            <a:endParaRPr lang="en-US" sz="1500" b="1">
              <a:solidFill>
                <a:srgbClr val="003B5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6A6"/>
          </a:solidFill>
          <a:ln>
            <a:noFill/>
          </a:ln>
          <a:effectLst/>
        </c:spPr>
        <c:marker>
          <c:symbol val="none"/>
        </c:marker>
        <c:dLbl>
          <c:idx val="0"/>
          <c:numFmt formatCode="&quot;₹&quot;#,#00,\ \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Table'!$AI$4</c:f>
              <c:strCache>
                <c:ptCount val="1"/>
                <c:pt idx="0">
                  <c:v>Total</c:v>
                </c:pt>
              </c:strCache>
            </c:strRef>
          </c:tx>
          <c:spPr>
            <a:solidFill>
              <a:srgbClr val="00A6A6"/>
            </a:solidFill>
            <a:ln>
              <a:noFill/>
            </a:ln>
            <a:effectLst/>
          </c:spPr>
          <c:invertIfNegative val="0"/>
          <c:dLbls>
            <c:numFmt formatCode="&quot;₹&quot;#,#00,\ \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Table'!$AH$5:$AH$17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Table'!$AI$5:$AI$17</c:f>
              <c:numCache>
                <c:formatCode>"₹"#,#00,\ \K</c:formatCode>
                <c:ptCount val="12"/>
                <c:pt idx="0">
                  <c:v>8520512.910000002</c:v>
                </c:pt>
                <c:pt idx="1">
                  <c:v>10623287.26</c:v>
                </c:pt>
                <c:pt idx="2">
                  <c:v>11450374.209999997</c:v>
                </c:pt>
                <c:pt idx="3">
                  <c:v>10279336.609999994</c:v>
                </c:pt>
                <c:pt idx="4">
                  <c:v>10284989.230000002</c:v>
                </c:pt>
                <c:pt idx="5">
                  <c:v>11549224.299999995</c:v>
                </c:pt>
                <c:pt idx="6">
                  <c:v>11285208.98</c:v>
                </c:pt>
                <c:pt idx="7">
                  <c:v>7905557.3400000026</c:v>
                </c:pt>
                <c:pt idx="8">
                  <c:v>6668004.8300000001</c:v>
                </c:pt>
                <c:pt idx="9">
                  <c:v>6688437.1800000025</c:v>
                </c:pt>
                <c:pt idx="10">
                  <c:v>4943258.4399999995</c:v>
                </c:pt>
                <c:pt idx="11">
                  <c:v>7316997.4699999997</c:v>
                </c:pt>
              </c:numCache>
            </c:numRef>
          </c:val>
          <c:extLst>
            <c:ext xmlns:c16="http://schemas.microsoft.com/office/drawing/2014/chart" uri="{C3380CC4-5D6E-409C-BE32-E72D297353CC}">
              <c16:uniqueId val="{00000000-3798-458E-9F69-8A16BFBB1E75}"/>
            </c:ext>
          </c:extLst>
        </c:ser>
        <c:dLbls>
          <c:showLegendKey val="0"/>
          <c:showVal val="0"/>
          <c:showCatName val="0"/>
          <c:showSerName val="0"/>
          <c:showPercent val="0"/>
          <c:showBubbleSize val="0"/>
        </c:dLbls>
        <c:gapWidth val="219"/>
        <c:overlap val="-27"/>
        <c:axId val="1194903583"/>
        <c:axId val="1194902143"/>
      </c:barChart>
      <c:catAx>
        <c:axId val="119490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02143"/>
        <c:crosses val="autoZero"/>
        <c:auto val="1"/>
        <c:lblAlgn val="ctr"/>
        <c:lblOffset val="100"/>
        <c:noMultiLvlLbl val="0"/>
      </c:catAx>
      <c:valAx>
        <c:axId val="119490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N" sz="1500" b="1" i="0" u="none" strike="noStrike" baseline="0">
                <a:solidFill>
                  <a:srgbClr val="003B5C"/>
                </a:solidFill>
                <a:effectLst/>
              </a:rPr>
              <a:t>Sales by Sub-Category </a:t>
            </a:r>
            <a:endParaRPr lang="en-US" sz="1500" b="1">
              <a:solidFill>
                <a:srgbClr val="003B5C"/>
              </a:solidFill>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Table'!$P$3</c:f>
              <c:strCache>
                <c:ptCount val="1"/>
                <c:pt idx="0">
                  <c:v>Sales</c:v>
                </c:pt>
              </c:strCache>
            </c:strRef>
          </c:tx>
          <c:spPr>
            <a:solidFill>
              <a:srgbClr val="00A6A6"/>
            </a:solidFill>
            <a:ln>
              <a:solidFill>
                <a:srgbClr val="FFFFFF"/>
              </a:solidFill>
            </a:ln>
            <a:effectLst/>
          </c:spPr>
          <c:invertIfNegative val="0"/>
          <c:cat>
            <c:strRef>
              <c:f>'Pivot Table'!$O$4:$O$15</c:f>
              <c:strCache>
                <c:ptCount val="12"/>
                <c:pt idx="0">
                  <c:v>Laptops</c:v>
                </c:pt>
                <c:pt idx="1">
                  <c:v>Televisions</c:v>
                </c:pt>
                <c:pt idx="2">
                  <c:v>Smartphones</c:v>
                </c:pt>
                <c:pt idx="3">
                  <c:v>Air Conditioners</c:v>
                </c:pt>
                <c:pt idx="4">
                  <c:v>Audio</c:v>
                </c:pt>
                <c:pt idx="5">
                  <c:v>Home Care</c:v>
                </c:pt>
                <c:pt idx="6">
                  <c:v>Refrigerators</c:v>
                </c:pt>
                <c:pt idx="7">
                  <c:v>Washing Machines</c:v>
                </c:pt>
                <c:pt idx="8">
                  <c:v>Computer Accessories</c:v>
                </c:pt>
                <c:pt idx="9">
                  <c:v>Personal Care</c:v>
                </c:pt>
                <c:pt idx="10">
                  <c:v>Kitchen Appliances</c:v>
                </c:pt>
                <c:pt idx="11">
                  <c:v>Mobile Accessories</c:v>
                </c:pt>
              </c:strCache>
            </c:strRef>
          </c:cat>
          <c:val>
            <c:numRef>
              <c:f>'Pivot Table'!$P$4:$P$15</c:f>
              <c:numCache>
                <c:formatCode>General</c:formatCode>
                <c:ptCount val="12"/>
                <c:pt idx="0">
                  <c:v>26652844.450000007</c:v>
                </c:pt>
                <c:pt idx="1">
                  <c:v>21800680.039999999</c:v>
                </c:pt>
                <c:pt idx="2">
                  <c:v>21197184.720000003</c:v>
                </c:pt>
                <c:pt idx="3">
                  <c:v>8015376.3099999987</c:v>
                </c:pt>
                <c:pt idx="4">
                  <c:v>6905994.3000000026</c:v>
                </c:pt>
                <c:pt idx="5">
                  <c:v>6871227.3500000006</c:v>
                </c:pt>
                <c:pt idx="6">
                  <c:v>5404828.5700000012</c:v>
                </c:pt>
                <c:pt idx="7">
                  <c:v>5130475.1000000006</c:v>
                </c:pt>
                <c:pt idx="8">
                  <c:v>2498944.02</c:v>
                </c:pt>
                <c:pt idx="9">
                  <c:v>1274946.2899999998</c:v>
                </c:pt>
                <c:pt idx="10">
                  <c:v>1139939.94</c:v>
                </c:pt>
                <c:pt idx="11">
                  <c:v>622747.66999999946</c:v>
                </c:pt>
              </c:numCache>
            </c:numRef>
          </c:val>
          <c:extLst>
            <c:ext xmlns:c16="http://schemas.microsoft.com/office/drawing/2014/chart" uri="{C3380CC4-5D6E-409C-BE32-E72D297353CC}">
              <c16:uniqueId val="{00000000-0DCA-4D02-B38F-DC57B4A59C16}"/>
            </c:ext>
          </c:extLst>
        </c:ser>
        <c:dLbls>
          <c:showLegendKey val="0"/>
          <c:showVal val="0"/>
          <c:showCatName val="0"/>
          <c:showSerName val="0"/>
          <c:showPercent val="0"/>
          <c:showBubbleSize val="0"/>
        </c:dLbls>
        <c:gapWidth val="182"/>
        <c:axId val="790424735"/>
        <c:axId val="790428095"/>
      </c:barChart>
      <c:catAx>
        <c:axId val="79042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28095"/>
        <c:crosses val="autoZero"/>
        <c:auto val="1"/>
        <c:lblAlgn val="ctr"/>
        <c:lblOffset val="100"/>
        <c:noMultiLvlLbl val="0"/>
      </c:catAx>
      <c:valAx>
        <c:axId val="790428095"/>
        <c:scaling>
          <c:orientation val="minMax"/>
        </c:scaling>
        <c:delete val="0"/>
        <c:axPos val="b"/>
        <c:majorGridlines>
          <c:spPr>
            <a:ln w="9525" cap="flat" cmpd="sng" algn="ctr">
              <a:solidFill>
                <a:schemeClr val="tx1">
                  <a:lumMod val="15000"/>
                  <a:lumOff val="85000"/>
                </a:schemeClr>
              </a:solidFill>
              <a:round/>
            </a:ln>
            <a:effectLst/>
          </c:spPr>
        </c:majorGridlines>
        <c:numFmt formatCode="\ \ \ &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2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FFFF"/>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rgbClr val="003B5C"/>
                </a:solidFill>
                <a:latin typeface="Calibri"/>
              </a:rPr>
              <a:t>                      </a:t>
            </a:r>
            <a:r>
              <a:rPr lang="en-US" sz="1500" b="1" i="0" u="none" strike="noStrike" baseline="0">
                <a:solidFill>
                  <a:srgbClr val="003B5C"/>
                </a:solidFill>
                <a:latin typeface="Calibri"/>
              </a:rPr>
              <a:t>SALES BY STATE</a:t>
            </a:r>
          </a:p>
        </cx:rich>
      </cx:tx>
    </cx:title>
    <cx:plotArea>
      <cx:plotAreaRegion>
        <cx:series layoutId="regionMap" uniqueId="{00000000-C901-4B64-8B0A-565060BEA040}">
          <cx:tx>
            <cx:txData>
              <cx:f>_xlchart.v5.2</cx:f>
              <cx:v>Sales</cx:v>
            </cx:txData>
          </cx:tx>
          <cx:dataId val="0"/>
          <cx:layoutPr>
            <cx:geography viewedRegionType="dataOnly" cultureLanguage="en-US" cultureRegion="IN" attribution="Powered by Bing">
              <cx:geoCache provider="{E9337A44-BEBE-4D9F-B70C-5C5E7DAFC167}">
                <cx:binary>1Hvbctw4tuWvOPw8VOFGEOzoOhEHZGYqlbpLli8vjLQlg+AFIAnwAn79bJftmrJa3e2JUzPRlQ9S
pEgkASzsvdZeO/X3T8vfPjVPx+HV0jbG/e3T8uvr0vvub7/84j6VT+3RnbT602Cd/exPPtn2F/v5
s/709MvjcJy1Ub8QhNkvn8rj4J+W1//1d/g09WTP7aej19bcjE9DuH1yY+Pdv7j24qVXx8dWm1w7
P+hPHv/6+r/NYzkcX10Px8cnV75+9WS89uE+dE+/vv7h3tevfnn+if/w9FcNTNCPjzAWxydJHMdY
pCj9+nr9qrFGfbucpCcpjxmOU/b1Kv3+6MtjC8N/flq/Ter4+Dg8OQer++33P47/YSlw+fr1q092
NP7LRirY019f782jPr5+pZ3Nvl7I7Jd17C9/W/gvP0LwX39/9gfYimd/+QNKz/ft3136B5Dyp6bU
3zfof44NESecUZoiztFvL/wjNskJxjFLRIy/YsO/P/orNv92Ni9D8m3YMyTy878UEhfHxzL8PwgX
Qk9iKjCEjHgREnFChEg5pd8geRYuPz+tl7F5Pv4ZSBd/rXB5++T8K/lk1LH5fnL/hKChJyKOGRWE
voSQSE7SBKdwQ/z1Mvv+6K9B85NzehmeHwY/w+at/EsF0M5Ckv0TSYZySmhKxIskw05QTHjKCfl6
Of7+6K+Y/Ju5vIzFb4OeYbD7778UBofjYI7+WP+ZSLCTBCNGGCMvRUfCTzBPUhwD6/z2epa/fmpG
L+Pxh6HPUDn8tVDZjdVxOPrvR/RPyFjkhKeE4+SfYIJP4jRBHLj+KybPaP4n5vMyIr8PfIbH7uw/
Okpe1oN/TFU/3PF/qYcJOaExERx/C4BU/Ki50hPIZFQg9o1dku/n4Guq+qZO//lsXobi27AfJv6f
LXVPj0M4mj8xM5H0BKcCpwyS/x8LEH5CGSIMsW+C69np/4l5vLzlvw98dvpPb/+jT/8Ps4W68PA0
HJs/EQaMThhLRZIkIIx+xIEhQTjD32oR8uPB//fzeBmG7+N+WBcs669WboAHcHSlH/5MKNITFhMk
aJz+M65GIqXkW2WePlNNF8efmtPLsPww+Bk2F6d/qQi5Hk11/Pj9tP7P6ZqiE8FAyAJd/xgh8Qn4
JCyh6TfqAOb4ygNfqeHfz+NlKL6Pe4bCtfxLoXB7rI7Ol0fzfVP+50AQfhILFnOOv2nZZ3hAIQih
gXj6rRZ/Fh8/NaOXIfnD0Geo3P5na6cfZgvscX9sdfPq8vg4/nmwYHyCMMcIiWfSSZwwlCCC4mea
6ecm8TISfxz7w+JgbeAI/oUE1f1TcwQn5M+UVDg5AdHE4xQ/QyI9QSiF4Ii/UcezTPVTU/knePyf
VTyHY/eXguON99AV+NPtdshZKaExFHNfKR3hHzhEoBPIZ18KkJfr75+e1cvoPBv+DKE3/5/dw39u
xP/esMjB/tj81un4gxf/r6/+tnLowjwb+q+8rK8svX/89TVlnEEw/N5B+fIhP5D4sx38h5FPQHK/
vhYMAu8LKwnOeZoSnL5+NYPZ+evrJDlBINm+9FMIWJQCA2cZO/gSng3KG8ecCLD8CUliCoOcHb9c
AtdZMAYxC6eCYYY4+b3ZdG2boKz5fU++vX9lxvbaauMdPPP1q+7rXV+WmDCckhgzcBQ4IgnBFKbQ
fTreQj8Lbsb/yxuf8mGMp11X+fRuHodwZWzFu4ymevgYpWt9mFHad9kfNuqFx2L+pZR79mTG4OiL
OIGFcxE/e/LoeD0t8TTtOBuLrR5o3B1bMgck9YRZK8cO12Wmh3l813RVt24WZrs6E0lDx6yoZ8R3
qOkwydxAm/dFX2gvAzaLZDgon4mB9hlyXVFmdVu48XQm2AxZP+LISzx7qmVnRfhI515SHwazI5Qm
71vWLsdgSfrQoqotN4hM001wIeny2nN90GVTaym6oquyCZPxnWGJ3sY4nnLRtgemrd7NahvmlWdu
NR+rPspKT6d8tdjmrrCfpmbA526Yq5t0rJO36cr7HS2i6nxoO2yyMmbcZpHixZtoanS1WVVk90GQ
JTNFeEpsXO9QS7fFVJG9J0uVz3N5Lcox2U5Lu0qT2DqLsHnQup2yuVsGWC25m0SUSJ2S29D2Jour
xmRNa8dFppRdmW7OxWJZBja6ytU8wsChj7em400WeWQk74YqGxZy7KLGSJWyA4pd7sqmkYoOO1M0
23noJtkXq5Y9TXecDy5z8drATXbOSOHmq3kY+3M0dn6/FsMgi8aNW2/HNrcDGzPcI5ONyuHMzzrZ
1ILS3C2F3/lYjXuCHN4yTeM96Aouo4n0GzyM41mBnN7RuSTZWi1rNsaGnNZFNW6LTrVnZVvzXRo3
RT6sQe/WeYg2E2FWSYdVszcmYo8dntTpyFCUJxGPLtdqMntse30b1sbVuWENy5UbdSXFUpReVhWi
VRaLslU5EwlL81rwctrMlLljSHhts26lgLsu1+S9Gpm4SILGH81E2kefhCrJRN3FVJJyHm+Vrc/R
EtkmnwekLyuS9nsf+oNCLDpradedlWtr37aCM9jraugiiVZfrpshnvWaubSMuETIcp5pxe1120wN
kaiIsZLM1iYnLYkvmatXlC2YNueNa/FuwV3T7uqoFHdtHA19HrUM5T03K9nEEfZIrgkXF2ig5Sxd
H6YbEvmwZaoM6kypbm1kj/rkvfMi1LIg9XrZJ9SWWZ9ExW2YBdojrxeT8V615ysE1L7Gc9HJEgl1
ytKG3dth8IUUXOgAmzlWraSBzVRi3jVXtLXTQ6r6uJRQfM13NV8IPaiIDfNGxLPqz8Ls8ZPtu37H
aYsfalr24863mH02fC7SLaMkDJK6niIi1xBHt4L7ecvTfj3UTlS1JDEZaGZ6VDeSNlV5PxJtRqn7
6DB0CG87eNEsVjq5HdfYzDC/1m2bNboqWHjkqv7o2vIcT9WuQxHbjoFQ2U6kOZ3KlF5xVum8Z+O5
9nUtReD1eep1LVccaUlQ5/J2jfxp1fWXhq/uuq/QY1ljLgc7tFnhG3WKqqS7MElSb4mCFSWh7baq
TfR1WUR+t0ROHMZ1IRs/L/bjyodpG9qIX6JQKZ23oZjPC1cvn9u2UEzqmehDWgpSwgEWpMhWEyYr
hxDjj0k167OGjM0hTZKrJWkXI2OHPc0xNo4/9TbgRsvEBpYJE7UQl9E73ypga+cyw3H8pi5DsnVm
Gm9SilEvS12I3Md6OlvH9amjPeQPZxnblkNX5CkJycVEWRazeqUyXSK1mVul99aX7XWEcNFnMR1p
huxc3CYNq+n9FK2DlyjUfl+rfvrko3a8dPPo6k1peysX+IrElRimMgveEiwruiRwsoohgmyhPoqp
cnlkYnFKxQILixOUNXqG3VgIeSMaWx5iwFG2ywyfsMABVnN9ORXMZbMqTseGtJlt4zPflMlFR3h5
NvL4M7CTvjQ27XbN0KtKcjgpbl/Resm6oq/VZlhXFKR2Cps8Cv3wqKNQWanqAZ0n3LhCkqLyblMO
UbVIEU/qYimnWx1U/dbrod40CRVPqMTjLmi69FkKAbOL+0lMp13HK7aZpklc9r5uHxLAKZsWPJyG
pjCP48TZtVv64mNoGszuXN9CmvWrKX1uPUWL1AMfqrwDdWBlhNWwqbthvVB6pVk1oo9dGdtt3Lp1
1xA8HRKd5stg3kXL2LVZuTiy5LWraZLPE6d4p9vR9ZJ1QmBJeu3v55qwUha4YpeJS+ZlE/hAZDPN
/XUQ5qagq5HlqIfcdW103XhWXC7R3MOHFpkWbIvcoHNsGM5Jr8JGqX2Lk2ozCzYcqh6YKR4mSWut
YAnlRTqhxz5ZPgXI7/vZJSAVEAl7vaZlFi09OY2igkutiignpDnvRLNs1nGId2JSJisUKfK1VABy
ubBDFasHRVO16f0MB6CYIT0r6uXsmZuyNlrL23bpwsZWehvNxUa3HG99GMl5ucBXeZrIY4miRD8u
ivisGCd/0ThBpY4wkXZZ6iy4nkjlimHXJaHLAaF5A1qQZg4blE/L+qZoJtjI1nablsPGNr0pLqyY
7K5w3Zs5LqP71Jrh1Kfx+EVqJLLig99ZLvAOMpA4qLhTG1EPfINGUuexYfyUV5TJskqvXRQgfFvC
rhbAHc2N8xkZpoXtoprrTb0kajeIOkhKBwoBr1l8ALng3mvxBdQyjePt6LS75rpLNxX2TmysKeb3
0L1qbhO/ogNKm/qzW2K+j4By9nhK57dV1/B8JIudtnOM7JCxZTS5SlDxGZXreMrjILLKN6TLgWaL
XTSJWEurcXmtohSYs1YTOuOKLbuFVPSY4qE/nxBZrtrU17OMOpNq2G/Cz1TaskpOU9WeKTLqOwWd
zgMSE74PfVU8Na5YJ9kZ0e7EoHQNiQkX+8qj+EzBVqNsXap0o2ikzyBUnJZIhUntLBL1rkUEP1Am
UsliNnnZhiXNStKox7E2aMoaniYWQDDtdS1EdE8SXp3q0oVDtVTrzqAwvWOxbw9jH0wkV5APl8EY
tyVuTM2ZR6hON3FJ1/u6CuFprHgLYSrq+nZI0uk2LW3XZ7XmZQ7SdsxmkPbbqqjdgwgWXRalMWdl
gdEukKlvgPySWUk4B+qdZj3L2xY1h3iJlvtpbtnpZPR0E6XUg5rkxTV1Vlw0WOCDNyJ5FzVznfWq
t+8oK/bO4lhyry4HUfFzIlS0bvoonjicM9aCci+RyyDjYcnJqs8ZoqtckmHY2YiA4JkLvWRJD5WF
HN2CGtlA3VDKOi7ayyJNyl3amF6SyYBgbIO/5T5a90kHMzDC4DeUT1MtoYCi90Uxc7VZI1Lha6AI
4LdRJVOABIZ53jqhs6ZxLk9Xk245Nes25ay/HGtWZUmTHivd4U1EcA15xoQdmSq+7fuufATR0mwi
3nmdqbUhSo5LMLs2nod910/uPQTtehulDtRmvJhdPcBDRITIpkpEvYlbqzLeUnVtl4Fczg5Ny9FS
svQ3YdF9cxfxWSW579aqgEoECryswKqapTfDUmSMTAhYdvSRkFxM0S7ubHXbslndLx3Wn9eoJrs0
cGU368zUbhyQu+kCwe9Hm7L7cZlJI8NA0nfjqtJ1U2lt7lQblY/LzKuzCL5fduwZ8UomvdYAR8eX
WwQC9Wmgdj1Ts6VCtnrpb8OAIVesPYEEDcIbslrse7XrlxpS9uDo+JYD3Me6SNibmCM+3IuWcX9Z
2J7RzVrNxGywExA/bTVsJhoqnIlYhTFPW5UMUo846H2H4RDmo4qKCnS7Gza+DRzLpoboZaESOLfA
hweLq5TLmvbdpRqSsszniJKLPuoSDPGekCDt1Kl9b0f6vlnncmdw2j10KRmPBEqirGddfzvE7EZH
U66WxuWdE+Lgg6K5gnMom5SjY5WU8wdl0mrPdawfqnWK3uHOxmLD08Decx2Ws8nPYTulwl6RlfIb
xYRQEqulOGVVs+lDV+9BUZfnC2Hzae/G9XSELTxOiZrOvY34NSu7YdtGyQ57m1zppApnnhOcj9NY
3RoWsYvU07GWceoRzvpOB7mIHnUyaUJxsMM6QMZJigtVig+jKh+jqV1uxg4VRi790EK2Jo5Ix6f0
8yi6JCvHVm8Z4SqfZlI+DCId384VRE4TGf+2apTKi4XTCzPW9kw3rL2pLfusWIky0vn0tgc5e920
Uw/qSndPjLIVGHQmp8bV/H6dUn+2KoQ2ePXzQ41pJV1Ul5euiKtruw50E4bemU2LO3++FGzOh0h1
e67a8mYCAyCnnbadHKq5ux6hJv3YB8Juytb4bVjTUTphh6spnuu9Tfq3I1q0zRdBAsiDlo6bxaYi
G+ZAtvXo12PJmyDxMqKsbihoIF+Rd1NpycU0gYvR8Dp9p5O++FBoyPmxAp0GtDrdgqMSPmjQYpfG
q3WzusJfjEld33lQebWcG8S2a9RFZ5Sx7qJwcOQnB/k+6ez4QevBbIrV62PggsSySqGkxmZKLkQC
xZqcAkSXBlbJy0kLuabAKWKOp6wKUGPRot6uXVldGDoVD42I3VncFdVDZOFcuZK3UAlOJhddqPO2
pPg6SRE5K5JpzqNpbO6X0JGLMmrNZzYvZS81MuRegJ68RC1wngymoI9C1VBhjUM7HJByaSXXolKn
ERw0vKHNFGHpfT2+Hfvaq9xGrHvrl65Poe5a8F0dh+4+GYg7VlEJ3kpSj73Jl7Q375xriuPsUdPL
VEF+OTg78OsVst/DOpian1emWSvZ8pYN26oWxVH5GeqreNT048QNf7CkXbM6SexxmXGXkwIlby0H
kyZuvT1XoNS0nCF3wISqNq+NaLZ6SthtGkH2xnyIT2En3dWA3XSx1pM/ju04HfDUa+mIKDbO6uY0
jDRs19LZcycgYVilu3dDgvRW1W10Gzd1nFUtKiROMg8p3mbGWvNoTc+XyzRSZXwa8XWWsUlDkOOs
8IOBaqOUXb3ozxN8U2GbDihsQhUWLot1VqW0JoS3NdSQuSp0fOoSHZUSFq9AE7ACCmpSOtZuQQUM
5wFN5XuSanyfVAYOkMYrzCFy9jZY4RYwgpR5YG3/2dW6F5s+Cea4DkX4bEGD7ss4gjRURGtetr3N
4ymKdnzRH2sFxha2tRyTcGyWOOQeqDmbvafZXFboixh7gCRjz8Lg7lAxk50adXRQlReApo3kmDZx
HnF7Xo9dASpd3Hrt2FVBi/YcKUYiSVkLLsBS1PvYG3OYmeF7vQQ4DhGYfmdrO4w2b0r6hababW19
n6dJI4GqHERatB6WMYgLrUKZg+kx7HBaoI8lHJ+PHUbNKmtjWxjf9Adeovhiggpqyxvqb6uQXIe1
xDvg5vm2LiJjpMd0yMYonndNlDJZgyl1Be30qy+e0HvEC9bJtpsxzevIVFeg7FolEeSrizIRHNwu
F5dKpiVT2VhB4SmTZWXgv60+p0vZPKAmabhM54HfgDRoWFaXdXFFKo2knxN36lnJs6qhOqcOISmK
AHHZFKn0DW6LrV99bYD07HBgA3iJGRtJ8bZXE9m6oXPvq0DRRWXH2kleRpDA2RTfUD32Fz08LbN9
X1yXGNEL1EUGjLPUJocxTZNTauvqjOjgDp1H3UEzLW45brqtmTk4ecRAnAY3+Ssw15zfxNSBpBFJ
W2/6KQqzXFlXbRQLn9K1X3NPFM1WRdBjtKp6PxVrccchM0mejIQBHa1E8lXUW1WNajvEaL1KHbhv
JUlsL3HVioul9t3NGi0Ijl6P4FJEzSm383pcpiY56+KuesPjHrLgYl0PfiMfZAfmFZYQ1O4KagLy
wMvAbI7QBJorYafUAZl5O0mVhAXKPSzkQKI3wk9OVmG2EodWAZpduWyqpVlukoI0WR9EtPcN784i
i2wWItN/QBoESKSszl1baUjG7hTK9V2N2/5qQtZvh1qAq7guQKTwNt57JtrzZknmLW2ATnNTVl3I
gij8htESYtxOYDdwEYrdWPcDBuIh0yVuUvfA+YofxGxU3oyhKiU4V6vKJl7pTdKYGurkWXf3tQMx
vtWxW0K+JlNltlEDXt5hKksClmxnCZxbMD9GWdYqemsq5s4EKivwnkFE11lZVtPtGspBH2zC9V2Z
rGgGPROB2bvGPJ7zqtfj5ypp1906zvxDTVZ+K5bU4m1imqjfVBXnzTamFvJW1ZfpIJuGkzEbU0Fv
nWAgkedUk0nWIu3ejoxWH6cIhTVLxYzYfnFDwc/WlLF7zVbzrqfFvIsq018tI9VKqrh3N1NQK9ht
gYjrbgYjjk6svQK6eR9j3eWFcLXE0Lb/EFlabruwlFLThJ45QdqHylW+k0Ys/XbkJdkEgxswUvwe
dmHdONQtl1y7RMjYpvbO+2nJURHWe7Av4zPRk+SaBg4WQzWL7lyNa+Sk76l4BNeAx5kyJK0lGqB1
EC1LxPIomYdT8JD7NRuUXd5pwYEgwEINF75lyWYsb3SXjGOuDE/va1+YczUUktV8qHPSJMtFQYAJ
Th3QTCv1WvqPoqzg31fKsIxOLradJgmuc3wjOkoX2c2hSXOdhKjPPAWnNp+sMHVOqa22QCPkumGp
v6GBrG/BOJ9vIj6aIFPc7LRhbuddR9/Qul6uaOfZRotoRlurSchdE1dX8O9IAeryWfAPvqvL93rh
zcFHeLoeIlL3YEHikh16sUDXBeMGfpYCx5dBg8rKfBJN78LqOdj/IK63ZbxUO1Tq5WpJBzbIhNWp
yWrYiBtbDWuUqY6oxwKXyZhphvGdKsDolbpF7V2lE7JZogIK6JSvMdCpizOellBILS2NLweL3W2v
LLolMzVXIYpNJUOh+/frIvQlX6seavle8AvkIgQ2jnGVOdW+x294mZKD7lOusrbXqJRuBP9TiqpN
zqoQFZ903a7HLoXg2cwlCDY5oX4u8mktTc4DhTJuHabmLZy2acpMo4EJwPVcrhyixac58l8SHARR
jOGmJKFkT7FfLxAxyVlZFmin+tYdILcDAbkUPTo2DmWeWmC+uYuiNzzS3c3Ch+RsUVV/zmY/7Vda
jp/dyPSOw7Ht5SzSPpG9X5YnXhVtPjRjDjVEU2Wee3Nq2JqcxZC38ymxzR1bpvgsIobKtQ7jo6l6
2mUrD2zXNcicVixZQKOptj/iDrlyo8bE3kKJBO53Z9ybeqLiRoA6+7R2SXK3kgF+DJCHnJr6d8rj
ACVeEaDdoRMXnfkazZsR9vDOzM5/AgZqhaySOb2PVkyLzLQD0RvryuuxTdyttXUM3QPILUaykbFD
iry/bmnSHDoMg3BhtVQrT675YsBNQKEdP6xgq30h5IlciNG5bZFAVSKVmZvbuuzrKivTinR3RWHX
m6WGFlsJ4uYcIc1voLll9g3C5a0jcZeReomzaeqh1GB22AwDLuVazsVVOwV+BsPUFUR39HHBzZDB
23dlMdUbrO1yhJJZXI7Jul6HpX3scZy39aiyvrQiI1UaLrgP7Z2e6bwbbGKzqkzvgnZkU/MmBmYE
63LvHYorSedFbyqC+D2dYV0pTyB4Qudz1kBcyyFy83aC8hU6NCM4HJFui70H2f4hKS2/LhDCrWR0
GW4ZCHqoBJo4mqQYgeWmZenO9BTTVoZUufeqXoZz6K5+skNNatl5F1+ViiQXM7fsZgE744NJ4HtT
ssaF8lDuQvumHOE0zUidQlYtvvSNRaYQeAr1MJLPnSmmSDrUjybD1kU6A9t9wHkdz6HNYpAIhzFK
zFuqgLLKNgXJUoLDWWMya8mg22LliLsH6Kf6fQv7uyl7b0+XchA5fB+IbkRAwu4QjRmwqVqgaeV9
+4HTwl1A73DcNDyIz5Mz7jBHdQNeMBbvUVKiQYaxEVFWoyk9G4sYhGxSQd+KriNUMASX88ERB1ZO
29NcQDcH7N4uPnYxMywrGx/ti8jBiQSPRMsYfIwLv8SQ5NKk7xbpXXkXG+j50BTP9zpZ2KOdw/JR
g2y975dxHCSvly/5vzDjOU8rYeVKl+VDX0P/UkJWUA9gkYI0WVuo8eRUQTKeRpFAH6b2FIim9uXF
HCH0saGxaDfz/+bs3JokxbFs/Ys4BggheDkPuOOExzUvkdcXLDOqCoEkEAgB4tef5V3d1RFMRsYZ
zOZhqrpMTkjaumyt/S1djsikOGxcrk3jc9kx/wZ/lLdiqg/LgWsynR0dK+xcbdWdB0N1dNRV2Oqs
KaX70icixLsNT09hqLHntz0f8zL2u/LQlaFXHkdWr3e2LrF6j3Morlkam+tqMYpkVDj2lPpNjVye
jxe/TCwddquw1qWXBamj91rVfMiQaBMjpjl2sUy1cTNlcWxJf5suC35GiKi6Kk3XpQcFpfAnOQ14
RwlbcbNMbOmysfS8M5Lsih3pYC7/YkbQZaWtw094syUym/Egyg6qpfSPfqrbe40X1PfYvHB2kdgu
s5Jiaz+PvgrEkYXr8hX55jAfROM9VpfblUrG9WSrdBkPEd4H87n2xXGppX+XpFP4h4i6yyYm05NX
ioEfosBO5YlCRXBIkRy+WZUfXC9tv9w7Hy/eJLgkyRXvMjzThHmCsgBE1hTmXjO/jzxkRrmZcbs2
Xy0O4deubOU58VovH0VgjrPrpz8DTZs7i+PEfXhZnavVJUfG/PbWm3R4KCf8f2tDR54F1vhffa+v
703FxZ0Y5jDvRp8nh36ZTH0gdPzKrV7fD9PU3naiT/CMHnh5FJbqLAPmP0k9sbzSyXCrbMcfyrVv
hoOu5/po5bw+mYrwqypI2XlYu/kK53WkiTtb0dO/dBz/VuP8W8jxt57kqdNuqCv+7/rlf/7x/z52
Cv/3r1La//7LS/nzf//p7j9107/9r4o/u4s61mz/o8vX/NMWPubfX3fR47z4h/8hDnpF/vN3GfYr
/+MLbdALyeB/VJEX4UwQoBjqdWXQi8qPf/77v/VAKYO0J2CEUgiMUF8V/6MHihNUPaB+N/Eh8k5C
n0AP9h89EKRCDEdWZCLjlEAEDkH+v/VA8f9hMSpQINMPIee5KIz+N3ogtPNMlYOUd8QiFLRe9OPP
dUCmXMpO1Gl8xYNjSh/MBG3rP3//v+fJc53Ra+1e/v0zfVEa1lNscIXKR8oltuIVqREeIreyr3mM
yvPmG+YJNy8tw/tpPwwf5nj1q8dqWbu/ft8+Ckt+2S0bkVKqVpFYUcY5ZFRmfa8DleKMTBoaZH7k
qxDbdD+WfwfV39Xo/4u+wvA//2MMxr6ZcbHIF0PwVpj4pBqyDonF77//Y15qvv47xv7L9lmKTDLO
MXGOHTq6C4I5Uh9nv/HjW5eM7VJ4DCICPGb1+sPvf/CVwU8w05//QTrxsUpdfnCSKVuuO27xWhUZ
y+v89z9waei/KrZ//qKLyPj5DyT1OvujJTSfBR6Yr3GaL8ODFibkt1TwJrwLrLB4vzJ961jmyyjo
T37Lp+Hq97//yh8Yb3pUDiQO3NKwYvD0XODofNHokKT64/fNB5d2fvX3XUbyWfRopoygxtEcZ7+p
P0BDWDAS/KXxGDKLrK/mCTo5x7zbDolJkduww+0x8yrcZVBTsyN+k0tgPPsCWTk1STqjh5HePpCh
+4tBd7Sv+5LNotNhIZgTN9LcOcO++p3rshIvIQ/7Pn2z9MikqWNDBpoLUtd/+uB63LZeLewbUsZX
xj7ZLD2dN1Pdc0pzObLpczD3EZKhK9u3sCWbhWeQc6N12NMc70brmkMhNg3HWHcd2/n5m8UmXKog
cbLBYtNFtjm4OF6irO8Rqcffd/8rS2e8iU2VTjPFuYMVSpoeIh6levuZ9GvqX48eT9l7PLyQ+Pz7
H3ttMDaBiJyL13ZGe0XbQYH3DgdFPn5W4+j9tat9tlnJTOJbf8aFoYCMU+WuirwBT2LCDG+MxktR
7D8LGdt0VtqJSFo8bOGhPFkVtJSBnnI5uwAasppH6c6f2awnJOrKBEkJVoyjDcerNu5aP1+RUlty
XeN8vi+u2WbR6LupL8mikkJDGPgoBscfWoZ82e/H4rW+2qwas1iSYMYRqgg9XLOlGRi5RQ67678I
mkB49ftfeWVGXSogny98PKm0SJhOikFG7uyp1X9Iq2CQ2b7mycvmu7J2PjonLizrwyXzmwVvzCu0
Pvua3ywfFnkilkD0XUwSIwAxocqRamB659dvFg+84LVO4oW+gBpKYAxcslySBq5ed/7AJp5F6tE+
XdD7KZLzLZQC0F/mQ8PW+d2uDrocwp8PL1QDxATeAnGw4fVnlhjzbqmr3u37/ngTaMwNIPmg+KnQ
JBrrqxHJghQ5fDX7+0Is3oTYUrs+HpG5K4SpdHQ2KpyQlbPR8NbefFl5fnH0iDdR5qqm8tWMIe5L
p5GFqAhj7yB8m6CsGku8IC1V6NqvUiXku22ruX1jJX/tzBNvAk8uVcm6dcZSKBMJ9bNnSoaLg0hx
akzGuYnGrB0hz4C8OtZ4WFxWSGpiKIe7j5M/xnZnB28C1JWxB0mPVxaKefZI6pkVl9KDN+ZHcImU
X3Vv+HL+0WmEICjs04L46wA9T1BOeJ8r11Ve6ZQw91AZ1f2lvWhWV9GatPR+gTqwvQtZkjRfkfyh
9I1PeWWhizexnLQNZEZzjeQxKw05xGv6p16Wud+3jtJNoNlgiJOmqaKi0kvyjWL7uTe+p/atc/Qy
e58dT3tStQ0eu9KCStxkDjZIUAIBSakzb0yDV8LgUq74/AdM3TsaLkNSjG4uwzOkp4P/E2oshAQP
ud9lbW0vubM11tWTViseNHYtUHQT4GRuJUZ5iIs4KZXNdB8a5Hxt5O1cYukmwNdoFb3Fs0Ruexrk
McSNxzXuvOO+z99EcVymPt4llrUwthoLqFOhjR5088Yi8cqcpZvgRMEp9xacJYsmrNUhHIPmWKLG
YOek2sQmriVdgheBtQhxb8ygvf7SVtFbJ73XPn0TbqhuaKNFVmuB52wIjVzrY//sedDsnDebnZM3
dtRkcGvhlSo9QwAnjiVJomLXsEabaCZ6onoUaH0soQiYCTMZtL31vm+/VN89D7akDddkYhhWbwxR
tkUsMs6CRfsWumgTyo3vDf5cQs3eB7U8mbTFezyN1tPve+YSNr9Y0KNNvLYl5StqO+Zi9uifuBeK
6RSNQrcFBCLxzr9gE7JkYlPbCLywEwTuB8h3mjxAjc+++3K0CdmxxVkFZWtz0aHO/pxAVn5sXLtz
uYk2IRuMSpbJ2tiiMjK6qaVCFcUid376JmKxk5YC8sOx6LumDA4DDc2B8UXw4+8H95WgjTZBS8vK
CA9FRLlu6+UaQrnx1pal3BlUm5BFftSbAttAf2Kr2Xwks5/IBzpAFb5v3lyKSZ/HlQjq6SI2WnBm
s1DcafrNpa59Y+K/0jdkE7S08QR0sOWU95IHKLiyYdanEG/u6nmyCVqiG7x5NMmEnve+DSEOYG26
lPuGlWxiVuh18DyoZf/+9ChERQa07Hs/fRutNCltwoMpT2ckjcNL62Z/x1yG49nJB++gGgWUaB1i
Nn6wibB4nQubnd2+iVYe0aQDvQGtR+GffR3JU1VXO1NP25pjAfxuUldoPF2tKiSD6IijwG/f2eDy
iPK8Y5aRsFI6MeV0LOdsgaYgC/Daum+LIptYVVyHbUd8m7cTpPDQk6A6Yw329Xq4iVODAjfdoSg0
V4JHGUqqv3kT9Ny7IincxCkqQgfiuDfmDIW2qOCrf0CgbnY2vgnT3qRLg5OwzRuIejKo3CD0HPCQ
u+/TN3HKSONVNRTLOUttcGfwPPKuZJXc90QVbuJ0sVGIIu7UFmsA+HO2tkkM6SuKMMy+ORNuQjXs
l1RZXU2FixTkmx7RtNBzOD7t651NrAZ1GQ7dorCzlkZep40JjgZ1Q/m+1sOX4WSHUpPKUdTWpuR7
0ITvTUTe72t6G6nGNco5lLLW3LvH8vjNhRAI72t7E6cpqt9Z0LKxaGaeHC2nj50ou30DeiE6PF9i
WmG8IU2sLbwahUKyYbcs7P19X37BtTxvHM/CszZL4uWtXP6oXfAlpOpmV6cEmyhN6rnysF+7As2a
MVtD1BhkzpBq39IbbOJ0qqjlIkIRItiV/tdoxDqQmXoN9p00gk2g2l6Gviw7WyhUwhy7hf3kkKzs
7PZNkJZJ3bOpHmxB3eAOSml8unjr5fXSyC8uBxfxwPMxTds4qrWnUJ05jOldgmrgO+mV+su+Yd2E
aDiG4wB0PKYjL3lG1PyVJfXOId3E6Bp1aVNyYYuBTqjNT5Zvsk/e7fvuTYxGM9RYNUHbXmMeI+vu
aGTudjXtbyIUJYGQu5FqzH2okA5eU97WK6r09jW+idAg0Jqh9NDLYz99UI59SwYn9y0t/iZEPY5z
+tChTyRv33dVdyoBIdn32ZvojKA1JguS3nm3TldQHN1EdN8O6m8CU0OoFncad7tYVbdJtxTtUO57
B/U3YVnLceEWzJZcq0/rZA8N+7yvNzYhKVOgNFaBQYy4+Dks6ftkjfetU/4mHm0/CVSmxGPhTBM8
rm4Mi8YSc9z34ZuIJG25tE2djoXx8NYPvd1VWqZf97W9iUgha0OBjPZyWuN0C6H1jygl+zY20MZe
LoKY2H0vfWzJvI4X8CUi74galmlX4IBa+rL1xExsjFAAlffxx6E7JlBi7OmTKN1EJK94H/XcjYVN
oLaYidFZ0MeP+xrfxOSMB3KHKj2TB1xfzRKP7z1pxl0zBYS3l10COo4vPInGE0nfEauf6sgNO3tl
E5cg9zq/T1KTD4q8o2h7sdPetjehGQD/g9qIAGlj8IhubVI11320xDt7ZROdKL2bJM6zmCh0jbPV
bz7JmO86YEXpJjaX1EazSBH5C0H56cGPyrg7hjgB1buWlijdBKhGwX4JvdFYVJH+4c0TikLUp11T
cSvWmgjxh5igXyxkosfeAnMFaBnbdY5AQmgzF/nEkI9e8OHL8s52/vVyQRPs+/JNhKLQw48YJ6ZI
BLmTEBzmQBqH+3p8K4CyFUrhU/A7Cl9LyIDloRn4rkNKtJU/DdRrUYOuTBECRXSYVTAcgqj5a1+n
bALU4UXBJGo0UADE3yqzXNeMftzX9CY+F3CbRBJ6QwEqEKrNUJt9alWzT7oQbZVPHZ3bdIK+psAT
0nps1+6eEfPWuzy5rH3/8yROtvMQCIRwgYpdFiikoqhCA+DIXtVi6oeTM9SGJ0hvY3PsqVy6W88h
ZX2rWdOrb2DngfEErMWZRZ6jWbqW4BPFzhPiARL2JUT1Ue9q1E/ycv3Zla62F37a0AFt0CxPRKEU
ZgJk79rVfDqR0s5oAm/aPPMVSuceeYDr8HtxeXd+bOsEfKjWMpTb+2qYD9zHRnHfaI5KX/zXpr4j
YdlNT3vGkySb+MEyCEoB3i/yCqye+ykV6W1Yh9VbfX6Zcb/q8s0e13mCdpE/iSJc/D/jsH+fBtWu
GwTZRhDzUZEDpoYoyIptWQL8E3bmrYfxy/f96rs3EWStp6rVLKJAhQghKMFY5XxMneHDcY6mtDrD
xETyb/vGYBNTQZ/SGFW/ogBpIM4jMUuQAWS1a23Hsv1y9eWutCiQJqKYuogfvXL9AjjCW/30Wkht
Nr3Ar2qL2iFRxBKYHRzCoocEpT0/libwrn7fO6/9xGbb8wGHqULdi9wsRMRHPvYDivynYSjXM2oe
yvCN/fuVId/K/IZQVKBmySqHJZoQJ0uXIJsbT4LvtKJYCAfA6Y2/6JWg2Ar+Ks4WVQ4SndaGqGqK
4i9YiPbJsyDMeTncHvQJJWtbUQRt+n0k8wmshw+7RmIr7WNAViQrUvZHMNjYeE6loacO1Ysuj6tJ
+rsulIRd5sGzxw2KtuO6Zh5e9SEMxtNY9RUFkvsy4WQr7TMuBf7GDU3BGB1POKIlWckDfvh9D702
sptInmp/qYgNeFFHYJjpyaljktZvSPhfa3wTyH6sAwkWQXkMpvraLwkQj/HOPt+EMRAE0nQjml7X
KC/T/qTqsNjXJZvwdRA21iYV5VHU4Q2j3k0fq11nP7LV8QGjd6mbqcujbub+ujFmLDxKPu767q2E
uaSMT454mOxBZXKthwhVlzI67Wt9E6V+KoaS+l5dsNroGzMsIEK4fbUkZKsPrGJWgZFq60K6UJ5s
iipiv5ficd+nb+LTc0tAIzXURd00/VHz5NZjg8n3NX6Z+8+Cf2lQfGpIlx5RcV8vqG+cP+lBCLmz
2zfxybt07GXUpsd26u+F7Ipm6PZt4iAzv/hyxxdUXVc4SMnR1llrLxQ5Sd9YeV8J/a1Ob8JhfkVC
EEFkwO1cU5T7xShA2tfnmwgFn+SCCdE1khzKHdpKoyi9HNp0n/oD9WsveyZVDlc0QVPkZToUnCay
HG66RQBusuv7tzpAG7dly3qSHtUM4px4jzrvN3omeKXftwrACCAPaNkqXgTOI9ONXyuKfEQFbf4j
hFVdUdMUCFPWT4rmqELl8wEwTjpB8a5jd+pt6vf5qoMq/KEYDaeiTEjNdt0gyb8Y289CRQLitOJU
bHKULA8nWo6oEfLEvicR4K1eDhqZQ7JKATgpmRU/4DENxC/grXaN2FYPZOceqhrmTO5YANiPL4YD
oFuP+xoPX345FTb2CHh9OdDJBtBO95c/8H3pBrIVA3mrVn0JCHleUYBF0pnzgx8i27Pv07eRaG1U
1hMWU6ZDAIbJR8XDfRlY2Pq97BauuOo6Hdm89gc/W3RY5mUJwsuuL98qVhevD6AZGb0jyiTG6lwT
P7E5N8K0x30/sNl12roeATflDBRaHmO3dA0gBRz+CuRp3w9sJvwADto6ldrmKKkGdTUBsE6n0S6N
GtlqVnF/oEQTZfPgolmdaY9XxojtKtODZ8TLkdVsisCtQ+OTRWGgNFGfdTLcp+4gdHM0jLjFS65t
bQ7cJpwBRNBkqH7/ua/TNxO+AyHVB2llBJedqyzxPCQfl8jft9tvBasV8OQAqZMx7yY2Z50YqnsQ
lcfPu759K1iNZhDCg7gfcy9tzQEs6yqvHd3XMVu9KpwPgq7t5JijACJ816pF/Iz9le07k2/1qivl
cz9aLJFtC8g/yiKhZorKtxQ7l5D8Re5kKwqUgehDAZzoKS4lnd5dOJTq5OJQDqdo0NgFd/X/Vh1Y
TqSMgJe2OQ0T7ziFtDq0i+2yfa3Hm6DiJRtHuFPkYPDVxyQGYSHt3B/7Gt8sZqLBCCRg7+QaHGnw
LPsGVLJy31pDNgtZqiN/VJQCvSrsdFKgvmcoSFr3LTaEvOwXp3DdWIcZvFa+ylNgxKc1aOjOId2s
ZCtX0QrsWZ/rhAMOIpcGmHa4Rezr9c1K1jLHRpaUOveUNxyaVbcZ0W6f0AsPJi87powieHvAPCUH
mIqDEKzkIUEl6r7tb6sOBDIXKeehSk5N0wJwBvTZ58Zv3yoNvUyNX0TsVh5YknkOLPSHOR3gqRJc
1ngN65p9/R5u7roAYiBd7VLYMnhInU/eUyfbx11DGm6iFOShoEQ9PDtBFljKbFor+3kEnf7rvuY3
cRrIDmxkf0hPVKu2O8zNEvNbMBbbZF+sbtWBYBFbHJx0ekoNTAvS8BoEwH2bX7gJVOj2+tGFaFpF
OAoPSW7bfudk3IQp6q3rkgPlfVovSikxB9Eh4sm8c7pswrTxJR9hGhIdIdq7agf9zo/3iY9JuIlR
n4JJTpSKjqBSFk3r3UZt/X7XVNnKAilUR3wgbXQMYwuPlUhLrc98VvbTvvY3b6itDvpG2o6doi4A
JHGNTHTdO5W8JT++BOMvloCtPLD2hI6SuYxPSntgmpbTpO4N86sqL1XPynOlQNe+G9fy/+Ny/a/b
wa9+dBO+zIVlO8HNATeFZW6XA4xGZKhzIRB18sTLBe4sfaeAn8ha0mNvXxrAxdi5kzrm6oSLdSNU
JsH/dWdegvf3g5BZ6AtkH05IGWncOs8gIw+6vxVxkOi7yZRzEJ+Be2S9yIZVVuAM+/C7IhWQV0zj
UtTFGDpQuPuu+qEHrmwAxCOr1ZmsAtVhR4cLPauOYD7Nw0E40iwfoTidJ6DFBJAdqAoEQhG4sSC1
oK5nqUOpp7gKtIhRyqqQsxwVTA1A+cMHGta1nzRQyBUg8k3yl9IK/3qwfTQdY8hYSAbo2CQAtQO6
rFidBUsQ92Vi2h8dkrbMZssQ+AEQxUlc8W9tDSzjkwLpTcGOya1wk8kgDmzcV9fz5EqvMCvIWmjM
YGsx1+aC1pq7tczhfQGElheWizmUCWZaClrp7Kg6htNK/ZsgmeIUqFK7qqLjcBq5QtVve2CxnuK7
xrc1AG81mcmBs7jHKSxRyTFRqJcBmbyK4Tll5qbj1XFMccWCjwOdlgpMsKFvB5bBa5idoZuqizJi
ODZiLYmVvcZodbzOhgQnOzAvPamOVrXh935UMYhb68KebL06ctIDbLHu1wFe3p85oJ/snowlIbdr
yYHNO8rVQuV9SmcLpF2xAmcrgdtlCcZLg2uOj6v8Na3syUcRFE5jyu9WceVissw/+0TVoPp3E5LB
ZzY0CRCGC1uMO8g2AnioSryLalxa2c6wZpKr7OG6IRmQ7jkMe3DhPoeAR6/hOQbBGmYH4JCfYsHb
QxcvswKEkDoPniI4WU7mxr/Y2cAIiqz3cVfZ5nFZwqoF8dZ2oT01BKTYA1CtUYiiEu7kETkOnnxL
RtJ2N+myIgnEqW+XAWz/Ecn8LIX9WogTFMDPhBxSSkjzPhDJEJ+gxxDLTRvOAbLa/ggpJtBz/gjM
MpD/zsRAvvEYmkxf2p+h9BJ3GsDe1h8ZVUFy5KWhzU/kQRKJoFFRNx1NQztzL6xfxY8CoB11Aqi5
DkHC9DvgoCmAo7fA9In1j7qVnY2O0eB10X2PoOV5q7kLz1oFTf8FQHM4t2B5E0C0ZkxFqb4HQ1IE
P6OmLBOXlaC3VcU8T8BgArYWdV+bOXb0gBJZX/tZNZMgRSUYjeVTCeq2gPlFL5KflMQ94OZDtILZ
W4MYimEIOnc3I/8O8FoI9vkTQKbTelahdu4RjllBcNAckfTURJjmVxXwufdj6lcnP+yTBm5DlsFd
Jak1/9ALvqzvZvhzgI0tQ1nT5HgpXIrPZgYf+y84U0h+08Q9cUXXNbIs+jANBliApCw8NEDrh9+S
GP7OfwSzKO+DbgJx3gbrUwqEdNbMFMZs0BN5ANytyXyNmvBpvYLWiHyVaQ0PMi0jlrxnjsv2PgB3
PDjPXW1d7vW8Wa5SN8Avj8WL8L8Ahy3KD7xPK33QbvQgoW78FBDeFD4z0/W0GjrcGZiM+WeiYcb1
CYX4ZfdgKRw6Tj4XHRwslmbC2jnTZOAnD0ze4a5Pp/hJLgYTu0SWZn7giw8LuJJ3y5zHtBuH6ujj
tWq6EQ3qoU5lZXWTLR6bqkeemDQ6Kw1Dows2cIh/cgA/NfC8RozgkLYBMKs6BBLzbKQy4xFEQ9i1
jaaFzxMo87P+RsYUX3CkfhVA/bzgK2qvMgPcnYB9zNuLgieD/nUV9z1Q+VFO9TB/D303w0sO1zvI
+FE5Ht/huFT9WSKEGXDeHJZPsZpp98X1wLlBD6UUFJJgUK9rfZ7HeJgfHXBWAACDcgnoahaseu66
DAY2tpszZLwn8zTbidDPKKkfsCEIiFvSDxKtXAZSj3bIwXzDS2fezqGimZ50SwsJF2MBY6eKwNGg
CsZkvZkXkAKBWwcpJr0C4RhnRL9LOYcliwOufR3q2vsYUzGERx7F1jvCeyRIj8yta/N58FfSXE3j
OqeFVR3okP0clu6WAMbzzg9MU39EFjmEk1st5ZieUGRajdepwA3m3iELkZwiUWO/G8uS9gdYxfHl
VlV+Iw4weQhAX9QDg6siLP/Kes58zKDgw+gLBVeWNgL9tV58Fl51eDJu7jsIY+sexggRgBgoQ8z6
eUjhDkRSMz5Q03vtjxD4YXkL1rvBHGu5kvwP8LdXzAQFhafJuyqp4XW2wqEHlisiMp9gJcnLa0CX
G3JGAUws71B9BIZOjuUIhkNAn5DyT2BgLUogDW/A5O/qqiomMH3AA4bTSNRc82Z0+ko3igC5Ggbz
5OdGA5KWTaNrw4/4zeTzFPBx+S5RYyrgxBVyWCb2UGtXMEkcRXlYSr18bMJ4JFegZa+AUrdtmlyp
aQC51Gk7AhE1dDO8wbyJBQc8KCT8HT6X0odldlV95bVhhJejuhSefVRq7VogO2GMhFNRuy5P2DVM
K1BSAULs+8tLDfEP8L1j693qp5EyWIlXV56TBkOPupQYAKHbGQsyaNykN8PZH3k6Xi1jnNLLzr1w
A18CdKMBFDtFlPuQt1brhXlbz869J+kiYXEkbRKfWKSwvsGFZW6GB38Mkv7HOhgNhyUJ5jY9uwgu
SfcRZj//2sD0ScME0SNd+SCQGp8/JAKdeL2GzbAcW2LpeIX939MA2o7ALufzyi4eRVSM3YrBHKrp
NM3CU59Y4Eb1bkKfTdd9s9rgoZlqXh+ihnfm66JZSL+pkLlEZRAU+q1GTxH4MLUosfDfocg1Sn90
UZyK773sRYj7FfTT5KCasGFXio3G4fwGT0IYoPWeddgK5YLtA6c9VJjEcDZiR9h24bSTJYJ5P1GE
Cgs8H5t6c17hmPHILOZ3DkKyBMl2WfH+olgbfaEhdBEHAlI8CM7wE2MgnHXMFiCE0xieZYuv+nvN
ex6mGUjG9qTTRnZ3BB4Fnsxiw5YfTQccNIxF62h6gCMYrO/gFILDR5S0Mz9NEmCNd33IydfEAApx
NFGJVEBSe2MMKyldspMPW5XwAe9PpP0gBTPrTQAue4cFM0JsVJmCUC0pBGouhrtSyVQvhySKqncO
yhfvsMSwD/1g1rmH+YsEG3WGQSc2jgNLAW1/EAY5pgwOmLLPiTM4RJ9UPwd5UpK2PQ5+GWIk4JUa
3EVWX8CPsbkcfpLQgPoLdvxEw6OyvR/YTKyL+9IkUnQU9NyoSR819Qz5XBm4TwytxYnrwKvGOwQN
RKTugNV9ytgck/FLaAVY61U8a+z3bPFxTCdSKw0jWBJ547nGJ/jvbdeO7BDSGDRhxy1cmxaE+jfq
D/N0CpmQAUAGINReB1FNkiORnLaZIQFMo7AZzWM20LIx9xbSKfDO4WfC5C0s6mA26C68xHVYyQ0M
hYSfJwBewFFV4cgBv9EIy/4Mg5XqLOKWjo9WlsH0oR1scEBaug+/w6Vvng7lzKMrHNdAwRMAwHZ4
dcuGBQBjPsLBB+6j7oDNFsYM65jqrAM7JT6Ogx9eVTgPfJkVIzdVIpE6B5a4N2Baw+4HJR4aPnNd
1MTXyVy5P6Iqtc1diNBRxdqYNYV/Uji882dUhOAKRMbbCv41K85OQTS8mzwti3VcGBDtlbhDCt2z
B8AICYoXY8rv3JCEn7oZpo0ibOCRo9Qy3kxCpg8VGL/TUWAaH+hiYePFy/oqiqL01saVu66CRX53
1dR8TAn427Ufv5d0UJ9ok7ZpVsEVE7ITKwX8ERa/TmeTVTjtupMDDcpdAcZbfY4DELDHxiUpyMh9
fFDwl1xO7dBQIHmRC/40ewn7WMmZoIozHFvmXZUKjjkgD2PmJmD1O+7/UY+lGz9RGscum2q1JJBy
BtPsjrXvLe4M/PAKC4tkCJwGiLPvDajRSw1497GKp8C7hkMx72BODBDZ9cCDMr033mLG00Qn539e
YxnGB9hGTeONjTStvuPkqnpUJIdeeKVrXUe3DQwxAG+s2gkg5EAPyWdipfYfethe6nwcNHzHZGxi
fu68KZXfPMC2QbihDu5UR980YDJbWuMomo6W1YdB4owyZyXxCMjKjjpbPy0JBa15gtne+hMMmxnH
IT4mFLNbIrYoSNLrSJscxQ1lWAwJzIbfLwHu/jDyi4g6jSig9I+40VTs3F/kd3CfUSF5sDxs6A30
syQ4BulC03PQoJTrr7rsSvVgzZho/wA6+cSvTW/IhdYPBhBepNYmlO49rsYMJqQKks31BiZCBusC
b9kc3GmFkPwocFmdvwkq0nPU4VWCGDWzb4Ehwvuu8KaFa/LSUUDNkITmB8wOHJZAlZ6wupvBLsdJ
VUPyJZ6xAHxOZqztX43p07A5UtZ72K/KFjT1j/EMa5gq88KQERgglfBcTUsi/x9nX9YcN45m+1cm
6nnYA5JYiIipfiAzk0pJ1mpLtl8YXmRwJ0gQ4PLr78nqvjNtdi33MqoeyiWLyQQJ4MP5zhLcmRVp
CD9oVsr6+1A0eXuMSjiDPS11PiPokLBueIAlLKtmSMAhBkll4QXdA4LdFqyIJBz6CMtTPguAhTny
V4qrMiT5dBUiMoY0B7oOKAHiGlnhCqrRDucPVHxlnyxOX2oRuD4g5aEch0FNqayQE/pSGw9xiV3p
jfJsjLQMT2xFFs2hD+rZfa4km72vPK+k+TxOVe9OWpHGS2RlfeQiqIwnPXqP4+1SllThkSDHM1EG
KHsyaId4rrjn0IC+2BWimhQ2etltp4I+nbI5euqRojuiOmDrqu8RI1rHA+z3kKBAlQ1hRxSVHbKu
I7YkCo6F9ryGBge0XFoRm3HqPB2PFgmaj8KfRP4DCZAyOq4VIfkBzp/YV5GACUn6VYYy+7aoEQJ8
oSo24XVWwgLxRqule5UIsBoO4ThSuIeTAl3mF4NgKQ9V6kK8dF7xXqeoA3xxPWILKL9MU1ikOAL4
8lMHRaTIEyYVKZ7gXZPnUJD5DS8Q84sjVZhEWFUXnOY8JpF4nPvFXVROBOEfmPAfKp81xzorYKFu
WWavOwIE4x3wipA9RO3Mq+vJDfIrkJiPKD3GgMOBgYMC3sFSIniCc3/2uQkQEnRQDRbFohyqd+NI
UJmtC3JGzrWIciRFL/An8KgiV4VAkDkSf0JTvxsyi0wJjfy/LzB8Hd+8vkLS4Gw9PEY6i5fK0ktz
p4qwt890QmYO/N8Pau1Rq4PXNCLUbhLNyUK7wONSTwq1AWgLDt5Y0Qy8FiuhAb4zlneTXlG6t9EF
6RFzPbxUKMaQjQwG+hlQujS3YR/13kMoQOIDKUi0yp0dV2qs8VDsQgxygTPE2swkjEpxLCNePKoe
VtJHH7la/Y/ZBZVLvBzI1ecMfVJyHFhk6LHNkQiDV7MInocC55F0aUsTByUWUB07O8D0Chlm+bcI
CbTBSzjZ3CUIYPZx2hG0dnNcuqj2PhWFn32NLqXJVTTbQH9YuH4bK6TJotyVvY9iFgk69gpZXkWE
9NyheesYpmwcQeGfwEWA0GMtafQb+FeFKwYBkSllTRFXFxN4MJ/mQEzio0b+KOIgC5kBGfRkgxBf
o/NVIdhNNNM14133ra7n0Mc6R/OyfTE8kiUyVfMpvEIcwPIdR2e13gx1kL01eb1KBj/fxQW3TT7R
/oOXEc7efCjs2XccLXMgI6VitxLBDlg7SL4kgfL76WGQGbLo2wK9Jaq4Ig+FxznQbJQeSBCYoMo6
STfw4DAjgzU8Ou6Mi+vGzogN4T591YN0j55HzWuUCf8D2u3jmnZZxZcrr8PBeK6b2R05jaD/QRS6
fsWYVzetX4HWxksY6iJ/gHbnLpcSGc26baZYw1//49rAxrJnDdpGmk78Zpi19yD4NL/jcs2jU5d1
QFZrtsxpDxV6igBycqawPcWa14bmJZeKLfdadbo+OechVYH1NhufJwtFyGcjaxzOzDLR/COg4VDE
3C0Yh2AqSywLyJwOO1QcAvbVERk/5DNHkRgCSlAKVUbJPKhJoNk9DKDBsyOLFHCTCXbJsDUQw1qk
yFDQL1BrltVTEHXNmMwQbD8VuJE4LJyvbYJlexmneAA2Ft4jS0fQJNS4nQ9dl03dqeyzMk8CKvT0
9cJ1PXdt3TQ3sxBrjc+oPPNU+Uh0uQ+VmFCwLUV4iiLtdVegUIrpEVD0JSfRtS2CtRiiqoPc1T7o
cjB6PHYTwSIyiu764gfdvWaaITYR8ANIy25BUKrxEASVtMz69bWHUMg1jXAK/+4xuKzENZzkbtTa
zZg+WYThqCZyrCSyoHukG1+HnY+CMy/amwWBz09gLyMNPkPCOHCO0EtCKrKP3go6+SmCQmb5AJxp
dtiIDPG/j4jODRDX0FYr4AFTW92eW3Qois/52psmwZOa2E1U5ajMsWLWDrnRfaYhd+yLWb4jjkQi
kRPX9jx3tIe7NWx2YXWYOR4VsccK8LMnGV4moVc65J8QwFZI3FRjdShXI6fzCFGGjINuHmtMY/S7
3iz2zuyshxEBaIjb44hUveQc+y8dRYWGIEyJLAhBHYfWZ+RL9VLwIETeGOSpxccagAZF2IXN8w9k
XrF6KM/j/jUXfsOSRgZ1cOiAhrmka5EtOcc5X2Z1KH0xkHuq+yF6hH9A4eIFojF9tEvGkCcRrBQV
jNT++M0bIMKOkRrM5COsL5xI80VP4hvHl5peDQpUfsuMXyMjrhYV4p/URKCx0jgU5IVpmidEIzEE
wpeGIKWM5a12ADDzdkWWTD0CcsBLPaMohA1y1sO7VprsXd6RYj37lMztO6mB08ZchxPklTof3ggL
i/wuWLMWVJCMVO0VdK5e8FBGkeCYU0O4Tuj/tIs+we5tGk4gFyH+G10VZr+2U2M8+KmtY3T2asAp
H0ndXJ4Qx8Hn4A9SlzrOcQBr7izwwwrxzXY0NqaR9oMbwgOGwyUbPUQ5gWfhvk7BIs0h4zwb0wnr
NVJ8mNYIQQ/DqD8EMLAYYXuOoNP8hNNgLW8yyrIO5Mv64iYEc6XuUOaFnK+zkYgogU5ESXYI25Jg
QhVZg342WqGduuZuDlfULKOmVwAJOnTre9R2MXBYv4q9alzLQ4/XoD4hoNrv30TBqtrD2cGnI4I9
QgTewYW9qaHnqtAhG7GZNqgTaeLVg0x5oINlPiO7Joxe7ADjh9sJR/tZ44sXtKSoQeawu2eiqOdX
D99GenHujyFCti7iNxxIXbQ6emcvJ+ibzOuQ77XU4MuuSLzLlLpfGt/gsDLYkGOC0wqYlUjQa2E4
rRLTyPYbou56AjrVIhryNozOQ36aLxgOTN2Yo58Ec4tuuDays9E9w+KhUCpG5fq9ytGN+FyWU1ed
qKKtN2F0ddjCW5UPxSNFuY+5HEhB2UmjNOrfck3ZFCGBUdLlbhLURu994HPIF/aB/49fkRVmqxft
2c576BQaPo/uclA1CfbZOkiE6ztTQzanh/qcIzQSydYQt4anQeDgw4+wXbP9jWYQpU7Jih5Sh5Nu
MYhCHAjjY3QzaXSSblFdRxxhlZSa57Yuq+FaqHDqzp6F9/HnkJCMJPxSs51s13g2rkUwwTafMJs9
etbYAmscVKtIhjG0PS62iYa7wowQujSMCPd+rcEiSyJi0ORBdk1bHotBeeO3iBudXWKesPi3kEOX
br32VtjxomStu7w+T1qFC+opWNYmvphHe7V0rQyvkOgzIK2yQmLFC1BFxq6LCp3ARJMGBICjHoD5
RAe8myuwrQui5p36IUAyX4gwcC/GnHvHtVkoeo0sz8YT8UGt7k+XgPkS3xQtniWu4ciEgKF+1uww
5ILRq3G2cr3SdPZIm5AlmKwEpqdgrdRZ6Ze3zEei9QszEGG+CUUtwj6BjYtTzXIrn6cJrZlDraJS
QZ0IcupD0bY1v8kUIg2fpwgDc4OUv8pcEwsHjncO9xrAoXhZ2UNpRaOu53KQ1Qcc9IrMJcSiWu4P
ZRchQuxAA7xgJIEfdq29hJOQL/qAPqCI5KkCNRjJ1r34BNdjBFInUpqwbY4NWkHGnlGADRjYUZR6
eMA+3QJ4BhkHrTTUbnJ5DjHsEFdJllfrB3RPsvnkMJNPcl3FLQ7R3LtBZJJEYceJBTByaeNFQUqQ
jajTqhQ9u11rJMfGfrB046epsJICy7cGAZ6j0vOCRJ+JM4EeZwDSFelN5BIOYMN8bhwUrg+dmQMT
nEDaD3xgGjODWXM0rNKViWymqToszXAxoBoNv2NDRtszRUweMqRbbRFS7Rbd3iLdCplCDMZv/F23
DMKeCoD4iMA2vu+d0KMci0MdKYljp+6NRoUUNkX4ZRZwhb7JVlXOT+ICxwN7z7Nh/R627JK1WnWk
PpMQUsczAerbv6s8gI3v66wJUNu0jM63PvXM8mPpWalvl0V5BgDfHETJKlGOxMCXLXorBWLbeNaP
FAFIjZmScYHP4HnALZQHuwZBlYAbjyDqhdILo9EhNxdk0rvawUj0A5kqZd4N4+q31wIuWYiLxDfM
oHWQSEBOCiNo+RUwnxceShYhKTSuDM4ziWnxtjdHVNYVNkgspJdj/jTo6V56gwsR++n5AyZLhHCY
RGt2GUGpAVehkhiYvDfC1R4SkQtRfLeX/fG7sIibnMKeXQLF5eLHBOtd/RwOQzBi7inW9GOsIzO3
CSAm+Mogm6wghzBgHug1oeqzuyAX43TCMjrOZ1e3hXsby1nPt90qGvY6zJZTHF760l4vi1jnV+T6
aXfvOEJrr0xjs7gZ/ayPUY2qC1iuZ4c9Fw3Mh2hZpLg2OZQGd2iUND3gQDatgLb6CqgVg88dZUhB
tl4fxRAWBdNx5sgKQYXd50+gSfioiBw8XJ9KMBuxL0KSPyOS3UWZfBGaSJB7W4J+lkvbbOi7MYYR
Q0bjLgKPIEzQ+x7sG4AkBfAWgA0ZvwCtWAsv5iPK1zJmWGVHYIh1B7VHHDiDc+dphjwUXiLtTHn+
CQrrBVlqdoLnRZ82bmRFmUw9ATf3GkDRzPzDEOagchz+08ApCVpYRC6gUxWOCQEjyMReNPZZMqkV
qZf4be/GTbnSZ5lfsF+F4/esL2smze67AIHyQAtWC16rl3nn/8zsTObF0PpqrIcZOaEckbsx0lPZ
PRpWrT3wDOLvfQymrVcVwhjbpmtNfSTyY0nfc7eP0vWbSuVfFB+sDh3aNbhuWDxFAC0KtlNCs/Wo
6uY6kFkhxAnbJAGIJB15Z7Ba/5WT9h8Yu6Nl8DM7ElBYMIKRhs6Eh/mHWMVivGkmryuuOjNoAE6B
K2ncIqYoeJgNoFscsEqPJJ034zn9OYXqwir6PbbRhliGZCj4rnuDOHUwP6wPsJCf34E8iCTiZUb7
Eb246Pznn/RHZKoNz2zoDV61MOQnGAL04nlcuswiwA917mHCzmQTonKvRlU6L+0+TfHW9KoEPwy7
ScBOPFIBeuR+e+yBNf/FF/oDgijZsM80DMCMyCUDc6T5Wg3+CxJ1s33SEbKhh6JM7xutMnZaZI4D
w7CcC1uHOy++YZiNvj+2neXsBAz6iEZqEWc+kMc/f8x/NCobemg2u2JksuAnRRAtHA1Iy/Zz7P77
rn751H+Z7UGlQ7CDMC7B2vBYjBKmdGv3/OcX/4M3lIQ/X5wPfjPpucTrkgsZfDfAlKaE8CWADQkC
pHSsLdjYV9CVML3LzSvcOmMhVGUSXtaxE9wT2SvtB3NX+oBX//wL/ba4/s7sJpvZLZCjDlhI0VMT
yRwItGyRcT75+Odt8Uf+QlF54/+01G95WujyfbkW7328aQxBloXNcVZR+RFmbt9nF8LpNR4FSrK/
uLvff1NotLk5qwNT5f40pB2iceoY26x34zmyPP35l/+jy2/Wm8kLAf1RCzMZt3wHC+dxNtHXXZfe
uiKM8LzKNQdzruLqaQanlTTNLgEjGEo/v4MuiyoOrHVIV9fnRzdh3fLq9tu++96sKsVKM6iqK5Ni
UYHFwnLXRH/leHeZ3v/+ptGtDcLkwYraaTGkeeOYjQfBy3c9R5LsVAZ22TX7Ecv48+Cwqp1bdMWH
tC7Cz3VOXz29TyCJzMefLz0jDa3mIhvSAGXalTODH/uO7ksJoGKzsqgghzIyDHDj1H9tnIfcXU+/
7Huowc93ns+9hug/NykLCjod19AuKBrQAK8O+z5gM09prlRkoxqv5Ow9Fk3wHsDILvcGKjZzFJzA
Hl6duHS2yMeRFPdZyHepCMBo+XlY6mhBg9ktQxri4JZ6UTA++moqdil+6NYIIRCOMFfgTczIulwO
4ilg4X1uJXSbldTMwJrByhrS1oG9ibPAqZ/UzlV364MAticEtRJDjuXxxi3BTc3m97telG1CkpwU
Gpa9QvMxU20s1uVGDrBz2nfxzQSVeEtwxq6GFETQBzSVbgcy7rzvzewcAKpnfPL6FMXua+EPj3XV
f9x315vJmc20qZQuh5RjZGIJlTwo6E20bz3cOiCMYdl7ZSd7WMbnfQKznkfryV3aCrpN8iQELIiW
kT5VRYgeFijx7miJx/cNzNb/oCwlEqvKBfNGIkY9spw/1QVZ9z3RrfuBKxnPkMPVpxeAKfENvcNO
us+6gW79DxB2HXVs7vC6dJKCFINWcQXeICK2q13OMwgX+XntQnQfkQpB3KlS+QTKE3x70yyj8BTa
9VZuk46WCijo0GQ6jTwD3qabdPPDSvQy9s1VtpmrfhMQOgGsSId8MYdG8RLwVP7PqO3/z1RgutWN
CzHPaOYRndqaB6jPkTkZwnhz571vZuxYI8AWUKpODRVqBIE5qL6AVNf+lX3GZQx+p1DaSsdBaUGb
EkxPaEbQMS/G5sNc+/v2PLbdToNuajxhMe5tpK8WQ8xpAuZ+teut2SrHXejCRdeTTsuMra+ky9QV
6ldd7Rv4rXQ8xDoJxjUeqwQUZk7CRiGN0czi/c4P2FS/oEFXHbqDGPnQTOdhiD7kfb0PDKBb9bio
mgBI/KBTQcfnQpnHqRqf9437pupV2TKFda36VMC8rO0m6FEoDXcOymaq9nDrjsAt0GkINPOzgJ/5
la12mrrhrn5eyMYLd3ANWQfiHoi9HKk7sQeqz75ljG6m6rB4kOfWuDo4hjZmvr6u2r8KUPqtBP2d
ebo1NUE7HsleUdClFxwaJMmmLbHYiGKuEtWABHrV6GV6to2pz6EJPZ6Oed6z90jXFv0DrIfN8CxF
w68qRCJ0V2XVUuAVEG5nd2ruI7SwV1r2w4epD0AlJUvfVl+6PPd6tEkcREI+m3MLyxPotA61D4Pe
hE8B8HN0Y6IyDcSc03PWldOS+ARGph89hAouJz8sjQCMPeOaU12M60n1Mjdo3wSrPYF7Na8H45qw
/TwLYMIPI+Ve+dX4rO9TaO+lS4cZ3/egx5WB2udYBJebAIYofBHKXim4CMlbHrUXtK5fg+cgkpAD
oE911gU4zykUGNBFTU3t6MENVLEjgGwK9+w6dzRRoCJ3qGelXJJoKMBZaaD582+mFuTCMzjVI4UW
rVJTwsLKndfVa+6GFtS6AyXOodWbwd7wufahVNtXhWyDd4DAgkOyyi6V8PmNWVDegsC0LzAXffKf
X36Cr8bQ1+9AIdRZc+jIVKZzT0C62rcubFb7ZqaWVzbsUjCQocNuvDhQody3LmydcUKaLaiCa51C
d/iW0eo5E8XOQY9+HhcHB3tA67hvtJpT8JiuM+bvgmTp1v6COST6+HDeTQMp5xjkOmi4an8ftEm3
6VgDUSEEcr5OVVBCqVX1P+CAsa9i/c2e91+AzdJBJ9cK0qXoB+k7JE+jCRCOzb6tO9ys8jkviG0D
blI1VPQWkoISkaZ2/LTrRdzaXwyNcs5p16VVpOzLEPXrcWjaaNz5Km7ec78t/NUL8VC5ath8hGLC
rrHwWLVPuk+3PhIjhBqZl49dCnHxj0nTa8gt9qW90q2LhLbT4HoIr9OcSERYjVCy1Ekoy+DHrrEP
NkWNY/0aOrA807qXIDuBhgOKGtCOYJ/nGTgHP8/WSbe1DwocCgTig0UgJhA9imKf6ysNNrWNFlNW
rgpbOOzhYSYDei5UUhNJ9w3O5rWfyAKCXtF2KVyD6mseOgZNXj/wfdZkNNiUN6ZsFTKUOqxksKa+
ztuQfMaZdtkHBQeb8gZ+uP3aGNSrgLLmc0Yzm8LfWRz2jc1mdwrC2srissCXRaPA0+jB5R2bfS6k
NNjO2cGf7YxzcgotbPgGXdX6tjYWNNJdN/9vxhIBGGx5CVMDxoXzzpVs/YRkE6iVf379P2jN0m3m
FKLos4zXUZuuNQiy73VVuC4B1TvQh8l03nuEUd95nqzLA6q4CvIBicPoKQcVsdv39LfeE+DUg3pT
ov4EBQUqKK8pFbi8oDfus/2k22wq8InAUO4vK1MGesVNU6hSpEu/jGTnQ9rM7ZXYgYIQ1KZh6BdV
PE8QxcRlBafwfRvDtvXPzdoMbYAPWGwAJc9qXxEc+u3P34DLEvE75f+2+V+PzTJKu7YpeGdg5qnw
B6RBe298M7NVv/rGVKKB3pae6qC6DgKzDwLwN9O68TyipmhEyi51Jqk80LKQYfu0b1A2s3rM60FB
B9ymsF0CuSeHLrhhxc6tctuth+tA17Z4omkxQL/TlFP4bfCw3ey692233pS07WjrNynKlTvh1hto
2vd1MbbNegiSe4pcgzYFqS2/9ushilUBM519N77dgCteRK4KmzSsIvjMgIbcX+cgru2z56bbrCoq
5y7kLWlSwdoy6SHPhlnFsm+KbtOqBt0qlcmiTSXNp1sDY4xEjKV7/POhuawkvzNJtw17OVWLA6kD
8MJKe1TNxCh5rInfdUeI8bp2V40VbmODglllmR4HKEAH8RUH9XeNyF///Bv8/jITyk2FQh1BaxBJ
0Agnh2Yo7o11byDb7eskhXJToBSolVuQm+tU6igDumOic8OZ3TWlQrlZxrqgtPM64OYzMHeOzA80
ROHzvuUg3EYHge4pFmYAdvjT6C8Q+KD5m5RtW7pdh8VwGx0UuSnTKCPq1Idm4RApQh465DbvWisB
QP9cNy+8wIl86i/mr2rurkvik7sgAG17193TLXMkWngW8VB1KbEhGJp4i8rLek9kt69A3HJHGq8w
vZOQRyM8/NmO5En52a4Xh5LNPtJBjxeRAfcOyJcdigH9JTgZ/BXr5Y/m1GbkW6yQ0CvM+REalOzJ
LZ5+bqFgP+2bsRv0oi5a35LA1JfCIHrUTcjS8WJts+/qm+McpIeQCDaXCQtn4rjro0coIYtdi3Eo
NzuJXcZ2sUtRg7ay9DoZK91/WmvZuX9c/79+6syYv/83/vyt01DvqHzc/PHv77sG//735Xf+5+/8
/Bt/T9+6uy/Nm9n+pZ9+B9f95+cevoxffvrDEUT7cXm0b8Py9GZsPf52ffXWXf7m/+sP/+Ptt6u8
X/Tbr798+d4U7QEqhqH4Nv7yzx+dv//6i8+DSwH+X//6Cf/88eUr/PrLzZehxadWX37nt96+mPHX
X0T0N8YCHhHJZYDAmQvdaXr77Sf0bzAjYdAV+YQwcFTxIrfIPc3xudHfKIObOgEn3hdCXIAb09nf
fuT/DU5VvpT4CcV/gILwf+/u4R974z8eCcbjn3/+j9Y2D13RjubXXy5z4n93UEE5g3oJjg8hl7jS
v61W3DBPg003HqF0gP5nuYd89IcftScHYZmXjY+uq370dPyrDmH0G7Hmp0+G9xFsM/0Iak6G77LZ
RFTOwpWvtT3yTA5AGgWJoVmhMOxizlfngAAnB+2acljKF976NBs91+fa5etd4Rv9gzK5zLCcgwtc
3MI6+WMXLd1NGdAADiYFqPMHpZgsoQJaogda97B3sMTlp5BlQQJ3wg6QsxPXnhpBWYSJxwqrugzR
SYuCITgf7kFq4Aceht9KotqDreA2CnFlMno5VO19+7Q0ODSPihy5F5AbeJuQmM5D+YS8PhibzODN
wbrK86Fb86s7gZxkEdu5nO6gDX6vZITPy5bZIB+PN48L646VLm9LwPjvKo2hmOXqr0k2E3jUFRVU
PvBsKqqk6Xr3LeQe/TAKA386Y311Xwg53LIWsjy/WLI4gKi7gWXpAqsPuBrACKRUL8Xkyyd0GOZj
tub6AGY6ttfAPkLlTg8ZlFAfoRIMVVIN1IOhUAURaei86H4Cef9HNgdAVdsOpMBElaP8PurJBEdY
RnmxGiT5MJPV4D9h48UPSMnOnwzE8zXohUsFdUCgSpxgq2WCFjPKbxBlON1MiHy7DaB5TUKP8bu5
aOg9tHlFfgyqhT30XgXLDWrIbWFmm1g9tw+zmpS9pIqNbbz2YoQUsYFXhtZZm3bUzreujEYcxTNU
C0MpTyXaIDft7PSHvo0ENJ7aeOoAyXr3EsALC5YYXgQFdQUxRQqln+weFMDpEk22qoEYb7FjdnBt
3yTUaDnGDk5tV5yQQiddTtYXODDAqh8ycDWOIE37UJprkI/u8femPg6m1n9jnmDkqKxrj0Cg5EPO
Jyh2CIxQWGIvaBTz4c0C8QxaRFHblS5VjsCq0ZAgTCmCkfShw075whYn1uNaYus/cNdmcTaPURTD
ZQpwdCf0cs4aIy4WIUy/szYfP/dtgBep6slHRbr8LRuF/oaRKZ5M1cp75E/APKlf6qU9FtTmH0HR
B1+nsIWCnrJF+5UT3z3wwOJT1iD3rxB2JMdkqQX9DJzUXPO15HOSIUAyiwtX5u0hD/3lCA53cCpN
vTwH3Ro+tX4ErHbyg3E9lM1FhQehz/ytbwTHeUZN+tFlvvxsoi5/HQqM3pFGQ/dO1nUFwa9U/MWh
AoyFtf4MSUkxf2m60XyAhr8O4qAd+Je+KPs21sKrDr4/cJbwuhxI0vu9/+aZwn+GdUzz4liZPfI5
FB+hYwxcnIc17OOCKSTvFTpQUGH6roJGtWXNM9rO9GgWy6dY9Uo3cQZfF3MwoW3CU5FHY4lxrz3/
wGfEMKkc3hvHnAQRiklI9eHPs/qwcorIFRQtzqV5lQ9PsNfp4YajSH2zVhWStLolwyoCIAC0oKae
vPsF1ssNvIaj6gWGsiA3E9KVF52e6L4RAgXcgbOwuVr7i+LH90oBZxaHSEoLKYGLYbIKLaAuo/LB
g0fYQzAKBp22ZKJK1tafHosuCl/wSFncISoF7gyR5scMZ9dnmFfkBwqd+pGFrHms/aI8rtpwHms+
9x9h69HBaw3L0KeJUP4ZizmeaAT3pzw2wm9ZQqPGk0nvYD4KOZdGRepFDfyxMMnHMIFzznL29Hht
FV9anGFLCfsi12JZcLBQ6w6Vt7o7qPynlxo2TWuy0hreB5mTgb4igQw+FaNxLFGWMX0kvgdPWSj7
y3ewB7YP0MToD9EyM+ifMieiYza19OPUrPp7r9ahPjS5xZJeEIn26girpzXRdb6yWEXDos5+5gUi
RsJqdde0DckfOkAo+RGUwvC6g7FDnpoabnrXC2SRChYfPmbX0DUFbNT60vsyZcOcJYvKEFHRIjbw
ZFoDB+AJEq0TDWFQe4CjBJw9YQTl0QQvzuAOPQSs0Cd3XgPHuIkg5DbrIFeCZ6PBX/EZy+N5iOwt
DMVAjoLd3bWE80Cigyh7hzdp+AzU03/nVYN4seXQXCOGrbpZS+j2sM/x+ornC3bQqrXLK9xwsejB
rG26oyPsMY5NhZUaAnU4NcFfqe/jkFHxvWs5f54vorGCEoRRTZpUGlNODD8W6/JHJKHqPCnaErEE
RE53UTP5J3xRBwlY17y2nRquFQCKAoHU2HYUMuOqmLfrTRMg9AekFHMDf7XwGOLOv8C57s5OeYZ2
AmFLvKL8+gqxQ30HjNtMR0gloT+ukApTJDgxCXKVqQUd88pG2ReiFtHHliOg57bjSw0dPXf5K4GF
GB70xbMniUAQgj2Tj+82Z/nyEf7G/D2WXw0pZMBTBdHTJ3DO/VseqLlIILqtP8EPQkKga1bBYbvE
V5W4UkB9GUDsLGOzwPsy4RACfp4sGx+o8NxdNmfBAxGGvYUL7J2irFg/MEykb5J7GU1GwovT3NVp
AMsCnUTdmMG5tR6H72vh4DTJeiMYdJvwJLg8tOCxoL197jrfnnHAqOrb3jnxiUF4/2OtEHqe+Hnv
oKusK3g22TKHw2GMTioiHteZuh4uqFn0cfE1/4LdpXjkvp/PWLZgITrHgYUh2aEbtTcSgAyVuIdj
Ytcn1K10hu8KDHcSLxzoAYZB7DCHtcEkgPvhbLzyC2w5s7vOda+uGfIDksznQ176MHtqDGTnKAz6
NbGjJ9zNklP+zNfwEvmzMDjANRktTzoH3enQYCT8JluGo4VqEc6FQfStD8bwps15xOJZ+GpIsk6a
qx4GA7eW+pC2Zv2Hag7p16gKZH0lCF6zowwMbFf8AEVCTK0Yf0TgMPRxbwUMZimOYk9QyqrsZEFX
urjUqcwc8tmWmJ2hBWIJNxyQu5FcaH04lZYVmHt29robC7r364QoLD9u/g9157VjubJs11/RD/CC
SZMkH0WzFperVb6r+4WodvRJb79eo/bRBXQPIAgC9CKcl43T3WXJzIgZM8YUSlEIVRaXvs6111c6
VCB3x/jgc8GLv32ZJA3ndJV+5DgU9kCbrPUOQ3UwQh3OcJTlW1pDPXKEeS3XejvnXa79TPKe9ePc
tpDDy97VgxbA34+vXB5Wk6dc+5FqspEB6a7FJ9Q9TgHPqOFmMv8UL1i6LCtOZxA4XFT78raAreAy
Bg03nLaEcBufR2BJgrIotvQGCtF81mGBuodqgT7g54B4+2AyVXcapeH8rhP2WlYrCVyvrMK+a73A
HIU82LOVfVtYZ/Vtbadi64kC9Mt6aIAcAQeEh8w2Dx6tvWDFXfu1ibT9rtuBGkEo4vX4QgoyiExH
tz5Yubb5IDAhNu8tn6xNjTv4upTjwc7C2px1kBYbAa6riuESrIW/Fa71VLSaFi1MkA+sLFaR4yUW
V+6cPAKPgB6BM2w/4F/8BUNYfONJNP+ybFtEPSv2vGGN4z06U99fi2xlN30rKud5F1veROBvshcN
g8DNmBZ+frwU77CCOK7AKSD1u0OxfUssd3hl1zLTw3y31y2E0zawDACt8i/MlemXlc1KsgI6ZHXQ
mIk+BDXdzV/THeY+2LUse7XaDXRfMxjWbRnYdc8NaCQBSwArcL98UVkopm35m2vOGrZ7V78sO4eK
3yqSdkLoBw4LWeRrUVSO42rEE5hXFt/LdTtbPIgUvRUk62XjptXLLGuAZ2xmxjWmuuqBdbepDktA
NfrJ7qs+SoXMX9qy056bDaL27sD12Wtnd3Hw9E60GO4SNF5hYn/ppkUHjiK1c1klUNjWjQUoHmLp
vTbJTKaXmWxUglyUVRem/VyBoxeQJkBmygwKAHmkQ6hZGz9ax2reBOPEQwtdRUZT2eqXdV+zOYJR
6w1Bag/VN2hZ3nAGPpD9KZ20z3yY6lRFCg2khpgBRQL8ntG8o3BVr8ugu7+NOm1iSJxre5rYtP9Q
dMYgs/CufRZWk+oH2lj7vmwle8qmpoB1GqkuLqDXKA89dp16fsquawI9SSwOB0vA6LGapnvq3QVg
zFjzGPp9vlNgT7BygsHq9UfDyTtxqVyoEQeImPqro3rTB0z5R+3V6vgAwDKgz8JJpD/XWpHGtkxB
pPSQW5oRaDiUOThf5xwUz5kQOR44gDXlaSzs/nEwUyyUcH/glVvAgPx5bYtjblj6aXFTuw20pvgt
nUHvfdPJgV94vf0kC3UR7g6etGuAMwNhXrPyLdtlDU5cyAjKzFGx2HvMG20MDbLW/MWQ94EX4J5r
iRttcmwDp7J0+gbKj74Bm+1vzlhCaNlpLPa8CLOpAqU+L/qBjen8qDqhnhYL+mi99U04CqpGs2b3
IeHTbFZ1bZTIIw2omu9sALe3tZB3xPThwPQ9nrjYgDovUTqUy6OSvf6uQ6EhI0gvQEr0wzeVzFMw
5oZ8nqXrRpBStoOt1ruTaesSGvYkY4A13ilxGIVTnxjpzAnl6aGXdPlFiJI0oz5390jvIT5nbuOd
97lfrKBJvCTYObz/uINzxHs3/G23rHxMZxDI46w8qGize3Yyw/zAxJn+drlAGVO0NGcVO9+jNekd
XPQksyM+Yqk97pKI2WBlE52KNxva1xq4TmwA/2ZVnh35V7POtEuVqMmfsUHHjszmt5aV8B/JpO9A
IPVN+ztPjhp+mCVtEAVADjlBJa6+H/uiXFxOUmMNxxwMGpufbfVbE2N/3URGZTlnHhdYsQqdaqDd
yuUA/AukN1xQkqQttzgAo53I6l1mehy9Nb1gykWT0GZSKYTl153Zum1uk/SCk913F/IBQmqk4cy4
hmNn5Ev7Ts7PPgNYyxM9XFeNh4JZxW7Hdk2bAHzPJJrAaAarhIM5mZNvKiF/jFAL/7R2biTQK7wS
VX1wvZM3e6sX47IZ0sBUGUU0hlb5x4XmHOYoOZdhGZaHrVh3J4CER2E6ERrzi2HR2PgW6DS2jqwm
HifTfLZGfa5hzOsciQjgS5hCcthAGQww5/OakcExzxOa86JSswEUy9CvU9+2MVReqqfRZZf2wAL1
+Gvcdnf814zu/7Xyect/9c3Q/B3/Xfr8L2rp/0/6qP21X/W/l0f/u/qd9Z//7bH//P1nyP6LRvrP
v/yXROpa/+FIoOm2Z6NputZXSNb/lEglf4JAKoVnuiwXfm1E/KdE6v2HkNJ1QM/jTv5aCfxPgdT4
DzhVMI74cBIHivd/o4/+mxEEeZFPARvwS29FK7X/fbdJ4iyYBbnLh35Kl+ElQxJ53R1NtaHdePJu
OSDbQ00AnFH62hyImyoIPU3t/8Nc4Iu2+W9SLV8GhBcPgcpE9HT/+Ur/F6cge2eSssozogYTwXvp
bhN8KC85zSmreVOZe9eVtn1nibhOQJy1zRS7ladFoljtmP8rP2iibI5NmdU/7IwFM0WxitBF9cqq
RmI/6iPI7B08S0g+0fSQFTks3aKzy8gCBfOUDQBE8s5QJxc6UaB12g4dLq2SSOvLJTRtZ4tUChgY
BMXyISDAwYSRtgKEuHkXCSl0o6wlv6Pg728+CHJx6hO5fjbAvoOpsB5ApGgx6WJ25e/DaH7qtl7d
bMQajqauwvzHwP2yyjHIYY39NM1x/y3K3n71eAiORIDM57FchsccgnLhF1mZUyIszc/RcYfTJOf+
nlmjOOuNMEJJHMZBetb4mEqTQ0sZW6QX5rlq2hguAm0K5d/bxsJcBwqLXCyrEPJDTIlHWoVuvGWs
uRwmkCIn9LLE32fTuHZZqh34K/pxpSIImyXr48HSvWuqmctpdr+YHlt1UFu6hR0934XIgRy0lZVG
7dK1kTMRFRdMnTIPm7PYUQIrkWhNOb7and6GXt6YoZN22QsBG/YHlVzChjZsD5MYlbgdzJ1vrXvc
S7qfWmrLLa3L4nVi5+TbsgBDpehIYsPi6u8bI4+6pi0Cc+/n311duJGsS/VksTtFDSq16cZqUH/O
U9MKadIPJNLcrKyLXaVd3C5DMV81kjN05+6YRbZRj6Yi2HXwgbUyqO1BCzoojccSe58/DPKLX7R9
yRNaSANRBgOsmkEOjzQ/0q8yIC8IBSokBSSPTfoQjOg9XPCyHD/ygiUoNYwN0m9K26M07aezd2vk
zopFZpusgy8/ABhTjUi9r9SQFlDu13/J32k/ekdoY+m3Hd6w8jUxb7fUWuD+Zo140oFUPk71vN71
VtsRiOc1XHZuWrhhdwIA8BbV035sUXifqsqWx6qy9idrTEAF71oe1CZcuBnwy2O55eoO6CONTCO3
I1jd8kT8ihXYWQcBW+lGMFNYxA05ie+VMk1+m6gZqipJ/PDqvybwlkgsXv3KIITSG+ZPyMdoginr
ZDwzDbiu0NNPjT26R6VSIzLV5jEopIYIEOC8qE91N1jh7od9auZxj7gdlagnK/aOhuaBqBP7MJlw
3DkiJO/aUMpQa1egv6re6rhg+f+8ZQ4Sg7nKO7EM5vO8gkFQw8Pa7vvRmxv75jbWdvy6YUOwgeKW
utnd45CJDBf5fqqDKoPpn+pquszCzH9tTZ/9rVMUfK+CYiK8PaGWWfQ73Uj3kXLqx7Ce5bnHRnxT
1JinXc32QSPI/D7wZQcduNnnFAjzp9G6+VkWox2PyzT96pnoPHMyu4gYTf/D6KYCqFiRgC2TSCYt
vC9FXZ3K8uRadgDcof9Ctk7TdrTpvJYQkDrYwKGlYEoySil7YCbzwNLBwrCnT4vbBK8szHqtOBQp
AKWMxk/5CY6HQAC+pbjudJNUO9QGlsXMRYZznrwDW0/uFjk5O5h1rzF8kO/8nj2AL+D5hTs9gUiW
lW/oQ/8+dO0elCJJ7ywQ1Wcuv/mWmEC+OdO2Ixq0Oi9bnX1vhZrnwE173utsBke5ml552NtFpQGD
wtW8Zm1pn78WO6zIbL0/G9E66alVqouWaVRnFwb/h5WTeLAXDVkU82jCfoBqeKSPQqv1yGj4mzfl
1jId6se/zuB+abD7+FGT2xRDPLirTPvWrcsQK00XJBCRR+OCydiZeQiPZkAyHtgZ2X2H1SjZ+MnS
5oNc9IoQio1PoC/OKVnYgGBqpk6ZkSxV+K+EJShG1SNpOLM41smCKCWLbfaubU2yxB9yB4bpWRS1
9UIQt7keELLaz4FX4TNJDPXeVJl2I1RJZX7ScEFHouez1R4iSVtYPYboLrHeqfc/ytrTLptrr8lF
t1AzJNhrGdgjSt+/wprk1/MPeo+pxT+JTRhOsP/lm/wrNsN+5irEQ7M4RVU8jcPQnGCC5y8TcJuX
TDCCDNlMNuyHufa6v2kN6xslyJHfVLeav8BCb6cR6NZxy2d5kdvs/vFqB1d1YuhFrKH7XpPCIshM
65buBWOQvKmVnypR785xFp3lW4PWyecykd332pLdM9vF6mWruy4muG1mfpkCu4HF6kofgu96M/fE
jC07TyNnoHb5J890nBfnfcj0yr0PInGK81w+ayCvmJkiuVuEDEV62SRU0J7e6d+Y9uXfF7uYDL9v
c4hTdZWOZpQ3k/1DQh9V9wJSZBONuUIRGsjMiCqh9cgUjAGfhDIbjlstfcoWe/mo+la8mdpivjSj
qM+eGCC5mGtzTyotfVPSA+4uBoRnOfMhqLWWAlglgnm15gsJRsZ4EY4FlNBzNbiiuGNFNw2BWvYG
IiVDJ0id2hcYOJnf+lWoIiwZDDEZUeX6sLGjN0Y7fGnT37+YYSxyNWtciGUKlzQ9JUOz/swcbQmb
fsu+pUY93FBLalDNmQhUbZnBzA84IK4rNmoI5Zq3uqeMKcd9Ym0UCc0bCAMGNU4t5h7XlcAcDlWk
M4w5zFbXCyNKzUJtWiYjdgZA3eehKbIz5QwJagYAz1fKBvlKgk5G9kTL/X70Ckc8soizI/ggy5d7
Iwfmmmb/zL862MWWH2G8swZW2yqUle5cQAVsUdagP4Zq6IePNpHMmAt7g0pvjIeEMBGuI5NQm87W
/EY4+LeaPb3P+2YfRotn1Mp69yrJSfLzFJE5t/zW+pPpp7VXH5iSPxPb8QsT16rz0c+LaQQw6xie
MUz9SX3ZHEYmJIDa1m3+pmVb91j1TJPMMqnKsAKl8PCFsdyPG7RDIl5Ljy3kkhiB0qu+NkutuEhT
ebTZkwqh0szdA8k0WeCC8vXFVLfRmuhiexxW3WjOTbPb4JRrAnXtTOv9mSH3JS+98nWeksw3AEey
HMiKXkE61+OcZSZAyrbZ/sxGDVE2bZbimzt6Sag0Gyw5K6KOGRTox22wAFCuo6Z2DSJy1KAXic96
EVft/JV7Bu+OSUfO/DtIkhrBZ13Q4Zu+PbBfoK4KbO9DsTgdugusz7XJTOM8p7MWFgsyUewlSVfF
jMHUFafI1KLw0lmDGwy+whTi2ZzFT4ZN5qO1GAN19bDpL5w2GYEg2TS16Nl5EvZjEtVzMp9LlvJ6
jAkm0R0RRQ8LSuiH18W2wYdPFfOWJRkHFhlH7ewWCPqm5hGrgLDib7tR/ZmUk95LTkVufxQwwjas
L8L7lmxhaenqxtoi1RtonveWDIpHLrjuwjabdWF4AWfTIojNgiuJJNEkf5H9q6gUpnNf0QEooJ0J
APxCug/xTtq7JnfOkG1NkjXwWqUfy7YeIqeyu+d9kQg762iYD32ie0Hu7eunTTDY08YpfjRSTYcE
SOoU8nwVTNXwp/8C74L87kLna/tT2ixqavYuQlssD0lPUZAv5sXkNxQVW+nA/tYbkgUdK5JcNH7V
dkVU54lzIyQsexdT/9AZcjywJzwcq8YYVr7rfbz2dlpeCOFxOEiMaoobeozQSzPjpKPYPYGABT1e
qUvVVG/SqP8gsN3H2W2gymdl0K2ljnytlpOWu9xM2PQahym9FON+r7qu/gWlZLo3VF8I6knKCmKZ
xRDLlrMjfpakl4/jaKHBlRDS1i02NSujl9qXcMu2+iC4kEgNSjckZiKcYlwfW5AYiGHZac3tc7ZJ
QmPSS7nn8pY6qbgol1iFskD0CfbWbr/WS4m3WWt0r46wu2FeXltepoOl0iaQLrMrvSvzEIhX+ZRu
VLRJn1oXd5ysJ0vU7plVfGRdgYznaC6Bhbztl2n7Sv8ym57hyaj0r8fQDpyNR0NbGcjCT4gTIh+O
ZFuc3XI8EggRCjc7Qpblmd6CRdlM8whtOsMoLkBbFOulN2w93CR3k783zXQSTi0OhVaAH7ZscJY1
ppWQ8KbYyru406khdmt2A0xZWCKAKp2Sveb8QwZ6F0nbaEFWb0R7kLdwydLO+9Dt1joSYyO+keZi
BcA6qnO77lMoNJHeKs0mJG3x5nifC+MHHirzm3T29pkKuDgx25vfS5U0J9AB2rOYJ/u53LuSs9Im
zsNSfXbtxyK7ZSz1RDpF2y8hBC20aJmFoXP9Ntke9jVrvK5dcSH42g43Pfmpr9x95sZcocQrkmuv
UDJhs24zg/mFWZmGF+O0GpN3Y8bjvRCvNIaKVLGgERSws6PMaDCJJ7Sd9qpnbMmIvAmlTj6badFF
6vVzMa8ldYLqP+GOWWFNMBhOl147DaYRA1jWzrqZ1xH2gZGkv3E4O175bDOftV3GIIbVPzTGt05f
bxN5PzsB58Yov5fZcleLLmIyAF+g/h9SDVB33cdJKb6uJXwfCRyXgNLwW596H3Xthcacf/YIG0HV
4y1IXQWhc53q2BsRBLlm1NUqF4PnuG9OnlteXDurCQOz9ovssR87tlvFdekeMRs1zMCyKk50lZNK
V6VHVuRedBPQnbupOYBUtYY7BOiSh6ORJ92muYLsVv4yjaKBmezgQGBOI8Ni4owkWS/OEDxDe6z0
I1GLyaEpneSyVqRhkIEwxB4BmImvusK55imbd+7qhDvI21NflYjjzklM2QUqRkzQLjneIrffWux2
Vx1S1FteWMR+9fPoRfAPuBhLHGXSL5m1TIFbTPZhH/L2XVu8KnRNWpRdAtard6+9wDGfX4gheixt
HRA2Zg8XQDTM1zM7jX/Uavc3/FYa43hXh+EM7Etv3bCDc3dAYmpPhUtGW2euZQhYZ7sxTptD6Rj6
L5PvDxvRVI6BA6j0Y9Lc7oSvyn1cccccEqL0AJ4yF2elO8LUoh/kPDJbTHTOvObDZFL+PJMRRYez
ettTrduYZFxN9ocRD+BxYSePOazOjx6QMcTrxYsWjdhBH6jitQZXGspWLldnS9zrbDa3NMcKt4s/
hEJiONmds+e9rHoJrtJ8xNB6qsf8J66wP1uKT8HX24ZC3OjWymcQ08WD6JsD16YWLHa1hoWh6RHW
i+VhKmdBl63lMTdXTLpJLJwBGuUcLrpLmqNXx67b8EI5dcRt+0cuxoOmbO84OHtsa+JikznpU2sd
mNV/n4yFEfbKeOzUcR289ELfHswk+z6ZBgEqjfZu5p59r4t1/NRss435cyyLlC0ODcTJ7OjGKFG0
F5wIt8bswrZY9cDBqnPtDCIVC9v44ABPcWV19rtp1iLU/nGub+IdKxXxT9JlAkkAJTV00LdlsDXQ
//XB8GeuZt9zCDnDQ8FoppZ/S4cA1iw/1eUaZEv92pFv5pcgxfNuBkbKBX6AEEMynHms1Pahta7F
26OVUb4kJAhUwPVfaLKHQ2XltyIhqdYT4+PSV5R6APQfs8F8g01EPNlqQr6vdOpFjPYHRxgMCwas
EV1ObF1uVEh5wnpYVzmEbjWrsOyLJLSVZNMXV2XfND2Ti/lslVemPZd2yXNeR/VCNo6Ppe6ceIMX
58P0IHdv7cNhmrxwakT9mnbN+uGp8UwwQulXNBx+3a6x7Kr1OLa5oaJq3ZoTzqLpoJGEfNJEZsTl
gOWt2+f0R1qKPuAN/aTlfzX7Klge2XDAD/LbQed6ZebcnASl7ylDGYpwGF41WdFQYwU76KvjxpZR
FfQm0z2tkVumqWnfTVEQUlpsU+rnmmtGoiXzU40z2UXt1l4NB8WMtiE54PSTLwQ05gGEsfXW4NNA
yzRkd5KymMJeW/NQeetVw/zoe4Sw84vS02NrJHnkGM7m+V1r5m+zvVoPPGeRMW1XfIPDlbCS3cdU
hup1In/Kjfi3A4lQlnYy6BQZHepbyOd0frV7AgnPW168pHipjSY7Og1b2GQYlO+aQvnuGF/iJ+Dr
yvU8KrFrYBXWpijlnqdOJiqkgFRCFd4+Q+Wf/Z06Ydsdi3GX1qnT3pZt0C3Ld7shvGbjFD/JPLVu
Fe4XEN+ZhkRc4VFnBMTvLF5W0706+CBxABCy7IR2wd/DVTWHmcpQqDr7t4PUBch/M5gwFutTMaSd
CMsvPdzTHVIbCBAsDSP9RpBnecVvqM7KlGsbDXmBOUdLvsIkseMWxwV8/g/yAsfjWJr2oaHSpKAq
p7C2uJHzHZMajMPW0DgX8CDd8NjN6XWW2wUrjfZO2h+4ivYrm3PQhHj1bBsDIyD4kmDkpi6uZGGn
FydpRcwCE6NxJ1U8nareMX5t0nlg+zOHIj90Mf/EjHQjH8luNo333Kvskxhl9xcEJaVjYg3Xpadh
UpqpPxnKTu94SMxjl/XFsRsUBZCQnYjSfOLmndvavurzGPYUf6bwWJssUCmuzJTZ8aiN9FxthvHK
wa/ukzSz45x22Gz1Hj6IQRBoB726Jnq66hh90vy3XH3OHmxWNyOzdczpg2Yzsk9Xcl5gdFnKN0O4
t4l4TcTMRT0WHf4WsVp/Ek83f+qmaLLQcM3kd1Ll9StlyPfCs/Gklv2TMQ2vzBBnQCIIXhPw93En
c6Okdr7gRORxtRG+XKnmmPGk+mTs6MQuAZwB4Fw9mhuc6ynyYJhi3nrUp3kNmCMQAb05LrJZaYy8
WhYCnSRgtCZEvsmL9sEtTaxj3erAcxnf5i0Dpm70UOFAIpN+RlYiLvqHfUxzgkeG7oeVungg9cRZ
jqY9WV2AWyPzW5vGJk1eSe31Tq73Ve4Q1C7d6bKSbsOBtxbnzXD+5pT/JLLXY1giQXESrAz8Z2wR
r6IitS0Y9nINp1Goq9yTx8nZH2UqvaeMyEfsk1V7aEbjl8pcHkY7N29rTW2MfdK84GTRPr9CqYhu
9354o3Bj2X451m3XIlmN3HAiF1qNEVFVnAikEjG3Lq2xcWbeq96KStgPhuDxIy4wPU+rq8U0duDT
++ppzLEZrgymDk43XgWF+uCO85F1Yuwds7EPp3JQ2sO8rV8ZW9Zrhtc0VGXNeKUHip5pcg4nMhk2
RRI78ZTBKMy7tnf6VTj67ruJXZyFm9IUl6WHMiTLy6jWZ2H0vJy9wqq5LOJsJN7Lto7WJVPqRecl
8nV7OfRwNKJ1rF6bqnjYCHwKMkkK3UromPD3kh2LgMB2PZaqHw8GFQ5nIdKoFY3ezJm8OCWx4YA3
MlSAHuvAthDpLiQHsvD69m3zNPm7sR1US/KeAgqLnV+vPZwaHsNw+0pnp6Uu20PLsXgbsyF57Pd9
P2+jdG8uDMMAez8mQfkkB6zpgBg/ZYG1hLwOF7X7aNkMxwnEefKoiy55hnu3y8O87t+3qfiw5wah
dcCH2TUOmSxPyTBn4c6A5aXHFhwYWlM9m3rTX7qhIdgnldk7TBsYRDiPw2UdcG0QoYE12Qm7rLUi
6F3asR4JmpyeVmZNN3yvxbngXfsEQpknQeW0lN1jj/YywQgif9q+islgLtZZNfGeOHpT8hzCVfQn
9koalo1twqPIAaUazKkWfCzKXCc1XohAty0dyVGyEN7VHr9GtzbewQziVHUmohHctVI/BVoD7w+h
PVc+aHEGrvc2ukhUlWYcGs63m7dVhRNopOX+2rFOR9yHOJuXfT6lrcLN5+HF+AC3qr3S95N4z6P8
vqpqDlY09gz7QzbcOReGju/aqn7I1Zt/EVBAX4do4M0MhcrSJohR2XmJemtN7/Y45PdZW3mNt5Jf
AjOmJXtIyF7BuzrmlJkVJovXSsjhlK0NQNC612ec0o79NmUiI7fSQadScC4USqZlETTYGNU9tV0N
pnu1eoSmpvUC1cTNrTawMBy9TdUCVUnjkgzUZOQHOmorxlqb775sWpJJHXKCyTRc5o/CUb+yGu7H
uGFrIPx2ZvOFZE69M35VFHwM3HYEK18rkESGSXcvszHmnBQN/wuJqBpum2wySkrd/iDqmneJP9aH
m4Yn5CcZkDlBHkbSHNpptn8XFOQHwnjkyU1SeWPKuj5M+KGRx5gJ93IZMX1V9tMksfb4mZPyoHQO
v70pk2asaUnP/In0NkKmvS+lS/mUivMffjrTQeF3CxxR5LG+9s9ytRhDEhLLJodla0GRFNVt1OT6
grKWHbqmxtYze3rgal09+kS2yZzXr5hZ7yDLOXREYv/E3DXOEca57jxoVf1mYJAKDVTZGBKLecd1
Xw6Bk7gLo2jDDMxOUlVarGeQS8bFt+YHJopHCDEqSHf3U2UkjLpkm2Efgp6+a950aozGuLNT9Omx
rqr8nJrWn5b5u9WSkDFgYIlKa38krg+6fVt7Ph6gyU9I+wvkWO9ht320eVgOmIxMo3lgIojXfurE
W9p24byBPPWwNb0Tr4UTJ20w0BbTgidHOH5S9WdiS+g6nL2P6QKzAyyy5HlqSUFyJvljTcZsiwrl
duQuzP2tYEErWpHAnq0yKSu/IM/klWHTfsgyliMWteSHcdXW7zAh/lQ7okOJ+/Ku+r5+Vzl3R1MS
iu14Xv40kUN2nG1Z1UHvdVnuM0WRe1DsiXfJkSXpOnCivmaTPj47BgOfyIAxMQfAIfMLS1uUBCkG
vDA1uZNt9nyS3Vxf1q0UcW5P8xGvFw0a/ismiCdifRidmrMTfd3UDo0HttCacCAMAT5Ob/19ndre
XyectNY4V1+DWREW+TJHLMO80plRpYxgtd2mNW8FXr9DvVU5rkrjB/O35EIhUlwrqsmg7mhocD7K
C0lbxMkVRRVtzP5uVZHZ3xxtj0h6X1grMrd4GEcnLtu2v7S7yA/lNOjP2WLMR4YMyJzsR7VoNxtZ
DqNakpdsXuUDciXfSsFQkPUx68JoWjzyUyW3SFpbexPJhJmWNKLVJx/FwEbRuvuVsHPn77Yplq2Z
vtADMnVbz0tPdqZr7Tw9aKmv6W5Nd3NqH7V0DxVq3q0j2vxEblrh+azfNZdUpYhxnU56KUbueToQ
kVAG3t787RbJAu4iGak4jTn9rrAOHEatSmIzrfh8zdAaR0GhcLH0Na6gY3yWMzaeyJu1xfFTW+Xv
/H5/bEYH5QwRgauLubqf1oK2bcVPWQwfOinlxwz3M+sRIrN730KmQ9xhfqeH0AOJoQJfLaOllIwU
e4GjfF9l4HZq+j5u5vZYbNyPbedgPSbTx+/N5oJ3fRjYUrG5bJiZU/93W5Y/j0TcIBcXg0nAICf0
2OiPzBoO+cLzW5PaJyq7/M26bf46eL3zmwmcd7Uncc6nwmx9+m0Cjl1j6RVnoagCkBTNh8ZA9o7l
tf/KsRc8FUIL9dJsfyweAdosG3xl7q7Eo164C7JfaKB0HkZn3lOD5EmMQRA/XVXfGfyvBEYq4quH
1dIvaU1iDhncDJg0u2O1VfvOUkn/wyMHTQaymfUL6jO3DWDb4leCWEmbYC3yaC6iiPHsEMTZTN03
hKHvebb/XFaoasUk+zfTIHEr72zyg7hO8w/iNPdv46Yz1pl0fYuXnjqdXmOgm9Ir3AH0LGHq5XPE
gpJ6crea7UPlyjteXicywH/GrI5geEfpGw9iSBvroFpyyNhgKpKFTnTU2A8zg38anBJZ4rA7AJUX
Kog+bwQqRjqssauBg9wzzT1q3Wo8NfD9ro7G5HXkPHrG5KEFO0p/SNG+Pv4P9s5ruW4k3dKvMg9w
oEgkkDC32xt6UjS6QZCSCJPwHnj6+cAyI+lUV01HnLmYE+emu6tV1OZ2ada/1rdSFdoH2bbhM5E/
63OlWwKQBq4Vpj0CM4dh9/umW/RxAjHmVSIHdCdRZx4DL3rohlpvilhhJiKi12/jfEJo72ONxXgI
N61hygvRpfm6zSUmn3ymq45GQzfZOJVD17HbvCdm3G7aIqg6OoiwM9Q6nbfSMh9ctP11LEwK7lhN
t8x3swsjlTeqz+ddQ6P0SqrZvQIPDrgjHse3PsXsv2q8wbu1GX7XXJFm/0rEZnbHkNa/l4Y93jDA
dt6kF+VnY3KYq+WiPyW1O1HPF6ZULhWRd29PTBlpAXpu0KH1qsbKfkkwTu9w0tR7tlL8LjTeXXcy
uzOVoy9GzlyHhJKwjT14j9WS5GiSKuYo6Y3J5wq/zs3Qj2pcic5OHsdqZkZgeDPmpngJHlnzJT3H
+TrXQb/0SrnHJtKw/ofopLIYOTLwvFOi1FUZ6GzTWZl3yIspP6Jl9Os5LjO+EeNwoo9pviVUgL5Z
u262DrxJPAd5jevDsqwnw7HuvDr47I/lcBPV5G3dgFucrptwkw1LZGBMbiPmhDFuqIPtQVxvgEme
p6REeU3H/EoXmPDzWh8tjrO3OX2Ch4FL1AWQaeIsXJ6sy9L1iwO631cP464tpnMYMjDyDHUi5MnQ
RgCxOyREbp8j+tV2TZr5e2Xb2Wezc1m4WmbSxzzJT2bhdGc0ATwhtho3sSmrx5S+3EuPgpAV12Q6
p2oG1djjnWZZ0gmfVQQxduQJk4M0YmwdRYdtR1Q0SeoWAWDsJilWZchcNrJFessyjQ2fkfy4Zeco
dswkxbmT/feyNtF6mpCajnhA2ksZRV6xbqk1/q/phJ+A4kUQ0g99G45XXh4MB5/UxB0Wy3Q7xwGS
lG/mdxWHi7uhneQ2jLLyZUqJcNJOOfbnMSPXEPnkGghtBY99o2n2nLmUokgHleabP1fXjJf8pzxO
p00ZF6gGUWFsdC71VtHAd0wGhTc9cuWtGTvxlZU3COUzCCH6Ta32Bm0g+koyRdA8XeZ0xyJEYncw
nfPkNPYzdu6R9WxuUA1Hde7mya/XZCBSfFsx8wRl+1+rwLcptjTDr4iEnCGSRYoicXcbcwnPuAh0
6uS1z4sU9CQCXFkrvxDtyxw48hF1I37BnzZfo21Y29APjO1cw0WMDNu8m0aHyUFQpA9BEkRbxgJc
73PCLJZfuvdKmGIfdZVaS8+J7vqQ8fm6tLv01AIle6c+tr/P2V4ZzEzBdeVXikxBmWaHrE3srZEE
wYkUqbWD9sJUofFycZOm0/CCzOJcMrJKt15Bozofebu5ZmJg32cdF3CjmPS9Loy3pKm9nVOzf3Zp
cIpCIu2RperrsBrNV0UJ+5abMw6MvCDtZZOaxxhEnTs5LXlsNF2JyDP9HVV/HADl0NWbNHfL3Vwj
ZJSJP6xLX5rvMvGCMw6dklyt0RHOmIIuunE4HJANHoNTVvA9HOqK9PvIVZ+rM2oB0yh5NxRNcJf4
fkH2hLNXHsT37K6ceRR3abZfqh4z12WWFulzo9PxszNE82FqKU+yjbRlZs2xdsMZWT/5STkhRhtB
9NzbLpobxLUB2QF9m4o65kJGbOidKyz73Ehnfs3L2Nl7EdO7ps2stc+Vc023JtsVs7571LD2oBSp
m2FetPdSdM075hpotEWo7mcqJI+QhNM17xuUABn7p1IPDpoGkxi+qhVRABqBpr5x0RUmx4DEjGzO
x5IJdjZe0Xx0m81mizOOpEjnB94ONxlnzjA29jmjm/uGcAc3ZhgLwq5oKG08c1BcKifvfTYcxU4x
5591xGtA6J2ccepQLE1W5apOuvqa9hZ9iujM5AqPUZDgsO3xkpvfWXCMyz6YmnbrpEuaXaUpa9B/
4BVLkkSm0y7qB2WuU6/4rqoi2I4qSF/SdgoZoWAZ/uykzD8U7qsbYuXJF+03/RU1uMSzcKGeUt0b
KStSkv/Gbfqvtsv//2SEd+wF3/GvnfDn7/Vr+gsl5ONHfqeEuJ8gHWHvNoXneY67kA3/pIQQTPJI
VptKMpxdnO5/WODlJ1cQ4/UZRuDW8xci/u8meO8Toj0HEN+U/F2upO7j36CESGch8/xI6+Bm5yhT
CQmSxLEsh+f6Y/+W3yXGoLWpt1bAZw2zz7DqMDLG64hf6CJPWN0D0cmzY83FQWRWeywyjktrL/PL
y0gb7ZM9EKnEdRglz05JQorER14cueQ7TKg87bkU4bU5C3zvXVNx6HjHHpNejAmjKr7as+pQZgBd
nDrhkLPvirjD98Y3g1nSHDl62zIkyldMTBMmfbZwNhGGtW95qVS28XrPsRiiJvWwalMm7quJA2Z+
RgNwPwuSS5o5dzReqFkE57mp6u7kRcJ5quZBPgWu9B4wCwzXxdyW0aqfYV0ATgtP2E85p8U6aigx
BavJlqXnqyYfuMOlhsA809u53Z+4VERiO9RBbZwcqjnvBcMhtUPljFNUgBnpAf80rJKBht18YzM8
D64jl2K+rYJumK8xbTJZaaohHa6dPnObC+nYHHFlYDOeKgttuyuiuWO/6sjTiXWcZCU3u7G4kB04
p62Ip/qimBKhDgWii712rCVqbiNkkUGUmYWGIuNo17Zj2q6BY+PpwOBO9NoZSv1VG8VcHif6wbCr
NZoHYDLjPQvCl9eautgD74z9QKa2P0xBMF2RafdvJLxAejP9pB63TYP/RloWgvucoDBC9K31qayp
xCSKXI+PotTuLbgK5yv5Hivedk6nmIt0Iy+NF3ozufQED0mnGjwHXdw9kZCze0oO7MajizgTHQM7
tzonWZff23gtWlgDVZWsytY0hqM9ooas8WuRYPaWBJH6SBN1S7AIc2lxUEvYqPnIHfVLBMn8SCNV
SDUuQogcrpIlruQvwaUQVu13+yPNFMwKTx2wAlJOTTD7R7s3Erz9HzmoziUSBXjQ+VJ95KQywJt6
Pcx+Nq6djyzV8JGrmj4yVtNH3grpjOxV1xPDqj4SWTjSmlPjzUzq7Y/MVvWR3xJl3b07H6kuoll5
wF0EIXKdsWv1TJsWT/NHHgzrQ3CLvz1cyY+8GOwJvoPDR44M2A9O91ASL6uQ2r8tOQRxhOYg1nmg
OByA0gAOQGdoxEicb3R2j/rjbRq381DzGSVgqV+Rk0weS+4yqduN+N7rweUM7OBREJL8fOc6h5QT
eXIQOOkecwni186neevG9nxBZTE1yREJOC6DQbWO9YAWPTG6xUDKrfGxHvBb9Y11MFU/YCIHeJac
bPSf+zBKtm3aTD3WQc6kx4wjFNOjRF2KbrE5tRyuBh7Agr0sAiMu3/DHzReyN3t/jRafdSf8x3p6
hNReGaTWp16EK4vzn971nUhr8s99AogjS3T8FuCJvBu63HnTKUmNDQnVKjoOU5rP17FOTWD8fGW6
na9KR2wGj3QEWRe/tbyj48/djBRBvPLSMIzkEa3WZdBltcie3UholrrYSHbuwWgnlvlV0ERs5CEV
2Dvkzeq1GMtzjr64JVC7YW5draDDWOtSdSAVleLZrv5DlT6uyrJDcMzG8qaRfbtnwqx/Q5/9V2/b
//1SbsIkj2WzJ/7r/X3zPY3inwJuf/7Q/9nhSb1y6fb4pi///ecO73zyTJvEGjv1H4Sw33d46X2C
z2UpnyiEyaa1cLJ/3+H5I+B//JRwLNPkb5T/zg7/wbL8cYMXnnSlb4MDtmzuUN4vaL44VwAjfFkB
YY0YZGBEbx+6Phyeo77tr61xeCAXbdzlVounAtdkeSYcFa5UaXKWVEMCSUPX/SuKR3wEFtRtqUNX
yPTQdUy7bTnSxup2dMR4x1+PlycZypswztLvieO8DYR1OJsTVqsS7v1OYRc3pT8EDxWjusWU0jxZ
hZ1hyKCjwsAFB1xA6xvS9ne6SHs0Bsx0kLSGRytxBEEuUqth5NPorNsCtIb/PBqJvUb3oSRekx1y
DGPYI7WiHEsZb5oGDbmbqntOLtE2arhZW2Xr35UjYKGua6t7O6PNoiEzsiUFiKWpJogSBxp9FyjK
E5256sCkJH33uTfhXAqjN8+BIuVxNH/rcq95wEefsVYFsME4YPnkZ0h1Q0UauUxgoDC/4FxjLmAD
6RSV518MyCYY2ueOYUdTteMXyrhi8GQ+EAmGcL14wcGNuhuULCBeiNOJBUtdqhapkEm39h49I23O
UWWillseFgzgS0U3/L9B/v23WxJcbAqO/NsVYV/8dNz/8yd+Xw7sT5IjNelVvtyOCxzwz+XA+uQQ
8eTcTtZ/OfGThv3jwK+WlcLhVM93FSvI0rjw+3Jg2qwUiusDd17eeJLy/85ysBAhf1wNll+M1caz
idC6iEswC3887kuXw5tKh2GLJ7+A4M2cCIcpjWpmRKwDJ9s/FJ6xjP3F4/GAilkwrwcvxo+Pl4YW
cbRU0GJpNzBB7fC9nzFIgdcZ/4GBKa1frzI8N+UJinx9m0yq+hUITf8x+2cUDVtpiqXTR2G9qMLI
PCZSlpc6YOLTzVayTyne3oRV7X/jltzfNPmoj5lvA3GATkeMdAIch62OJPxK+2H9BLmK6F5MjPjK
WTAQHbTQt2mYVYBfYEFEJB+4iGxe0BGDVWAX7yy8Idp8yFhP+h0LArgJhlWCCKskM98sPIo2ce3v
rRMVW+RjUBVek3bvgGui76FDGEDnrrUpgnS+8fGwW6u2msJ91ROH013b3ybObJwr4Yv+UNm4e1Y6
8vlVOjcInrhzzvFKRtXsEvhIXfAsHsPmlREa7r6cLZaULE1QLzt/CLHE2zXMDThO9XtG1vLkNs7R
Dfk8YHqWW8Ml/TA5D8v0vCR9YwWnOTTmc4xb54beF/KLhHBsHKTrMC6fjQzbuifkbWIDYMmVezGN
HbK4L6GBlHVFVYYB94CNZi26rudyiZmbqFkabQx6iLh0EUs2jVGfjKl5jrmfrujF0ZuJAfjKwY+O
OOVetXmS7NLGX0cRljPLHOFcGv62D/IJmw4CJeOQRhp3U9UTHfjw5o/RnrC5vUH9PcrK7DksWjx8
jQYlzPA9T2J/pbqE/0Hs1RVDcWjS1l/3sJQwijWA2mweXDqZ2PSeuGX+gaJULGWEefgaShjSdEds
pBO+DQEfdZPgFOljYx8P4rbQNThiXlFtRf4msKN73PXhmvrLb1TmXJjaPVZFkq5TaOaiHDFaDfCk
ZGPdBhZuziIzvyVOtrO0qNZZ1+4tkbwLyd1YB/Wz4h9oGb6yrOSdi+dF1obk3bS51j3x2z6q7vHQ
7gncsWn15yjQ+9ZCQCTDs+V0yedu9DAfVEFVhXAq7UFwyw6a66pVVzEjsrxPyM5Y9riyhvQs/PG7
05XEsMba2emMN68evYWB5+fED7H9gvPTK9gccMd87mmd7V3JKQrxzZLFCpqnMZQOvuiB5Kql47UT
YOuwwospQYKbaSlaFUYTrKXLjVQHOcTO8BwGxNudWj5r4fMEAo/dkYdLBw7wyt6TlGtJu1vumu6n
lV1iQ0eCB+c3SEzv8Fo2dYMNljf2FtHQh0mFNcBIU6KQGV9UXcn5oTWanhO6+zAQM1jlbnbRExdc
2aJ880Po4x8nyP85b/8TdddSHjvSvz5sH17r6TX/aXs1f/uZP8/a4CSEcF3FdglRArnqTzWN4xWY
TpOH+DhS/7m5WuKT5yOU+c4HcPdDaPvjrO1+4kwmFjXNFP7yJ/+GmKbcZTf7cXc1TQkqFmuoZQuP
ffwX9K02ZSS1xh6U9CBWXeEOeK7nPNuRpEyIRbfdC2TD9JhjK6bIqgrkCjsvblBd9Ye6l/4xKWtc
2AhFS9Yj8R8LShOfYY66V/Ms7M+xCprLgdnzccqs5K2IDQurTjgeuaCTFMoUXyJP+PG0ruhe+6bH
GW92U3XtFZuwfLDdBNJabGQ51oNSXtaekz7I1ByAcgp5ymF93jSVxdF4wrbd0hSGBYswklMGySPV
4s2pNrwAUScC1Jhku5huEVIAfk+YsvK3cR97qyRpWStd1GylPbm2Ess8FqkHrCZUYPBzpwhxxFiU
QjQkV+wRVJlVdeiP3pjdx23twktK2qsOTRUQkLfxIlWuptgRF7Ztl5ds8MZpTIW9U7gTr2zZ27ve
1fq+b0V7WbThvE1cJyf3ZTfHMG1MgrJVf5fmUXskkcH4JGVApTt1ReVFeuVUY7+vxs5/MWvioLOR
96fQlQx1ZKWv09SqD0pjOmzrciG6tfOrn9npysJZuivSottI8DOrdnbTbcDV4VRz8vsc6PI9z9tS
bXJoB/F6zDSzoHYMH9vl4jWxDD74QRd8N2ebLdr+OMRzROBAT0+NGx+ZoWXNLrYi8ZJ93AvsjzuC
N7vjFyp2B8JjgR3f5F4fXMRQOc++EY3bumRevbEBI8WbovP9zVSnk73mM2JQN4NxtsCGNxNQ7Lvs
3VxuNkFvMp4UBTmJuinyC2u5DAWjqu7TiffFrjLBWQWfysikYKZQ64RnzrqEksf41sjbJ4hQIccX
v3ty+yR+LAQg3gYymXSS8pz0g3zH1q5WGdOicZV0FZ7ZJJzGWymTb1HkfWF2E1yW9YxlhMDNWaaW
2nQDnudVmxSmuQ5aq9O4w0t12XP0uYsKz8Ss3UwnBtrudVaCBzH055EgFPKXG/YXPRyT1xqF9TBJ
eziEsUdOayr1kdzhFjpkcGB/4X67ICRvYXgV10M7TLvJccYTh0X1Elm1A2Fh7o1nN1bxY1im+pjr
YfiS+Y4ADoq1PcKctykazzsPVtVsYn/YaEfdxqNZ3Vn9mNF7lfavTC6rRzViuq6Lznop+zI8zl0P
P26yAtdcFTEOXzsjW7HhXy2vwoYbxYpETHi2IjYxfBbltRpjwCdeWT4FHOmZCyKJAqbCsbkWyIK7
JEhJ9CN1o4Iy5ySWZQJ7ZnW4lhaZPKj5Bb+vyJbMiDSHRyeL3RPsrmnjzkZxGbhttXLaRF7HOAov
yxyGIj7p+tT0bg1U0U0Ue3RZOlBKQ0wkAamL7ySOze+eM5FFcVR1CeicmMZADs4kfoVVqydLUBEK
a+pxzTx4+Iz0QPcxflKRrnNFoeYGphaQMLKHwBusRJ0rC8fZpgMScSnJ2m6L1BK7LqhYBwu3FWpT
2mDelj283LYcVWNcKIZ31Xpmha+IpfjFtQFIAlAGR7vRqsZuBB3PgPScDqD46hgm5almynaBv5NA
kx2RA8cFhk/W6PNvaIgL9xgAxxe7VqNa5WUTvYzgdW0kPY3q5+aJ25M6QdF7mXK7hQFnWN5nU0AH
0JU5PFeovvkpBtuAtspo92gMQlHbA3rF5KQNLTIsRg7arSrd5y5SGUg0EHQ3ouy8S6uYlkV7CCYW
Rsyt8drAIr3DGjB1e08KIOS59I0XJ6JpcaULHH2ryWzG8ZI7aCYOWBThMVrEMK6GNKmi7Ti21rgN
pYnLpKF0p95POWkFLJGquI+BTberwZsLAsNgbt9EPTOl6DrHibD6Kdnel5Ewzm49Zzsi2m0NwybC
iZVQL3svQnRWPK26e4kJKqh1RrSOGUc32IRGQIhyQzEc1OJGBRi8qfcE6AeghNwI1yvwjc7RNNuy
WTUYXN5rw8mfsJs2e1I5U7pm/DUwCR2r9C7WbvCEK7G5TH37vaId9lXF/p1NWKBYzZiI3NWYFs6u
E5l/6lQ3fpm8Hu+h3fXOFxhvjBBA5UxH4YSk32I3BRVr9u5doCF/3tD0ZuSryc7MisFrPez8xOcJ
1G7U7nXqt8Cy3ckZ1kBDk8+EUsczUdLwUdhxDq6WAcWm5NI+YLGrh++mx65i+cPYrp2YmRDXUAXO
l8EyI2azQbfOOnU0jJTvfc0X4bnEff+Ai1yfh8yV+PaJxnPSj+xi2s9B0O8DMzQ/d4ADLjU4yhCg
skjibe7k2MZd2BF0z3qwRezGzsnIQkhbNRHwRXrxqidQS5l9jDGYlXScYbTh1gUCFgMf0RBN2euL
YaW4Aw3R8AuqPky/VUYP3ICo6nwFeIJvTBuY6VOSp92ZNdR8FWY7PRGiI4IN/X0CuTInrL0wxbkc
pJj4+HB3L5z459umtwJ/FWl/AFGjjBfoliMJV098znIydyaupH0Q5/5jOI/GZ1H66a1tjSE5vRGv
WtRa2aWV5rChioBXlkW3vSbjZPYrP4nax763p3Yzx1bxxdBFecTaQJ9AZZXWvQLj3RMJ08ZbXkGD
wxYh6gW5v3CaZeBxVPC7Nn2No3Iu90bfJ/UWm5+PqT0u6mqfyEw8t1kNtDcX+Xc3sr3sySQdZ2Ph
H9w7KP5RuHMHqFHMELD8trrQN35kEvJp8aAAkwrVcA5wKqyI5Ue3QxvFw+IOI9s/xBuseukb79WY
rOfRKx+HpmUX6NsYR5A53+k6MkpuRQxYQZSbfEF0mRe3hqsxusjKIK2fLGGWubPdC+oSoEeMgeuG
hzau/Y4klaynre6csN1ANmyvl5A3H08XvO5a6ih4hslFstIfwebFKa9qaITlY9eMzm07xP4mhSDI
eI16tBt8QfPlDP0fYLlnN3edSeRr8AJE31YIiVfFJKIyoPMe4yWPDlnEWuDDJWtEoCZmHkln7kzQ
x9zOex1vk1mQX3DNaFGI6+SamXhgIkvk8pXwQvFoVD6Gc/z24sqpR14Rn7LaCyFGXqHSLuODOYbe
q45T6yuKPr9WiEHzkZjuwOsbTVjDKXf/ygAeazwD20fya/TggVVn8WvllUb3uUwnBenYUOm8xy+s
Duy0pd5njpkt0yAxufsiafyLAAjIebRb5m6zpNtqE8dR82WA6IQtK2+s97T0adDF6XNSgRG+za2c
pnXYzP6FHC04lZY4TjMZ7/9RZP+vqloWfVUuV6l/fW3cd8lr/dr+OKX586f+VGWhDFLHhQJrcT9a
Wkl+uzg63idubMIS8ndZlivlH0Ma+xNaraJXByfAMtjhh/64OIpP4AktT5i2lOYyw/l3bo6LyeLH
eyPKKPFsXB3iw9bxUVn+AwHQl3EPj3B0t61CGFtBtJmeIumMVz+8KDe//YX/64dOmF/FX+F7DvKz
dHzXkTyvX0ZBjSNI1oTkcB1b9196YXg7zFu0UPat7vdhVva/0TOBWoZ/WULz0ar58xPzHEfhWhKC
6zWuiZ/lXz+bNb63AG+/uXCPykyg+3UGNlM0FivfZBxH7z3i+Yc28O6gFfvGquKnvuSTZe5F5Sen
xomsk1n1csvMJDkRFhous3CeL8xRl/9QzWn+Klcvr9AizyulyI8Kd3mjfngjEvompmHMXYS1Ivs2
kNVY04bAf1JIShwbDgiLngv/N/aKb3Uh5m8k6YbHKSRGq7rCfg+7Tn/Oi5EY1YgJ/+/fP/mfPyf8
eoR2QEhZFp9JPo8//nquXwn8fBP4ZXy3l/FsIg7GaqEHNkOEaXZE/8rNsjiny+FP0Bx5aENwN/zO
3gHMnMtAK8yupxF4gVkeRWTcjlj6oBcTUYxWTtXrF8t2vD0p1PoGYErx1tFys89ol7r7++di/6qV
LC+1RwGShyiPsXcZhvz4XLx4BnYOt25bdml0MakaRC7w+3Azll5EEAIb25KAVlujaIZvuTOQhEzp
hdEQmJjRjY5v3Haccl8cJm7GCvbGRaYN9Tyaetc06tKtYwnSIO6hIhshDv2uP7ZFFG1hwL2UamEh
BerZV6111RrdOqciyQPjdSihMh11nTpX3MerC7hvM+kBjnP5SsZmsIsyvBMJStO2m0jQy3SwLutS
RN88hx4KiEZWeVZONV+2xGtDfJxSnOtMIDmCKfDbTTGPyfPfv5b/afLBa4klUuEhMy3TcvCE/fRa
AoxotGomtTUDK7suhM7h+Q5iQRHtXct8N5JhvKYojGKhjFlFdkD6GN7JYNdvdlm1kNaGPuOIQfHI
wAES7AvpkVWew/gxAqu8wQhMcBxW1ngOy2z65neDed+VAdHKdDSeTUuHF+VMOHXNGUKsaFoaLzzd
Jbu2c8Q/fHBYWX9dLHmyaGsWUyzmPB9//sN3tPSg07jLl6BBNbuCkdqRQcBnDxevqG9w2Pu7CqEO
Hkk639aVx22a9O6AzOJBaJht77Nq1PS9HkLx9e/fh79YXz2mXB5ao+MI5kE/vw1pSFFAqgB8Dp7k
yF0X71E/HSnpGDfu2P/DZO0vXgameFL6DAY9QLa/FMsV7A/IPa3aUontPotiopAEieQfWmf/YkH8
6VF++ZamXhI7jQXDgPKO+LuAgXwBvpBjqk313O7vX76/WBHwSbJHs6Nyr14sET+uCHwkk7KUFZRN
ZcmzZWTzt5nIxoVdW+JOjg3Lbl4MwDEtHIY3FBbUm7//Bf7iJcVxafsu00qsEvavL6kxqLKKlILz
6/aP5gCfbwyIe/z9o3w0uP+4KSrP5OAAJoglXAooxD8/T8mS6xF5xYas6ruykUtiAPhm3N+OVPD5
8fWYE1sch2+LUaCLUuManz4crbnwEIqGaeN3IPJaroq3TlNyyQrbFh35rpFlhfTD7bNk6kfuIzqW
YLwWj/tc4z2vvidhvP77J/Pr50Mxm7Zt9kobkDPnKubWP75n6Je6Ipbkbrmv0KfdIQCDQQw3s0N0
4O8fann1f3rZMMQsGx9YWgR+kM0/P1Q0BxIvGlM+7vHhKZi0cSBd3p/DOk93VhNARcaH8w8PylHw
1281mGrWG45LrKyuYnr/8+MOslUy4xa4RUl6YAhabC1qhvZ+MA7PFpFVZ2WOzZ0Rxsc6HF5cP0+W
K6J8TRBfuC1FZ84+C6LApW3BuWnKUoCysRY/TrkHnkriJYhfAtm8FKAyYwaPK8+DKgExSq6qFGC6
O4xHpXsuoW4jbnycm+sqS1eo/IjsXGeAN4tJ7GrCsXBcueLgFL2AZJHuXAb8Kz9AXrDK7LarIh+m
ETl8vk84SdYs+kdte/ch/pHr2Xm1y/lbLubmOp8ztGulwmeq0btro0rkboC9saEjhDKVystWdeMy
SScZR/iuSpOXaYlnApenxdgfm/6bTP16b0c2slLWWvbLGEtv54vsoSz7m9rbdzxPCMDm1yBW9VZR
kclcIsy+oBgQiG5TVe9UpbHvxj7gZsBMaznV2RUFTfrGHB3whDKpWhjYwE/MupPfG9qUL8m0oZuj
nGwCPIdAY80+2M4DEtkmYJf6Asdg2MZM/KmsgjGfOveKpMumrSwoeXlHfHw9V9F0rrEX3lLlVa3d
eNqOUD99wJIE/OY9GvUhcLBQaaB39oasjf8+DcgqQ/fAeP57wunyMZaF3gG/yLa+1z9lEVHlbGx2
DZP7y4Dp82OVJNZtr2vlraayyPi7UhhQ/uyvfKu6BXT6OIbIgj2JgENbYlqMuhDLvvZIT9It11/X
lG/szTlVN23vZd/yhreto4EG9mgUviOD+ftwwb3gOSpvmUWbz3lVpk9DbO2pfCrwbeFauCmKrLw1
dMqEfgxFhJQnq4kcWT99TsO5vaUfpIOvl1AEZtTTgxEF5R7Qmr4yyio8zCPGMaSz+KpDcgSwIMXG
pP2AR3ZK4vSQYwj9iC0zYPPVCEAKFETormSNOhzx7kGtzdpbWineoDxMb8nyDNFMjX0d9DcitPdz
8SBMxgBeNl1XwXQZGG6zT0QyABXVxdcgMKOHQvCRrHAgcwBnOOBVaIyGm86btq3QifwZcs0Yqlu3
IuKvq2LeiHIyAUHU+bsnmnFnICidMvI017nyvgNte8kF8+VVYxYlkXoZj09u4xYHOxxQSyef4IRF
DrZrIlARA/FwRm9Pddk8lf6AW6FVZv2WFmb7GHraOcCNzfa+NRVbWKH0U2ZDc1FntdrUfu0cElJE
O2Zq4VZZ/FJYd/JHu86Ny5jfCn0RvE+t8ztW2PFQ0bcAKMZytvxb4R4rzwW4iO+WCuEU0pXZJD6Q
x1xYIxzLiH/BCKN7CNMeUbPe2GmiCNdBU+KuKAzv3uqmt8ZTxV1aD8616lgV+A7OGwL6/THN1M1c
Cuu2izLeE9mBOYiaoTshZQ58qdpoF/nDgKpNLlQW5YWboClpYqerD2yhoovyc8sQg/+vnM9CVDzB
omrWZMSTnbKbiQ0CUIoyo+S16fLuokc4u8IVQ0RuKobLVhmQ2JiFbqI02eOMe6ng9O6A/uGiN0h1
tqLe6B5E+Ihp6arQ2A0mY5RfrSHpELarZEOklsIfHVY30sgY+ARc7ZwdE65HK6gYKVoh6l/EfMF0
9TUtWt1dGExnEwRDR/3SDGEdJ2LOMy71rSVGsjZTLL+JeUzvyj7hpO8NM96DRrqkAmfAtBgirmvs
+5u8JP0EH/jeBImpclsirAek991un89lt/Vr+Zb31TkyFfhU/ZbH1ETGeW/vh9KR+9oQ9wVWmyYa
+8tcMeIbuoI+LCXK5rmdgYSV1ZAHX0KuZ9SBBJm7m5Kp5XY91+fWbGFHZ9Z2bHR41c1I4K0cTIBg
1gyIoRg1CaCa4s0YUXSlmtzeActfeJ7BiWMHLQJkJs6FZfQ3hhlXu1jk+UVUFOWJ4VNxZzvVbaQh
HxUUELzGdl28zrX439SdyW7jyn+FXyUPEAacisNW1CxZtuShbW8It91dnFmcWXz6fPoHGRAgiwDZ
ZNO4F33tK9lUDb9zznfyHdjh9I1YMdiV2U3Padw677xqrE20AwDfpqKYqdqyS2DWfIX0HB6b+8Dc
99g5W1s3fC4U7Ajg3pECqnjWhcaQTg/dQTkIULYWDaHR3HwoJjVs+4bFO0vba2v9zRPmCCsPs9BL
0PsVjqxEEVEo9M2TeXBSSKAnf/Gzk+k6GmpEH/+qllC/D4CoohDt+zZLWEiklNkLEzvbuW2fftKi
QqWg2zXbsQn8dyVNWluSkNZvR7LdJvrJ9PJkPeeOfGKy029M3u2ZrLo49YTBzrEziE2CLvdim0l6
BYHiHNpuCs5Ya/GBhpl8GMuAf+rC8UL6/UeVDWQFgd56d+tTy9ls4CD/DkqRbKuC8+IKhYLVJYRc
jAilOPcvvqcPHe4BB8+WGh6hzW7KzqsepwKRX2Ij6iPK42hxGAL/AQxGfeuXVPyItCnf4RCIiKD1
m45dsab3lO0PrMZOTGMbomf32c508dgYrldSvtB4rGEuBFHfcNZwjQBsGG3zbIiR1oGZyulxi0ab
HBqH3KGpYYQVFgjkxS158OO+pS5urjz3AHVhOVSB+Stwe/+JiC7BltkwrlWYFQ9L2vx4HQQC6lcx
wjtFWz1X7XAxyAn4nfu3Cu6NhIt8Enno4ZgfwUGBtzlAkTBfJGIt5ENN6ZLvPnQSiqGMaUls420b
lxPsIUsnm9GwwscJ9vlj33fylSumRz1VkVrb0K28ZOVT+XXB0R2/+a1v3cqyNx/sflJHCA3zwzzP
3U8nUsqsxoZasKnixRimS1/gbIbfAUzYY56CRrYTvs6KA2PdwiWyyMMqcwsFyYHjMjv6yw47/1xS
EkcewKmrDQJmdVOVD0G9ycY/xTQTP6LBS50kisauA3FBdaOVWq9GzJmEBowwALnKfj0y/sHN58XE
LyhwZascmvjFVdbAL78IOUZOpdzpxiEt38WNpwhj4fai1q54q0U4v7f+UlBkgNeNJq0Ec9UmA+ZC
5KLOwgvMtHFr5wC0HS5D6MixIT5kwxbkK/KGHlroLhQG6mg+QUKYpjKk5LVRvHjM7QR2l8zZjMpo
sPjRKvI45wwoQRZ16pHCpu4hG7Nb6S2/8aX8Gkp3gFmi7WMrY7kfhuV9WKBldEvZRLQ7tfuBCNoG
Rg7FffftBqeEf4cDLc19RASeuvQgLBaUbNpOa20T0q1bSiwItmJhBMJUxvNhTKYtDCHs2UW4ZXdN
YZHcK1Y7XWUnrArqrZqX0xD/LK5/Cyb7pQ3GL4tISKDlp8i7d5Ko7r5EZb82oxnsO7PyI9cs/XMx
Bnm/Luq0XNfmXfCrschfSgI9a+pxln1ZGAMdVIXNOSkQFXw5jD5Gl9Nvi8gMpl3ZwyWvwOWtOnq1
v+YJqm/ESxiemljIaxHOz/FcOlRmVdXHDJIfX/hE9JbR0vRnzOL+mRK4Zqfn2thUwEgB+mt5r/zL
9c8woIsRA8A873qUgVWO2vFJDihPbetrILNpP2KC/CBffJcnh2CDS4c6KBkCo8nV1csZuKyA94Kv
IYh38EU1vYGcYNMJgtHBUiSFAmuxcGclHadXQM/Tv3wNREaUeMCCGkZYxDEmcYkOdPTRTffgC+iI
R78IKYd2GbVuWjvEd+cmhlilHlQY+Cz+DmmpZ8l1awfUrW1QURoGz8Z8pyT6DA3pSNM1yVcfooaD
5tMGdsiHG1wCblcaWePlamVTNJIt+ukZOm5npzeRkU17o50JRigp+idI2MNm9kOKQTCr3pG/gfFg
Jk6MN3Ru84ciaeJHep0rYns03NYWLdtDjM0mxbN9KmXwWozmEbx8/XsZZAr8mDIXMmP18yKgOA2K
1vuU7hEudaF3DUPb/ExEEd4G2IUPtg+9l28pv+9L4SeFeMnzgJuCwkErt04tlFBS3Eb46i99/+LD
QgeH2affLCzFhRjw/DqZmna3FNTZ1oIQ+DlpKiHp5cr3CRG7c9Gn8mItsrmO7QxiPVPOQUk8YVAq
wJ8b4BNTNcSPFLBVfICYvUxekJ6oJO9+lVi1MFgMd5S7XJTaNCMWoaAkGNeM/ojIPySgtDoJLNll
Mkg+qjzWRLuoiqin7mp2ic84ZWn1HsoIbUFF7/2ZrMZuCAxW6RW4sro2QaZpejAm2z7ANTY59HGb
3OctQ9lVlUJYaLKg2kPczn51Xdl+NORArY1jIhys6mah747DefY6WALqcKCtjVuCWF/5ZcnFJoBX
RYXPmFwMD2iuJWgCGuN2XBmOpbgGJu0T22S2bR1EOz4ljSQKHug3g87QV+LoZF2LQIDzXCida6r+
kvvzFb6Uz8M/5sNe8RaMFf1r1V/+1fVoeqOrekMEHNc4BcVoHWiX4mZgoFkTeecUEtu5GzWAhl+t
3mJgapqc7/jr5rtQMWiIZbQfLcpZud5z4AF8boxfIomzj0oYVbuJLdIgUV25U3rDD9fvigar2NpY
9ADH3aXYs5UaSgjUx0jBueFSBfSVTV1TYOSV+9wxTOetjOPu72hnICBsJofV0XZLz424GKBhhzju
7NUSW75e4wVrMTjJxjAeTTgdwcmCBwo6UIj3oZzLvVoC51YsDtRWI22ApYFqpF/co0WCT7tQwYZ7
5vTYkz1iKViWYSaWmobJtqxoQu/rkcMtrUdqQ+mRts+M92K6eVOBUBXU2bISU2Mc5kbUD7kTdq8Y
VLJoMkxsNs0dWWwE899FhWRJuXtPR2xN5W9hqXHbUQotIs0OC6B0Gp1z6ZfLL7tyu78Jc6AHcxHG
D2+9+RjiqaP4JAZ/x1bIMsDvxgWwPGDgv4hA6ktX0629Coal2I5iNM9MwyTr+UjL9xpsTXovfFaP
KfCyS22K7JOrJddFf2qC31nWwqaxWbh/Nbga803gTKesp9AwmiYDM0k4eeqjQwFHgnfjdyQlPldj
kXLRS+vnCnP3Ob4j67cAZn8XNgOoqUsit3cRT5hn4jZdjnk+4RhbGIFBvDHkLdV+8TIPc791TCVP
KgmsR6z1OF4y2DLAa8eq2+pq6XGSNvZGGWnbb2DCtr9IWo37jO3rTUK87FnhE48GyMnC/blk+VfN
cWkzTXW/56MqT00wWE+qywwCvTBP8OfbMGOjfu4BrM2zpqyXfgV2yXlcHjLL4mLAbfi3LZrgwHRV
nuxx/tNZ45+2wwzCFeDOPrEODqaydVA7VG5PLKG1qIa3Vkl5DEIVnjNXpn9GatbJHdepvjDZYmco
OVhjR7X9gSCVxRi0TcFKzMr405E5o4PEd/52tpi67/v/ArQhaLvwNicuPZCePZr41seUqz0+NWAS
pqPpybCoCHJj3hzV7lzBlzfA9FSd5cv0OzXAE0ZjMPeP+DAoo+jFA46QLV00xDvSfgZjFWLYOI2A
Og4tLUi0rOkPk+8CRAr6PBY8P995vQZnxRIx0yK2fAYDczi5w2b64bfBhIvDd9473vqRjByMRUK0
BzSuesN0yXljd4KxQdIDWJMWFwNDBBhOGjvxKwAGt5aHBGvuKfRasg59o350MTNuKwdjFyvuusaM
u99ppj7G/EYmGkwJnwPDEoeOIy1oLjYrovUzW3Kf2zMu/MXYUTsFy7/1KGiUg60uJC2qrem2/qH2
qWddsdJZzypoaXysjHviPAvgXhsZfGKru5VxmzxZ9yKJ0IDr5HuD8xDHNIVmPIfa0zUM2KDWe37j
PRwq20V0DSCSDUl4qsfwfTIc/w33i3fMdasivFwWo9lyXgv23iPlWs4DDlcPS3PavI+Wl51KUZYR
hwO1secRHvaIE9YNw+lhnoLcZZZg6A2BYtS6ivvV1cfet3XHaTy1fph+y3ZhA6arLnIEMlqeyuq1
9ET+IuWw3ICc+2/o9TVXojQuY8xn0GcCadZRAQkUOlPV3yN7KaZhVdjPva5C7rOgOLkCqYO1dB1s
USeI2qnNoq7JxyqCLdBT9zOX6Q7kfrdjm85M/GvmBBBLgLwME1dy3NLjJ8sokXiPspNwG9YTR3ua
XvsDKnQAH69rVLnFwDvcegxqezDUMeXCjEeAPMx2Cj5HTMY1LXR2aeo6PgZQF3dJTZ/DNAnvPLtV
s59yq4KPuGRrMXbcgbp7MU6cqSdslE8d1JtXawaV39qfae19heQYV6L2ZuDL3thsvGQpO8h0XgRV
+cEbYrGXMjFvqhZOBIokOJZ6Kh7SLn+pktBegd9O/ja49Z/91nVpP6zjAzbZZWM04zMlGDmLtDfd
pnIy9wPAt8vMToolorpnOIdbbCySvvKy3HU9+RS7ZMrMQNd5mCp32AlP9duhA2qKGPIBN908mbIw
dnNcHsai9XeDy2OEyexvz23lR+P7Bqk7R4MGTDED/lqNd4MW8KsDXTUgCdsq3/kJ3bIFPtqaJ9yh
j9lZkpd+GLYLeqzTVPyO0bo2pu6+XVymJzlNzmMw9C0IIcpY1MpgJa2YP+3IUA0UEZgG3bQ9HG9b
PDYUGayaPldj1Aqo5pn2AVX0SMuKNGlxCsD4LMrYhFkFrMYY7nbxH9BCcjcYs3XQFehVYKvedTDb
qO68s730e0Nxv8MpD6qwSR6Z/dZoB+UOXuK1NoT5G3fcxNLEddieYBrgF9MnBmCveegyVjD9COEh
stOUYd84qANVwmAISeH27Vz8OBRnRLnTfi6LPBNvtnAGpjVZX2hN+NVUYLMdGHRawX0Vi0gPPmge
UNxhU6pVX6FkcfTwT4IEWNQuXJA9MAOr2qFuMrDKjCEl1wlBOdpnBYb5VI65u3Zqj0v7MG8la+7a
9CWMaVLJv2sQyM9eIysI5glGfWy5trd1ddbDLtAKa7xbgzsz0tzbAd8XH+1IsdUXVAFaFIKWwoI1
bJcXB+ISd62RaVuu4ejxucVW2XibJaAAc4tAwSijTfU1Ntz4GUo76JAhrMOdH9gH2C5UXzT2sRE2
brxqnCa9hwWfflF7zK7oZzxSLW2+2YuRLhmSo0VG7EuC9BIrSxBqAqhrxCcv5X4SSaj200cYZvk1
lL5wKEQJyI3pAX0EgRbgpbij/PIZ43VjMxP1sNINkv3QM5EQWE9DD7drm96yacyfh56O7Yh1A4Jv
tjDTBIoKPsRLPf9DYf380rUtfiAXA6RzwwFYR8i5ueNeF9n1XGwXvG/AHLXV7zPBdl/gukPWkSO3
xZjKmWtgtO8MirFZAl68VwH5R98TzPANYg9uL1ityGCYWNTxITw6GTirUn1RZQZTzJseBfu7rClg
NCQA7N54dq1JE+GAenkVHEgeeOKSj7jJGm7EzYo6YpOKCesHB/cAJdymJHhsUtQl6lDLLNzR4vZJ
adNNNPM7GbeZ2FjMMQO+dnOYQcHJQPZgLFqYrQ72P6/lQS9Tho1S2HeTjTXc2LsrdsicKVlWqBKc
4J1f2oP5k6tiGcs/y0h5EFmSLuLYc6jI1Kx6HxZZQLQbl4mHKqXCbnoO66p/lQNY+Tl1GFJTmHTJ
MDCYRf5wR75urNm31lToMKTo6jh+574AeBdXGuVIUOkOY+30n6mVdeBaqU09LX0HdWUUecbBl3I1
v+nZdMtBsuRRt8W8QGcy3GvTGmBxcc1j/Snri1lU4rmZQouDFvPT1DQQR0T20UnD2umRFZfZ6vyQ
1qJd2/G8vGufW1sZIWUx2fB4WB69tnyfJsu5AqKO5bbrHf1JsVS+HzgdP7j0vbxrwgEMv5D1OBIt
IqozHZoPMzAdjMw+Pwb8YEa2KzsZPzqMhr65m3ILWbL4ko6yYlDBz4+fpJH41iYWVvHKFY58f9vu
cm1HUwlz36W8CplizF/Lvtm3g6L8sZze+o68flfLVwTknaJxeF+gJW2Gpe0iU2u4iYKOEvpgjEdH
IimyrqSvfe3jIw8UNxN4/oyvcBL/rZb0ohogH26qd77drqupqDdePrFlM8iPCN4wgSehkNg0ZHQ4
bYA92kpugRVSIlPjhvHWrkh/24MtFKZGNe1L7p/vZhUyW/XchpSK3fwAvTbxQdk8IFPa4uwmXDU+
F8KyqSe3+nwPm5JbA7y3My3FEJBnr2t3A8O6MDLdOyp28kl+Vh4lfU1+6X1Cw92o0iPKCZIDTWn7
uQ1BxrfmAHYEBNpyW+a02mM8mzoiTYG9D3KzKPBbwDO04Si9Z6yK34vV0puHueaZRNjInHhWkH8X
lyUMT/pTnyObjRDmNqwb1KWTSeDK1NTuoSWmVUUeiMDLxDnmOOpY9khoiixVkszA2Zai5sPem7a7
nnp+5JFhD295h7M6wKy/IbHQ7qbAyjjWUXPiA/IFdyN2ouMERSlMbz9wg6tXSYuqOK6bZrlW6qfL
UuNPnc9G1PqDcc7vJ16wSOkNv159cSDEk60tsqdsWbw9HyXnKWQc9OYmtr8JQkPAl1oq7nvYoqH/
2pEgeEFhMCAGtLz8jM/J5Vg2cnaOm+nEijuDMKUxaWCV3nlEd1cUpd6VsSa2fhWMG474tYe1ysNk
XaWOdxuWMH2gYEd8w/oio8BU786dymZnPQDIXiUTOZ8igQ7NDMlZm1RSrrC39+9tmohni+fzmiiL
R0k6PXOHpb4JrForYslexM7TEeXtBQOq0T2YjUmZbkWh7TrIBVE7fPK7ofP6X03MWlebDoI+OQ7f
X2kz4x2XBoDrqKgslCXp9xDx6uTbxUf7AckrfdR216yRE43IxqhIAYkjosAnCmibkgLOvKgjGpT1
CSYsW46sR347U90EX8ZkfACB/yNH33kQofPEA8W0nmlSVBZ99pQYVjlQktvebw4gn+ZLuCBd7xS3
3mFXs3gmUdJ2457HuuH46DAyncogAQ6byle/MTt934hGcw3QUM9gM30fywD27Gq0gOL5ZfttQ7d1
mLnHvtM/NkapD7B8IULlBrTRfsqwzyQQ068A3tUzT1f6K6+U9Q5PvCDb2MmNNITcxnW8PHpVXUSQ
oLhfxnpEdi4sQgTS7l/zxWYwFZRQZrPFCg5JazcRtjH5JwQ8vlaxmW9Cb9HPACXVuaIsZMtuUWw8
v+2O1Qw6a7WYo438Yv3jljxEs1M1J4MWprUti+IotKTj5t7hdd9DSC8Wgd527rhcGLRQuQue7SuX
0ntzOg7aFZekfWckHXNYP9nRW5Fu6R3ZFPY8/BhhYx/SycaU79uTV0SJlZ4B4s9PPJEFR2q3/ai9
Mft2woJZeiKXZ9+3x4n8zMBQRyMf42BYMzVe4W/kz5wpyYuWJAYixA3aLcyx756tuewubl434mIG
RC17bRFEEsY0bEjbpnv4tSjoS24+aQegF3eI0qKRJCk2yuvxqNxDET4Nmi9Aa+1LomoOIpbP0KYA
5UXGJdgq2SFiBkvxmrQlFhLKQ1FB6wejNl79yvjjYO18KZXR3OrBjbdGPaf3U+29uixN30yjHR/p
8vFf6NAab4Ye63WWXSdGrVvbzYb3nLbOJ2E58zsIy36TYUQ5OTX9t4AXhneWlXcvL5wHokqcD6Yy
vzi5a5+qojN3BUjWJ9mneRSLMf8Zx7jbNmR5o7YkzmYjFRxjDFZ77oapjBpl01mB/UMcCr9rdmMb
LB8l1ArSpnQ8ftMOwHmsU6axKjgnn7JUyHUFYgQcRFWuO48WF0nrQgQdAmtENQQsTVIdSkXDE8fC
Xev4w1GBRKVQw7LeRVhQdRHwqsBgpKV1ZdianqgKdrbMbDO+qz9va2XmB0mh7pPym25TkqteG0kV
nAaLkUZW/YUTsPVm9owiHuYdx2iKELTjEvLLEjOCi1DtG4+psRfIjyBJfnAp/QmYtpLT8rdpbG3p
zUmjpvOynWrqP9QdwxD0YG2mbbG6A39Vrt11Uo5n2crzRHBkBq4ezIu/nguEIcPSJrpxsuEjGw2W
S3ezbx2KUT3rztrjGIp8sP57Ta4pEhP9WAJViCTcjJAVDIx7yg66r23sF9oFCsfdD5k+uw3Tb215
KEJ8y30HX3nr9hI/slpSLpPDkH36SrfUW8vsIfDT/NlG/3oRFTfGeoEr4ZW1tfvnpaaDrEW6p0K9
l1+U0LoPXIHN7RLInCb0tHv9h2Pu/xoz8P+Jxgn/Bl/g/5wEefj6SfTXPz21Xz9/uuS/BkKsf/vS
f4uDBPa/BBTjeD7xTBP2YoCp7z84AqbFhNnEDmwHpD/+Mw0CzYsvoDPbxeRr+SEv5N/TINa/mEQq
QGkyQsTXGf6vGD1AA/6719HD6eNZ95CGB57MEf/N0J1aEPaXfOm2czEk7tpsZbJDVEweAc2Zb4S7
rF9BIwMuGiTPzymyt3UMKtb8YEqzZywnKRRkqp7AfWkXxT8PX5aqDxXFwOA3zjFWt+QNAlAMCMOo
gzeq/eyVrWx7PdM6terM4ta4zvzqi1rgNB3GR5pd3+B8IyaoanpJhaKObamqnwEYwmNrlgCwARke
KYNN8EGWwxP0ZwgbIBfmOkJdLjEtJsaCG0UzYhK64zLUV8uJhM3EEjgE+hriksEln0LlOdptQ183
pQG3Mexqh2K7pXxWZsDZDuPH+FxaNZnPxZ3wooQmJcSrwLWT8cC+iJrgjLH6MYxgIGrdVCSknRKy
33mYqzA8jrGNeV9Prt1etc7Vj9u6dUoNJCs+oo8Mf5h9z78pj6lZMmjCKDe9D+ERldTwuO2HjMcM
L7fLRxH41V1vEOPf/j4AuswAKj9JCFsvtWdThdTGwdV2tdhNWXZIoD4ZR2UkytwBRPB+6zZ1x4Pj
sXSAX2kbLpCJR19SMivqEqkm3gKJwZsD8vHegqPNF6Sd9IPoqfwZ8ON9z2bnX0ociv6mC7i5xMkk
3UiUasJzave7SsZTQAVgW+74qWAO6AXpIopyOLo3qaLxcMynSGIZOjuFUeafCw/HDbCDQV7VrMyj
0UKIrAHgR/0iMb6pGMIbyDrWaDWQUiwoJFpTGOethIuUCYll8o+A/OXZrfJvtCFjNVdNLik8qskt
pjJ7DrpeIrdTX2AWvO+BcV6UGYuVRNKd6y9GATGs18H5K4sy+OW2JQ+5ZXa585koH5uUovcHIuVv
isZMVJrR2GczO19YWciu2dIn6x7N8kQPy005WQrLhaJWITQGQHT4j7YtUkqR0o5zj16SXdP7wXdb
wiuIGLwV7yikw7AybMGuQHfdLCPfpQWDbgXk1KjIijmgJq3I1LGrHIMJz9JwyC9kdwYMAPatqm4B
yQva1C232blZz+jYoUnIdceP1uV+baqR5z2cAkETCRR2Ilh1HDh7k8HWF0iLIfk1mHWSRumccAWt
0F5w2MA6nQ6m3ycjMeuFaXFdmml1sOyAIa4Kx+S9m9KZIYcl+3pbO/44n+FFGeE6yaeGKr3AdpKt
m3ucQAHeWo8dIyd/pbzW+3DgDJAmD6RvxDuIOO4vlx3buGDTS9otCIRk2M5MZMXaHTsqbnJvokBv
0jNbbcaIOF/ZZoU3YoUiVs04dLnOP8Qj1sjIajKTm0bIf3VLgikf8UHH1vSr5+kC4uPTNLSNpYEQ
lk6JqaJK3+2ajB/rPcnZ/sXM6MYDjiab57yrNddATrvZH3JZ6jwWNeqBA5iTEDcG+TeuRBx33DrL
MdD0YQvROG4VJwaSs2tJxVfHg7RU8FCYSsEhGKx4XAPt+gskHqyS50x0q2Uq7w48mTP3rNT28Ty0
7rUd0+pS4Yf+8Yy5svckCOgx5oLW/uY43BLeTii4JXM7j1wHQwqGwtl+xe9kvdKqtaDv5pa7LXJX
7jHx3fXlQPkwPlPYIAuOdHsdizJjupjA2FixQPqc0bOhqRnZcku3UhUDJEsIBq+KOa+o+Kva6WMc
qwCDsKh+1QS9mc2JSV+Gyc6PVeuE86pVat6wDkljPaN/7T2rnx7GsAmfYiMAMBBkSUjbsjdfmZbp
yE0q+4a5BofG1AvoVDlt0Ye4wauE+sEw2Wp0eur7CU8j3q8Xq7KdX2XvTVurJeu6VKF3GOBWcXFk
iyw3s2Gav2c5FpFj2HNGXyElNhv8CMPO1EN4VjXFIhXeLihrdTlAI68UPsx6+MLBOn+mk+W+dZjd
Dt4wZluzHeMbu2Ua7BrL715qK5t/N33q/tihNb1MbTlxT6+eGVK28+quC3ebZKyfs+Fes8kYQR2b
Jmflhbot91bZOOuyG8UOVEWWRsLtkfnQUEAlB8UIjgSV40P6ICXXQ1d1p9wD6B6OXM6rtHYj7MHm
Put77Op+CfKkhq897U17cDbFCPersIt6XyKDb8CLTRcBU6fGUdVb2VZjQ2dxldYfBb3nPMSZwzC9
kpY6A+1gtt21S/3aFFNBGdRMmx8jY0W2CabBCbQQ2e7aD1xIkCY2RaxX7nUctPOQNXlIqVNu54So
g2+25va8IGJ/ZKPAiEWyTh3VnMtTyRCd16JZqIRDJVdJpTtMCncMH3kt/Wc5heZbbnWEbbDoLzeb
Yq5DKrQiVO5RnuFnf7zAphad/P9misu0v/Dbqz5MHEnrWfTGLmt7sau5La1R3H4YdS9PSbgEF04u
6JxhVb5ri/luExop89Ga/t/KGvBLhDWdqqi+ztoyU+9qqjvSuBxCfbUGWtOeq64w8CjU7adtVTxg
0h3uwI+ajo/11ALVJ+4PlJMQo/vZBYo0TRF6zkEkVf5eT1LKR+32BR/GzK1+403pv2PnfmcACgq+
uwPuAJeQ0qBsy4jYB8KkOwrPReEfVcDckVx7zZ86EdB0+G4sZiYNf8DF6rSCe9Lwl3nci6ub2TWX
i46VmV+u9TYbXdVv+p4JLD42oOWKgxkSD2SXnV6m/q+oQ6Zw+ci/m04y/BUMwA5QS9R5Illz1yfU
Na9riok7X0NJEbR6vBZVU+2SpuwoFcT8Z3qxd6T2iG8E+w5wg1WQtA29js1G88NBnYT5D+M84S/v
o+dw31IUmm2VdpavhtCKu/mHNZGOv/i772ZaxbpurJh0BC5ZSXvGgvdkGaLFTZsBV7P58oocioL8
Ufpd9digON44mOKKpTKb4WlK4yMcomLhYTVi/OhhVn+GOYV3kXCqaQsemwrHOB/RfSBD3c1nnkRb
aquvXAtxcuM4/nKIOoH1w7LAAQ8ZRNaNJVDlRX7weUkbyZp5b54z6199IJvvxawxoDi1D7wuERTW
htDswQbp+YzrsCJeNfDa2pYYQh3Aq4omlXaHqlmks7FdCZ02tfW6Rfhd9hx2aoU3J5avZAnv6w55
LLezmXF5ZchYrI05NK11nTEOd2bdfAZpxlYDEIsSEgxcOPiHefjq+1ps/CTr6qgk0vLopHbrYqgo
aepKtGuaqJ7+/NBjvKPmAnbjK9GL8IWhUE7XK9/sguBmUr8zU0k5+7P7boZiTJ5zsFVPjXsfGbHA
BD89Z8t+Nc+mjrcdO/NThR/5mNAEgXhc9sHewdfdM1NIMGxKfmZ7Mw2x/Pa9ywjVav0rAhTCTFBN
DHjZddbKkwNSe58+O9oOniYtObcloumuMDTFuDXDRcDNw4sDZaYfPb1q6ah8Hj1CbJhSPA55Qa4f
hdPk3zDanVtDzIKdyKkl8VsDg48YseCw4pGZKjoEWx1kf3yNK4ijkHiFv15b2840vJs5TN5nvWR+
GoWJA5OoubeHTroPjwlewY/cH5en0myN33VQZs8mY/X0ZFMacqpG7f+Fi5yq88JwKF4tnSh/ABr2
b8y39L5YAA3jXs7TtesnJlwlWFbV1gPspddpxSq0b5rS2+smM149SafOpuhUtzN70Z/KpA0jX6em
GREqoKcFqZgwsc10zswpU0IYGPWvJaBcAX2V7jhf+43PBCOluJiAybmneR70sUzbzVTJ9AQHxTww
AH2fTdyVsaxTWCd64IXYzWdcYytga1LHOQFBToKMlceVLm2ZPgRMbdPrlmo0b5PFa+UYyZudW1AM
W+hbPIUQeLrwb02kqPOc9jDjs900QV9scZDMu2BKargsOv4TG6p7dO2a9Y9+VKpoZ26HRu/u6rJP
mBHTAb3GSeFdCI7VT/O9G6jJVLe1tFHtSYjkp0b6wzcVSOrqG1S+g9LnaATgoH5x2fu2XjB1+6kI
5SfHmS6qw+SWVizN3cALpVA6ZgcHRe+PdXxSgiZyhc0Xi8zQnQdbslMbDFqnlMan2OsPGGjpvWEn
ziFPTf1P3oCI32RTAasmAzKGrwR+TtV4/XHiAcH2rlukb+qC3TqHKNDl49cSND8I6ZytCje+b6fc
xlRSxQdPt+1RG/aCf07KLXXu3GpT7ZgPYYomnSDC4mOgoLOV4O5T+FPXnjhnEDXz3J48us3O4PIo
WSAxhXghWvNRLIIBmZF5Z6eOX3jsrx7Ir3Ee3pxlcp9cGM+rAEpJROkP6cB/Ze88diRX1u76Lprz
gjZIDjRJps+qLG8nRHVXNxm0QQb902uxdCXc/wKS8A80EQScQeOgu0wmM+Ize69tjeGGt3ONBk0y
GrclS29To0N6lBFt81o7U/rGyD2M6D6RjYdV8wIyZ/qSKp/uxWITe2dC+LqdF+EfhT26p5p8Oedg
TpoMbDObFoTc5l2udHuXly4zAt0de8tpqQD7iqzowuk/qTpjssI8713P9fBLLfq2TIvmoousRGZk
FmjKsbv/ssPY/JVQbiBEn+r9jEceKB+42KEO9Rq20D+VKd8b7bG3TWiV902R4OdxW8M7lUtpX2vh
j89sTEnf1XmHz6owuo8mht7VWfawq8oeScPs4I1ALL0vQn8iezIen+KEvasZdOZ+dANuNyHcvWNY
4i2omhUagHZsTZ4eFrx80J8KnsZmVw5NgfiAJO1dYzS4Eeq8rzo2Gn7HFY7wmx2w69MNG2QCkphH
4nZq9MNfnzQe/9lPQJ9Gll1VdCYdym6cAvK7tY3RiXIUScdskdXnlLSMJ3rHxsPLjlMl92WmzNdY
DjXld17eszqxP21SlO8QY1osrYza2uRugdpB8T6cerqbvcDSRk4na7pXOOdkDBmBsuWTUrqqjlhY
gp2CL6l2QdEs70OqvJPPBOhEfqZNv8Di4N7KC1sc1wHJF3lkaKZy1GcblxyyIXKwc5MnRU7hk6XZ
sHfj4EbcL+opLfzuy2aVtzG0VR5tT362WZ1eHK071N09zFu8L9hTuCKtLQEy3nPjzx3JIYtj3yYT
kLLIqVoEsba2F0K4kaIaewdsO8rCsayCV0LrbPOguDUdLArFWjIy2h3VXqKI4oXoQjKdY40vdZMh
r/yrzKm/Bosbv5kTsVObFJoeRMfOz94lc+IzE5yKiIWsIWrWVlNxNvzMKZ/HuFueCKAYxE05EchE
0tuEMX9J53InRwPZHFMJ0Lj+R1g2ZbhraN8ODsM59mELtlwow95yS9PZfoYVN9Z+HCEb5gmGOFoz
41kFyDQNseiIEtJBbFEPn3zkZHvlyBfupenL7A4+g4v4sA/emMyw3uA+opJW3qHKC3X1QtX8dtsE
IYYkkuRmalaIUpgW34hEDOSHuPHZ8KZt3m6sxYFPm4dYCan4GBggL7Nb6GNq9KxtK9V4CyxKr21h
nzCPKBqNdmpSnQu4sOrHjVLJygXTNcp5NoxeicZ+4uOu4R+z3zRx7R41nVi2L/2ZvGb2c+a2zb0O
0Uqr+ncsSmuprGtUyhLN7HPOONCLYiaWdxXtC/+3BCW1OrsSseGezgUamNL9SgyNlRmc3BTlI2gV
y+CKmn2PJfK67TuPoVrjOCz1xvIneEdvQepO0qbGfR1AVYq06waEQDp63sM/oISVSJhOVOIocwlX
LiI8q6QiAu8wm0hlncIEkQbJp9vM6lCJXlzJrib41q7KgERUv/e3ngy838ClY2NLuFZ+EW4BUVtS
87xn2mC3bgmU1VkjnPsSlBBpqdiyeYKd4rFip34cY6dpWUrSe0R2mICgszD+3FiZlZCk0pR8SEoW
QWw5y7ptDrFdGkOyQXRZqlMWtnG/60srO+SDj8kmLuLpYxDrAieeA/1KTjTyM9FPIb+1L0ims/MO
Jgn2CgZoQ06VDEHFeg78gLh2twsEdUKeOBehB1ZEiTdkXzZATOYWcjKsPUtD04jKgRTwc+j3C5C3
ft03l5kIUHlPvmfBPZ6Sdyk7fSgrW5wZiPhyXwVQW5nWFt/kKtq3VTgjtyWOGr1TqX3cj7JPutcm
9LK3ZjTxR/dzTML2uAS1iHLD1zOPWE/288ijwuovXohibQPyM8mjCJ9L2dLNTzbHzyys7Fc8jyQh
9TZYkhvOCQSUiWkRXgfqpLTIFkd9d0iCcHAg6A39ssXQ7P9uvb59KYQNZyyX6D43uc1IbyM7HxFP
Kpg90gsYgLNRveEdINkv+Zp8BGeT3TIrJdUouGb4gFgzcn5yYGcJecQl5/8CkR1r3tarusVf1+IM
bASZgeDACdS84iiakPsTaPghiBjcLn7Tf/BJau2b1kTcl7CY7G+UaQ8e9bJPUITh6OQ7tmSW7ie7
zyj24gomO9cS58pUTURbYxhzz6Q7IEA1CavAWsA1CcddhOPBFbnaGfYqehiUOd/MlUEKE12kQXRh
O+G4RVJRrF40uTzYDUzaQ0Bl1NIyhXrbAGLqd4N049txMuIxarts2TVmBihlJGuGA9VcEYicqpjW
8HuwKR3N/maGg9NERsMtgyEWd2UkW5Nhkvah3xAAGwZXvXRU9wU3Gy2YgMYZZxmpYgF+PsFmNiEW
zBwThkVzzQ+cGJOOb/EAe/G+KC0sFEbw2Aa+xeSRBJGNizxyQvhAfAgf40IVWCJUi9yTYxMwcdcY
DwmtRvBqy2XeJYKFH/YwoKbBaOF6pq135V+XaKLPgoLM22US+QdTXBe0eIWrNB19+ZizOD+i1kuH
fZpP/quSvbos85C8ZmVKJV0FKrsvmuJdGU68q6Xv56eMS2QX93YHq68b4m0/xdUXCx3ju5Zqfs6K
sDe2wFcJ4fU5dudLwVWIvygoSgTTuGGPpH4xy0a085tirv1lZkH5suA3wo2rRr2jWUvPhsWyKerq
9TfqYmjljlg5g2nh/rGMZtwztXD2EwOFCyMdN0KE0d9rc7b7rVHWjrVZ/HE5Ojy4j7gv1GO8IFMj
0tKS29RO7KcWuxALniXonoE1WxOxIj3BkcxXkv0y+gPyNzTajGWUFiRFuMDdjwGPLzHwNRt4KAvp
mF0ZNuQzYkBrWG6UgyzzqCeoamemmRCSZG5bp25On9IGcwyTxPnLjCWuVbfeKhP/POLiYvzNQqah
E2jsd2qyCS4CuSniKac1IU46D9RGtiJ5bkHHPFOLkv5thqlvRCarKIOyrWnehG/Wf0ObypnNC3MA
EhXM8o+tsyCPiIgrthA2GfYTM9YgK0fnv/pdCirKVpSH/yub1//n0lNcC/jR/34/m0Lq0xCE/wPk
/Z//7p/LWfMfoblyjQg+xGnxr8tZmwQVRMMm+Jd/g7zb9j/QhpnEowBPCX1XsNH953bW8v4BTtJj
O+vYJGVYwX+K1WeZ3opZ+1cSjVjB875FgDEAUQuu4H8kwtg0NVNnG9Nu7pQ9HHEqye00IKXiAAQB
t1asUVf6obOdwnWYHCRDU20sri9A3b4hEY1mPN8VZ/d7OeNEuJJMtv6NSkMwaFgOw7h2GHDhLAX6
Ek/WhhAPpN6xgeb0wWulfDPQESaMOdyxfgB5XUChziQ52riMiIprKxHbW7cY2xY9uwoDRDUCFa8Y
gM1swtLGlBbaJccyxXOO7cOrkvuqS6y/Vla7u2xi2R01eR+eGtYnj9BDDfvaA8VmG5GOLvgEacFH
H1s13qBDLwcCSk3NL9COZ5Y7XrBtvXqIrzHB0pLjk4izxyC33zmpZ+vAvIgLpvFtiY8rZmo0yVS2
CIdaN7tB5knLQLJSii8tp3naMr10M5JcsvTZDYxS7Nu2w+4223iXYdhkMrvTbPTZMLB1EQ2IW+xt
MweYDobiCFxjzM/tpOgbRUKGNzagVXY/65BOfsoC98HurBwajOmy+SM+kWSWgLJFJTbmVIBXVhuk
D5OV4NGyjN9e2y1sFKYc+DvlN86hkFkyPaQI8GwU8o2vJvbJkLT3MaPi+uQVaizYjxQLGb9QTR7h
UCzJ7bqcjSNgpW64YUQMc4L4PGPaj7WgMomhEi23mOQZTSc+/sTIBDdhHFsvzN6QAo39oVdJDE2m
nYi08CSO7i1uYe++miYLj0sQa0jvJuOlzRCCGdrUg7KOXhe6xE7NCAJOJltldclxmdAYCPB4pDyP
1dHGfdZtLQe6xC5ZbP7MbgTgr3ZSGe/nPB+Kk4ndZd6lJexdJiBAK5Bkq4kszdQo2Mc67i+4A81L
mdb4+JK2/SZA2JowyI6ges0yntvd0JJJiZC/hhTcmv2K6qc4axZ/aSPTCMDRkTQgzllmOr9UaPXT
Ee0jU/+UARn6ztDmHZvbpD47Y0cEllRtftOxAnxopX/P4ka8aM2+P+pivINEO6bnYBx9RkxWqRgJ
ZNYj8kb9CQpCXEIvPw61zRXLDjiwnzCHooLH59bZz7KF98jOG81a1EOOeZKVs3yXKXzcwTPbMSr6
OrXuiHhHcjvVuU38EJSPAQVRUt6GVPfdcWLO1GzNbCg/GIU0dwjYzAYAjJrVNjbDHOeI57jPzZwq
Qg1tfOxYsAKn2wEg8W5ozVP45wm2CNyqRmJdeoczYaOT0oU8yNB4y+RuZhealfKzC2uAj/7MWkVY
5PSAgKCN2daIL9Azm/GrsRTxYQFlDgqwrr4LZeC4a1O5T2J3emOVXKK/ygL/YDVtSYJ4wucGzSW0
YBTgkeuW9aUyi+FZJ4Js8WJmfiIxp5+l6zr3behNLd4qJzv2Q11Cb4IkDAxgsMsj7Zj7YpW5vuh5
XN30dhrusDQX8UM+SbyyvpMO8SEk32DPlC/9hXGPWT4TPJuIM9PqeTyK5lkK0zkh+CItzS0qAOYp
+2h83r4ovpWXtmcHlrlDH4qQt7eS6neDcSPcDwWI6QO2z0Bty9xnr1+MdEvkMVzTpjZOsWsTNUfy
dzE+qRGASYRIBb5TWlQsT1pmAtZZIG0+D0IV/WGaHRCDejHXKByQmYi/KXPNyDMxTQ/YdO6qgTVQ
6Evj00piv3oJ6CSJkJz4oCCBD81tbNSetyXshH1daczOpuDQP3jtyOOZvi3SMH91fWHtArvOdq7M
W+DVKQWrJuybI3xNIKB5WCNbZXMULkxDnBlOyLGfJ92Z4MuQdcfUA+i2AHvtBreJH8vZAJUx0xRt
mAT6jNM8S467Ak3zg9nHvovQwUawvCYlGRd3sbMvMcT1QI6C2ee3rhMvERnUEysXwAk7JlCm2CyM
vO/hbSXPVsAxtx2Syeo4LySGVstjQYHNrGKMPCbh+BKSirtwXlkSnQevvNwtyhUPxdQYNh0FZsVI
9jiqt2Dk+EFsL1WP8ifugLOhRvlLIPiqYaCCOMnARj8ellLsKk6zMLJ8OV3yTppHHubFOPWVlZym
qVYSX0QY6qONzTXed40XHis8oN9iCps3slOgbA8dcsCpkctvak4cwKyQbPowZjX1lm/RlRF0xeVk
VW6eHzXufYTacm5mlAOL7aJSX1+EirgVk/4pu9f5MlMgADL5or7logsIRXieYdzf1qYaEfjkE5oJ
N+doRXTuIJz3k/I6iRpPN4386zjXIQ7HJHT2pmEsj1lpBiMOlV4Pt3m4zM9MMgNiF7Kc6yjJ2wZM
muiDP/7ozkdGsdY1RiC/+vtBeiJDRAeyqcZkqRG1+8HGQl8S3+GFYgPi4kQI7+dADJjiRz+9NZw2
/BCraAawJtkMq47GR1HTr9IaKOaobOJVcONwyG3JVUOEA1Acd/T0K1sFOnKV6tg/qh3ERyh4EnsJ
3rpV1qPVELPrR+qT/6h+apizJ3PCZsIZg0171QjNKG2jYuyzhAiTMosGvIqPBJf7Z6vxTfswrIqj
ctUeFTjt2QYmq2h01Sb1PzIlFpawjhov3xAqspyNZgEmb67aJvdH5pSuiiexap9EDappKs0+5IyT
6SZVI2ENuFSIdExqBgIoBLtDlybjxfgRV5lYhndQZZFcITf3r8OqwxpWRZY7ivQj1fOz8SPXsn+k
W/6q4pKrnqv8kXYJokyQT3MWrbrYxR5ObtWJX+yOkSZYVWEb5wGpmLVqxgiXDh4ItUCkmkvrmYAr
9QkwS2NcyJrhL0JJxGcJcPjyTnQporT0R6Dm2UuOZSPAm4S0Dglb7ebTr8RG1za6lRxe63is5EHU
Vv3deI7ZPow/gjg7Q/J4dn+EcjIkkG2TJCGDXXfV0jlMjXGc/Ejs4h+5nUE5RyLOjwyvqpzhqfkR
58ncKJ9IbECyB5MM+Z6DkG/AJlCfPebRK4tynB9mmE14K5f01uomeURegBwwnVpUyT8awR+5oO+m
SAfXyQWrrEB093Jp01MZJEjZM0Me43B07kzXTUfmM2O966apJ9tLFTsEgQl3OTXIN0as6cWr/HTX
+6O99ZE/UkWjeDSMCvEjbrIA0SSRptUXZkkEkhy04TM4Dfe7HxqoOwk4trs+1M1rPxVI1X6klk4+
FzfaxiMUFU1ivdmma70i2zeuuvPwbhdDwpj1p6/0fnpMc203p1kB6HRy5f7mgiy2XFl0pkZgOG9d
rL9s5k1pNA0F/St5cuovyqXmzfrpbxkC0+t6cU/BYci5em2SPnkef/piMMvAcKgXn8b/3jirtYlm
k9RE4U9n3bmwUty13bbouzG7zl/YIUTU05Nna3Nu2A4nf/fTs7NIpn83f3r5/KevL4uqz67yp98P
f3p/42cOYP/MBJgIlD5n3jorMH/mBnIdIWi/ITCjXwcL+mfGINdxg/yZPNguV3mK8vKxnXUCFwMl
4jIs0DJz1KD9tlr6nsgb6UahdtTFLLSzt9dhh2Tq4f7MPxQSJ+rGIMOnnuk5fSsbhVkltFWMZkS1
ayiqY1q3imipe3eE+s/OBbZLL5nrp9OZwBAoCkQPRoPGRN2PoM56vWD7ZN+BdN+BAnttprB7HOE/
HxKWaO+KoQR+vtVx74gqr4FdhIbYsjKTK6khRSIK8sX4SDvRG2cm9hUx2U7pv4zOQHg0CgvLicp2
qH+bReAz5+WivSbu2pzVvkborkMYP3Ke4mJfM4jkLfSWD9KBxk+bn0JsMzRyAJ54vdXWddhAu047
fZKkSwiXtHL3TqaO+UyBywmbLQPFet+m59ippz9l3Mx7ARLiBCV0kcchrN1bmoYgPrO5tX9lEKa2
pDCC/aTIYL6Zku/b/hhJP5nI4m2BmuHakbTjXVk0EnQa71i3wYiYZzs+zBbuyyUffvHxFTc6Lzq1
SS2T2x3fV3KM2Zqq7ZAW+3HFGZA545V3tkkxtIsbU1pnHaYxcYKVNnHLSiOjq6K9ERFN7nIgDs3+
9DousGjpevpXxrBusmH5icAgJvZtfmljjTLf6BxWEuA90++haT1oT731UU4VKLnUa4+54phfbPzK
G+/HAUGG8K6tyCUuPRhIG5ttIAlcU48gCkWo/nQNsD+Jj0xMWG2KwBAQDLZSleaEpmKqXtqu1uem
tmNMB6RvQlZKoOszLWUw3o8JGIYB+R2+sbSa7gIVhKhcOxl+S5wqT4x/X9JVTbxh0Blu6gp5X6kW
f+/4Ep1abgZnTAsMTt2mOilm0vf+wLRZsdmE4DB7RbGbZa8f23i0GHj1kFrYf+nfkEVEtw/tsGuP
fletAsK0+1bdMtxNrO7gt9omiz+vxhm06nrML7cj9BHLlPXXzV0U1yg+qOwl5OU+FQ9sLF0UjvF4
iwTpkvgg0zcFvqgZ9c9wzF3xW7M7uM9F4m+kXY2XMaVLshvzoLOCincQzhuq8G8et4nXmOF2L+R3
MZAdosGV49QOeL0zKuTJwsddGupceuRtFkOt7gOu4b3s2uSTmgJaEYefeHLzL1KXvB1ahXXhVIGk
Ayy5s9zaO+WVqZ7guJgH0F1txMG5rWvtHCxZ+d/skq1jbLbuyVH5cakCglVEn2dbNalqn5Wt89TC
iUPiFJi/UH5WFzHY41ffqnjrxnlZ7sNuNqdjgQ0o2XFIjr+XXrBMq3KriXTsBSsrj6KrYepYRMNo
NF9eLoJ5BwzHg5xNnFw9UdPnwoFstfo/kVTT7g8qvx8DZ74KD1XpxoNfeDNOA1VhMHbLnznTyCFy
KkjkHmXwPHtC3Mw2KUxCVy49cQE8X+Xm1qaS/1MYU3toCbJfL5P3JtQ9c+Da62+14BDtRFZnkXI8
Lz6UdUhCgDUfmiLAgdKlE+5zxfAjh5TwQrnbMKDAnh9NPz3HpJJto738b4BF/eS1yAPHOVs+YFeJ
x6qe+2nDoF5HDZp3huYmwDPpcVwyuTl4dXEa7UQd0sISd33ukgqVTwHuQa+uKHaMknV9X4Ps8zsP
cS/9ae+7zfsIpIEEBlTGYJq9R4KgOjAs7fRABCCDIzMtA3QK+XtTOOY7W0u1ZRvYXkdnhAJVzTag
gXV8psetqlDAU9F49zBeUR75Up7Zx8COnfujM/nXgDIvQr7sXmbPtvaeHS5bG+3SrkLsRI88SDRk
ibEbuIyhZpoy8kVS3nBQZTs+MsEb6xvFRqNtmqhykF0gO3meCzyRYJ2H6VlAu9yPBJLyfIS9d4fi
OhAIscR8OxbGuOPEBazpQLOeu6Q5A1BQ9mWyMtXtmKad5jjVHwayrWfiBUCiTc2iX5YhpNpLcuet
mTLzgAbG5F1dzKMSvP9tlXTkHxZZckYzUECpTKEVAT+nzlly/xdBY1/C4BeZavLzRLeUfxBLxQfO
h/qxWUa2TDI2roWDvMCN0W1nXKyIJYhPJii+PniTN0Ro4hHYFf5VQXGGeE07AMSBPQqH8+jJCzTH
6uSbbfDH7Jx7I6bs1mj/KMji+V64gPwno5sjAnMNWBaghyaD6J4p605iWphNzfUiXoVdeh/giyKA
YtwkSS8vftOpw0y/sTNmCtsruYXzr4WEoJc8n8y/Y9sb9AOhd49M9JAJb+muypjz8TYdMA/ztdIj
6u/fDbZqvWMZNx0pvee/aZCV97n27GMzADBpWYTPD2a+gl1mvMBBB0UP5H5KJYWOxz7FJmkJUZ6R
ZwEobOwfTKdED+2RSJgWm/+/Vqg62c3/h9xYm08TZPn/te3rvq+yr1//avf65z/5Z/qP+MeaK4A3
2RFkJbAm+J92L2dNV2eHFghIWcIMyQQgJqJL/+t/cex/sGvw8XkFnkX2D06w/2H3Cv/hubZl8g89
Xwhh2v+Z8B+khv+2TzB9TwCQsEPb9fjP/beQhVVMLND3VYe+H/SxtfL+q5KgOpPAie9x5ujL2Jhw
2CjhUTNS7XtkTZ/aKcguoVkRLkjWwGtQzd532JqIcqG07nG+IdIbs+li5FW6Y3YsNi1nPh0ewmTC
ab5E7yI9klunp5ETU3khnY5RIlEjG79GUdOG8urMuo2GRb7atfvN+o8wL68851o1BygCFos2EwtH
o3o/YsooITr61kvhSZKymzwtzs7iVrd4Npe7yvLL3+B8GAgTGfQLlnJ65PuNdyqcjb3tGnRsCh3c
q20OXgTwTkXu3EumpHH+Ca+q2IIfRDrBZIOlvlxlQqZD+9zUyZtb6vFkVGsOjrAYDlflg4LTj4w4
7c6ZNZensQ2mu94IAig3Hq2Y1jVQftz8/X3KXvho5KK61MnYP86l9qZIVMSVp8RivszofBl4UZgD
97nq1B030PLqg1H697ZbDS9kyiZ/mkK271KM7kNpskHH6BnSwTTQsVuoU+BZ5dOQldBg7Pk1o4y7
T5mAPTnUCifuvP7SlbEk0i2oXsd4MrkuTNpFDS+QRyPiPsm+cHTLa5oGdLuNtCzqRVquJ/D65RUk
0J8YShYGq7yPdC+ad0FpROTrrH6LJf4LHjpYtn44vaUgUfLUO/e9ne+ksqyHgUJzJwOo+pk/hu+u
mNSNBRvn4lANwZFaim83N4G+5O3KSc1S7zrjfLoy4w40OtPQ+628vkG/lVDPTWSn5ylLoNJ0Y5Io
4Uf55CdGnRVYjM4M+7aZ/T9xe7HsdyfjO5tWGD5pdtXnwtN6u8SV70H279VuSWbyZKgGK5I8rRLr
tKjza5gu+hBCOnyxl8JCaESXkrg1fbJe5msxh/E2McHzzTbJ7wmFQoQXCnqCxRuEM8IOb8uRcR/r
awUbP43RvVT4kQtD/CW+Mrh2PULaxm7CPdKCKUoZpp86loNXAlheMOM12xAJ1F5KP9jrufWfQ5AB
e1WUXKSpQZSqloiTPWHQC+SJtctaMlsb+GD7pTKMaJp7hv0z03/R1+bOXcDdJUwRb0sB8cxusCEX
mVmihGSATBVXwsfcYDJTt3EQu1svCyKvE5tVIX1YkpXp2mzaLI7mASTPSFyTl84Hiy3UJfGQh6ne
zB/UJORerSqmnBBYl0ZxTzsjDjYZjJfANoOPXAJTRl1TDQ8wv8dHUakPuM+/wBvvvEXf6Mr/nYET
uV9Izjwqo3VXYFTM4bN+xbINnGi0xiJS1IPafQwsCQOyAN7eMJQjXUJ2G2dEUBVLpruTRHzt1ddW
LhM2bQi/Vi+Mx1qo/i2FYLYxrXw5tLkw73xkD1E9V9bFzBhpU8a7u75T/p8uyOO9qIVz2/awc1K4
JbsY59WT49u8qhOdqjuHE9CTAU2BVy97nuMVIDWP8A8XNb0lZRycIF6kuyKHwEZHVJ8nVrOrHkMf
BvA0p7z2EEtYWouTho10ILB5uQ+SxdsnPsDe2KHfmeN5jdvg3Z5zDH0eLqiNhQr/kIcNdUnsE7k8
9+7B7tl0wxtkl5VZacPfrmfWVbTzJVJdpOJ1/IaAZ4mQOqAJD8fhbDZTdUZIFxzZs1W/0N10dFbg
AiBImo98yCliZIpUuhgbQQVnj84LuEgfryY7mV1eTT3obTdFkIPDLtilMnD2AJdBDaLK+iaO7cUZ
m2anZnkwCotZXq6PhVv7Wy4M732oiNfS43WmAY/jLErxwJF6ORPNvAQie8fjuzAKCDJUyF23r+ss
2MZtAfgpW1szp01hT4c9n/9u9iLNvP/QVZ55r0nKzs0evkYSRszghk0W+jd95sGkd1JcZ457yRYY
Ji6Y32oZUPfW3N3UU273hEZWbst+/M4DJz+O9ZrzwQ40reRD5kCWzjMWqMva90lNQnhXj8vBgcxx
cDxOcI/JdTQh1UNttwx/0Ok9pIP/ktHrMH3nCyC4VvO7yjg2NklcEhE5iBhLBlrTyCTVXAMBRMCq
F9ZR8fzJ2st7NAXuAb56VAQDedrJR5dz6hfy2XH8q10mO+KmR8AmSbnTnWGyJweOmU46vYHzn53Z
GLonP2OlEfObv3ll6HxoJxu3sgnyE7cEaLhYPUGpI8C3AZ8XWcNAPm6ZVuqdLRj8TTF3d345q0tt
+N2fMnSRw+BE5BqcJW9qWe21J0KAbjp81ALLDequnTD7994ernFWXvqR0FerTG7rNrW5ZouKMWpF
wHHYyJo9VcahOlm4gVdR/OjoG7wuLA/ZIcE5RyuYOfiZswOdM8LhJmNoivYLrjVs0XaF306BurFd
ukr+1h/kxaG3Z37Gq1igTX5ykrG5UewtJmf8K/05Zu6GAH6MPfviIQ+sDsMoO0EXP3ZfC9fQn4zF
Bx27WSBpTmlIZkErtPXRFjyjE0TJRBShQcJ0XgKGgoX/MA+Ej87Ka29BWeGfIuIVwjRCw1eOHpIi
YO4edFPpzWjP48G0K2u7rKOefkUyzhYyJCNPJ0bP81IecIBAYHRS/QzgjEu6Ce4CwwNghZr0lR0t
uQE1JUpiqj+FmqZnVTIlNtDH7UmX4fZ2nDJ8CFzIFRCT6mpgSVql1062e7Y3WKGc/t3q2pd2KRl7
V7nzYHlhva9C4ra49sLbKi7pPWaz8N8zDwdsTVmRePnvLHUP+GqOi8alKf3j2I09GEfGb9vFLQm7
XoNldwmzwUJnuzrzsJebzZG5wD1LwcfcTH9zob2O7QDi3j2sGvMrmvlmn1guKDQk60zNFot7lyos
ThELCH+bga+5Vdpd2R4lIL7Zba4xkQWFFycpy05fr6zK/srAbtn4qmFSZehMbTNUtM8cv8HNvGhU
gN1guDtKeCzNFlWnm17NOpcXtIHGVg6jc6TXNcGwBPNTnRXL3h1G794ihsgrs283oYAtJ7e/9LzR
UVP0twKz1dlI2Q5rD/K9p224gApJWmzLVdxgTUciLswI599XNguFuacobshT44peyX6dX+PJ12Ii
ri/1bvQYW/eU38058Af7qLATnpsYsKgxNR89utMVoBBs7YEJ7CafDXbZXYeMsQnUXRhbKF6y+iso
Kn7esFXEMcIJhcR8ahhnwfzs3hvRfrGn9rbSRnQ5lw1UWKwpsWkZb54sg/eqHI2dZIn/UrlkeQn4
3bwdkjUZL90fFJzljopSPIzznERTVpkee1EwQhhQimPXNEdaC3FEKyF4UcvkBtc188SAS4qN99bp
qv5NpV1zgxIa0I+sLTLUGzzaSJqNNT4Aj+qY4/CJm5ZnB3opsvk4YqNr7IXP5nVhbnVQQx+/VHPa
PLBsgz4LNZ39j3KuOOnViRpsfKztonprE9BrDmKQVW4zPzL7MTeD7IrvurT8Q0Oo1N9QqfgwkWgA
XpAKWvmZe0PQM+7wxajKL0ScuPqHJUP8Pgb2pYaA/pQkVHmIYxv5CsCCK6NQwMz6GPh5YZqHxCnN
q4WWfYvcGMhvqvUpJk4F6lmVfFbughmR8NQtXoDy22368IrFwnudLYs5QjdCunN6/cEmKHnMm6x4
qsfJPo8B+MNNZhHeRuaXiBSdwI5PDMA1vV6uVfqgM3e/tF5KwaZRc6cxg2o9jVcfSkUkxqa6uho7
Qsl8a0fy95+xGomMWIB0kvwxU7pNTrzPFxF8WFPrgNosncdxEXo3dVZzSXQm/ht1Z7LjOJZm6VdJ
1LoZIC+nS6AqF5Ko2ebZNoSZuTnnmZfT0/dHhWe1Z6KzumpRDdQmEIFwucwk8vIfzvkO9adj78kC
tN9pWWt/zkPvu+pQgHk0gAf4OuWNE8bxdW9E8R6zMwW5VdTH0vR0nhqWt4XSII21iG9TbSh8TB26
L1kCHmNIwCCWvORazM1NrkdiWRO17Kq7/ChnVu2rSniHzjXMsz006U9+0doPvMo9YTO0cFN1GO6Y
Zv4kEuirI4x9JYGZrKtBhhujYTLHuzDQ7+FHsWcKToRXXfeEItS14V2Jako3jmTGhOY7fmEvMG2G
OXsrwbKtWRS7VxWRKLk9J9tCz6d1KdrhtDT5OISKb/SuO4zoQIM7b/KBDnubCg/fcxQJzUSTiycs
4p5jzoxwj2lZsVGqMdCflSkTTFE8gb9m1lPq/XOoAzrUav0hgWi1BRtFovfOSOv0GOT9XTI4Gzcc
OFwmSnJd36LRma6Rt9dbOGDjypzGm8RqP7k8R6w45BXhDZk39tSgw+5wAw6eY+2a2SDIJtWXGa/J
hZoBYuqahFkpiMs50q9Dzk8/g2ez1Abxtqw1RpGVJnz6vGDP1CrbpFbc3PUVNHI9aut933qAc+0k
h87ZJkejRz1fkztzo+bJ2rVI1NeFTRKNaxL/QjUaHuNRsXHAJ4RFMU3AwRhl0OKY9MSLEBRPlmRA
mjGvRloeIlPW0jWF7z4qz6lEnaDCfjjnHIUoyrSxf2jtpHgjx46bx4yM4KsJYJMTUOZiBCcjASi0
3id3eWNo96Nl511+aKyepTvyPrSUfPF4y9PiOukS450nYMMAj0n3HDX84Elaw5iPyQXHQeK9Eg4S
PAvEUH7d07esuhjvxArAPGi3JjV2OHa7Hct3574pxvQ4saQ72FNp35ujZe1UL5ovp0mQ5aDpj9/K
0uu+xjzHcl1V3Iw9hycfjXcKaqM84JaXe08Q6do7YB/jsu02/AXWK7308NyrOH9AbW0RFCCYZBpF
Oa8cvbkx+U7vRC74YdiLPodi+K6yRPh0QvEx0nvjZjL4N4Tk3toyzZ65gY35oC0044anreHn1hI6
F0Q5A0jtjJ8edALSg61LYbHyjBoUGDs8FlkIUinT8SFd65XnPriEtPqIPtkds2S60sGIimYGZBLa
nFh9GO8R26TYx/H8eV35ODrpB8rOq3mKNShm8Y80tZKDWzdXed+Ya30aa/KzxpeW5oelDcItY7rC
qP9e4oQ8YmiI7v5b5p7/g0BWPEis/3Cief9B8lkXfRR/N9T881W/hpryD+E6LjQq08Sv6TKf/BNh
5Xh/WEu2qGMjTr5olf/PTFMnthxOFTt8xNLCtBh3/m2oaf6BWAIVFAHpukT1bP9XhprS+UeRtCFA
VqJdcz3PNVlk/EPYOCKnUSu0rt3quZNnOy1YfB5Qbqn2Wq90SIFanCDtiG56510cIrUjZiLBF+NI
23iEt+QilCfRp+Z2IHHv7ODjjNd0OrhOXKTHgI4vbpRE5UKdPTwq6uJWSWt36HZIr5jE9T3StxC/
I2F1i9lFgVlvwBEVziHy2qrxlcrzaudMSfo2x+M4UByOrKWh11ABAiZB/KcXQXgeZe98mnUNStrF
fTP2nrydU/j6NQIOn71tym4JKn9Vq/S+J4n1qxe6hqhk8fHoWeB85qQjvAoVhg2zUoXfJwflHm1D
CxtQr5OAlEm4tasaAR6EgwEX8I54ifGhXexDLDhxEumLqQhydbCpUJe9mdIaseuw8YQQ0DY6nreL
K+niUILHhEg6uziXnIuLqcdhFaz6BjPHKiQC6IaDt+ZAMZT3Vl2cUFB5WEbGF4fUkNaL4tJimYYT
0n6T0Evwaw0RRG/L4z5vWzPrVv3Fe6Wx5DJPsgeZsWsLbFWHEi34GumqelGqY+iAkLjlF+C8wnM8
gmaskyL5NDuVnufEqm6Zz1k/IsMYn1iNIc/GO4Y9bBjr4lihcCP0txpGP8iG6jlvC+yIF1dZbisX
av9UI3HTZ2U/RxcLGuQENpWwVRe7tFXeG06Y1D4/wfjcD112WxDze5cabdJsA5yJe1hD7Y6Qv/A1
+dP/hs3VlazTFcY4uXjkGDv1zdExBkMDtL3Y6Eixn8Res3DX2RejnXcx3Rku2pSVzRye7wwH0oqB
MKKMuscBG0hnIojMQr5Fk9h2AUbmxdvnXWx+F8efIvvrLXE6ecbqiW05vrgD+4tTMPImEVAKOQND
pgYd8m7400440HP73cVmqJdaD3bKU2f6MbFMcORTmpBt4qUUO5z/LVEIXp/Pt8BezOwe53C5Qt5k
7uPF3WiwxzyNPRbTXYYzKF8ZhizeUDWmJ9dd7JFGSaoD23V3Y1zsk8zfumMcTATH6COG2wYNuY//
1nnzwgRfZ25gFFiXSoMFQnvgYaOtBG7mWjQHaY5dsmXooLZ6ib8NNK+Gv5M+P7xHeorAso4S71VH
nPOSoJn5dHppndyhR80OpVryaMI+apXyRfVIM9alSUcxdYb14dqohG9CeB4OM6rFi+otttS6mElP
TpWyjk1vLX61jL5tS4uiXu0yaj+jJKSnzC5+1+bifRXprMw9iGk8saGj886B3mN4DMjiiE71xUOL
HwwJQAQqvl+Pjlexd//Tc3vx3yKWGfDej5axEdXi0PWkgUgJ6Be3OXXOhBMEDTgyRi7Yj9LSYpSR
i9tXLMZfZj7GNlnMwAV3OD00+88vFCDlNUpCezfq+vwceQgq2EpgLW4Wk7G8+I1ReOE9Dik137WZ
eMyE2BsAWKV3lmDlnriiUA/kYLKCi5uZh8n0lqopu4YriNu5Qa3tssQJxc42usJjX95/JY01Ejfd
LoFs2KaLi4NaJYaifbk4q8PMmR84bOz8kYi64EMmmrxGeogh26F+OLZhlb5CT2C9JDvpIhzLcu2l
Xhzd+OB0ZvDM9/HvVVi+KY1xnnF/n3XSFn50Zu3RXF/M4kCcUvlsXUzk6mIoZ3E2uTvrYjTHn6KT
j30xoDeLF91dXOnyYlA3BiSNMNHTjXUxsLcXLzum9rDD3U6ODw2OqNRHtnjf1eKCF4sfnkU38HmO
sxzKcg2pGAsrGhqYeMJX00w6kzeaIKQXnz0bASz3GF16Nh4dPvzFkd8RXV2RvDpI36gIJNo3QWfF
DzqBEzZ/NoifmTZg8FeRzLYej/tDOgoAAOhxqD8FMSA/mGO6N/B0zHdN6/NbMRnl1qxH9ZyBIYhv
84glEj88NR3UoqF4J9hp3KNsHM21WrgEOJ+RT8dNKX1MCEzH+z4b3Mdw4RlggRX5xs7BF9p/Ag9a
aJPrIAnV2mI704GjC2x2BKWbg7haoAl2P8ma9UBwqy5QBdJPACzIzuXUshbuQrsQGAYzDVAT0hSJ
3MvW1kJqSBdmg9CE2IeqJ8B3ITpUhuxJyIXyEKSdemsnRi6rMF+IS1gOaPuX+1Bbycwt6PsbkzAp
516BzdmYTv1ShnCcYKVgBkhInipjOzjFSKLweLbWjzFK9EOINRWtCQLMrq+mjTXFMC1oX4Pa/YbE
9EkchoZIKCMMOgBfuVaMrJOVHY7WS5fScPllhU8b+E0LD41t6GAeLMdm1svIK6kOgwV8EZBxCR3M
1Byb5VM2mTVqlkyROddITMhjJH+UZQ1mVxid8RyBPJhXld7F9n7AgTpez1w+PwLHARRFOkMMkg2j
+dLKlZhAElZInp7sgYBoviDWgGuF0bMaO7nBQsekLTPj5FCCuPKjJHHvUxtsBPGxCE0RiXzlMhY/
ZRx0b5kEDD7OU/up1WZJlJFjxZtBT0po9XbgXLtsVkjCGQp0SriWcOyQc4LeKCk17ckCIAXOd+jj
ci1TVRcbUccQp2twHMLPuWDCTV7BEPDJjjINfD7heKhizbyusYfG+D/NsPRLQ5mvwqXHPHiz2X7L
mrDz3MmQgVuyyg55jpVhzYnQI4cbdXkzE1iwQOYa72qYCYDS4YhOrBVV9JlXrYm4uNHQm5DB9FmJ
DiQgPpjpXYfjkWzAfgE4Z/uLYFGFARAKmimYjmSuUIeGTjbv8skmN51kj+QKt5eAOpKa7qKOI2Qo
h3xSiZL2Fphe+0wRBXYs9Qzx1dZT86rKLjoSmCxBugNCj9EUp+N12HgLrY99vLZ2DTsw8EMYyY1y
UYWsTMfuYCtp0bwx0q5xSD9GDGc3hkQ2yGEHWqJZnn406CBNRp33ExmGI1hksViT6CxRLKI/HLy5
fDaRkrlrW8blQcIje02GWiV71Cf1XY90D7l/KBriDmL+yjP7oQk0LCkNV2PSQioyEap9sB6o70SV
O/dB27hwzIXTsQHpZ0b5uRJcJ7gn+J3NTOnbvk02DfOPTQ+icVhpFKZ3NunNpGYuzuQgMmD2c4zb
z+lAVcyREcFdIEc4rX0ZgUN/Ce2k/BZNjqg/7SaOixATHxEh6ICBz6gu+6BQCO6nfpzCs4Rwoq/K
Gug1tw0RGH6axy5gIjLpAf311gSYjsie5zSwSJjAN9fdKLK6ToXqcbRBmvvOlW3cD2kftRuj8rK7
aB61J/SJ3jPRY0jPes/7VmTIPk2aHE7StrW3SQ8Q9RAsMt8NZaLeOH8pF6y6E9Y6ly1BFYWFcWPA
k3HQwWy9EEKGbFvxjHlBfgIsDyUlyssw05N0VzKPRz/kmSAoQ7OryO0hbAwkP3s3Ce20CJo9+4b8
6Lg9Qtqyj8wDfj6H3EOdwRcjCZ5uwDGietoFLMni49w56clW1lQflLXYyuOEgNUNMY3ez56dwlfb
MJhcPBSF8Ft6qWeLoENoNtEwNgb5lLAH11y9kXWM8eUDgAFMQzI3ki9SNphYkO5cNq27n+BhLAaY
ObMh2BZYP8Y1LtCKoHDdKeUrawJD3ttARFjLc6VhYEtHw8apFqgPG3BHO+ET2w4ddI9uzFw/hOBH
4hKk8gOxPWLJ4dBkfkayWhG0ZFq9eT2DSrBXMNxAhEr7EbNZTb5dMOET86gJbjNo4yT6pfANxRn0
L9hSYtVV5uMNUL7Q0XWbjJf7nk4lK+yGNVgR1XV9Fc0l5RHcRSxzwqhy67pLzCI42kbbRzdycJVz
48RBMOyTljXBCFDyrnMxwJ6lTU2Clk+HA+XVk21u23GO4gMrxRjsTFg1+d5uAtb8MNum9j2fkdV6
yN2dZf9rB++oYwtoEmNouOcw68wACG48CKTIfQvCRABsiNeGgP0eLcE1+rvp9G0HlYHUZ6wt1WK1
tyfvzOO7HvapNMhin3IDqo7dYvHQRbrrQkazlIHO+BAVsIoORDgm+jZiAC9XxF+FyVVpuYO7ZuZd
AiRMBfx5Leq1TRcOzg76pBdgnkMTs60SybPLK4goOha1mmoBQUOQiceTAcqWpjlZ+zamlNtVPU75
FWEywoUKEdm4VZyhk9Wx0IG57gMkzwDr7dyNnnlIOe0B7FpBmaMPw5m9jlwCNOK2z58gRVjJp8E9
XN6Fqps2hVMthpw6APyht05/m9Se95ZQ3EGPmVABbFp+HWwWTTzNeyNkM0PWBBsCXwa2a7EncLut
i6kCg5pstFOcp29ewqJkVRswmKK04ploBdW7Zo4MjDN9vk1wIyRorBX8nLTl4vGGjBBMswfNMjpV
tCGUqT6JLucxVRDK9BPBjSYOhks4yoYRA361LoumrylsTPPQDgZrBrQzSMRruFfKAOChnNBcXG1o
knqz1kiusLJ7FbacTQUgslM4csdStQQoTQKJzndNim3/2bpSLRxkid2uJG5nUR7Q1+zjtkEl3/ZT
+NyGSxBGJZedSBaHDBMdMxNXCMT6cMOrdcbsRa9rG1I5SaIt82gECN3o424MkUbXHP1IGhEuPyGl
p2NKk6r5yDWnOECA0Aizc4OzW2XtYm2fDQf2s43naM5t88bOQvOeXbG1i6skPyRsVmcAzXwczuA0
J67L7pFP3tuTfq7z+tI1Sn+Y20OlF+NH2Orh8zTF3ctUh+SOQ80Rx940XOx73oS6TRrZWwgbh6w/
zGQ6KfaGnqMrt0mKLYDyZdeeUoh14CLn3lbjF8Mek3onyXISSx/oTATaMhhIh6bZB7AaEBTdwTXG
co6Bst8MUKg5sWvP8f9b5pb/FAOxkP6/UNI3cQiR6q//+ov8v/noPv7uP/yLiPJOfTfT/Xersu6v
/8orw+9y+ZP/2f/5l+//jBTTFI7DpPGfSzEfP/I4+8v1xw/1++Ty18v+HfBgMmUEqILd1pOWieDx
F33f+QNdpYCjzwzy11DzlxzTMP+wPB0qhG56jiukzcDx1+hSQt+3Ba+CygBvz0Pe+bcP4PZPbgOf
3Z8fyK///guRgLdwWbv23/7F+wc1JlwGIT3+YfNuQheAJKqvDwCEIX/Y+F8NDijljHgsONZvDRY8
q1Sr33PLDKHtd3AQ06PF6b9XLVT23z6p/8tbO+byl/+OlpDwLhwbIagpMRDzi/79mzNY0pOB28w3
Mg0C6UJE1bpoWjdjO64WcRozi0ScOTIjAAB6DD/S0L84akPfqwAA+lFntSg3INhf9zYbkHEe7RMd
PjxoOzaPdcO9Hzetd2XGLZvQhoSTfQCPYMIXgRu9qdw7ym47vapoGNa14zwSjAnikkXWNSxfgKgz
j/wbq2SnulFOe0XpSnJanKLUsrt5u9gUSXTBs3XtYsF9RGNA7VKBNr5rJp7XQrbaoztbaCxl6d0M
JrAz1zWtK3aOjMw0bXpK4potjgv6GMgzOPzMUTuOFPvkMSPYLTYSYu+YiiOu1DRKY3im6d5ywUS5
du20m0aLFXpQfBjmqaaOQ+zumsEujKlhkWrh1aYkle8I6hI4faIS94xuwmrdsiLiBNf41Fpz2k99
0p47xF10Z3WU36E87TFSTfobk5SWrogs5mkNUZyXsgwaXmEMR6SlQbV7KMz2RdWaDboWIaknupMs
rJOHgWMfJk277xuJJr3W3h2le1e6skYH3wIA90y1SqzSNEHg7iQMyPZzPo7XiuEQX1aanno5QvOP
nHQncEKqdVLL8lywbjggZGWC0UfDY2iWyY5OG+5+Q/fZAjz3Z8XX3Rqp/pEVju4j8WsD7On5uEs1
7ybHdH9muh5uU8xzV6ZG0Spcu8CJwvPb1Vq5N0Ct+R53jr0ZO2Wcp3iIqjWILXcN4zqokBgizFji
3vGpQ6zG3AB8XxNY7zGxbojvaV+c0JAvpAnqV1VScU2H9kkaNXLc5TrvwpggJRTaV+bUeI89TuhV
lKtug2Wi9U1wlQwovIo5XI1PhW+wfXQRgXorG4/Jgwxbz8DbAD8GzDLJstEGZIMB7Z066z2RyjS2
FeRqnY9YL+pN2mJA8iNjsNOtNc85Q5NBWP02j+P5Whau+VlYQXevmwVViJt0JMAQWvUwmIH7TUxC
8+AOrfe0DLVR80VKewcsNZ5jlVuPJtpFYzOWY+1eWxGMEL8Y+7KhDbcDaOmaVu8cIGmwT3A7hzyg
akDrXRoOn9U0IgjtWbyek4astXcp2wlYgz2R5mXIJfPNST7bscluhzxhS04Wz2MbCxs4cH1oCyYJ
WBB+zku1jUdmwFFnkqRQutWPeGyT/RTa8RVYl+iAdQ2FVlAxYw9rs0feCgtEt2MeqWo0uidnEN5X
EpjBQSudeaPZlABFOwC0Ddvc3qc6mYubGHHk1Yw1zp9APL6YQcaCWg0G4p3Z/gjmvtjCEI9/Cscg
MRq4CLS8XiKc8IyPPJydW0NBgw+igI9wlO0TfVy5y/pWP3djmL9GiV0/A8c0n1wyWQ5Ry9y74hEe
bOx0MW8rlQ67qm0z1uZFNrZrgpOM5osZXhGeIrMJ2f8mmbSeBIKWwbd55Wszk3FAK/QzCExwqNak
q9k38MnPe0yWMy7YmIB2ECywBSMmDmSUghdPVMOuOtRr2g57nBwoIprXbMakjz+40kZy1QIwlLDb
vJgcduCNPi5BdA4Rwk7QxtUABs00VY7ppXa9c1dN+XE2AYJtayulTZGakLD2pfFua7bHRG3uD7Xu
Bi+tiQ18k2j9AJqwGGLNR/DIbUPYa/BBzbxQ4pGLniA9D88qKTr3ENBVBFR56XxH/sKSegBXww+g
43wUyVhdd0gzxRHflOf32vQ2EUEuCPDigyEhTHsolFl9o9vtUb2WkT+4ole+rhRiIFTGHcrlKS9e
ufgRByOjZP3OwAOcLOxzdkfKrhmX1pj+ED269QLw68ivXVlDZbyNVW8uY4PU2OaRXlgrqIrdm1Yg
GiYSqbJeoM/qr3WMm1+vybiKVSdAk87exuvmZouru70ZmLD/aM2Z4Er8uQnKTrIkUHbPkCmyOSh3
U0jftuaPxScmyIzSwso1H9HpOowlLG76VWl1NY1tww+Qp3O6iClnpo2DASsSkgLxJ6u0TSsk6Mri
vAAwHme7Mp1IKgMyq8ASOeY8biXzDW2HcFtqK7E8dySy5mcePQHYAgZwZAuOffWUxt18SpEWbPnK
EGknsiOIIxvPyA554DEb91aYYrsjmBKAy1m0MLpzomtvKckVfj9uB3QWLuJUrGvw3qKIXb5rAtiG
wEypjgAeANQ5nxqGFwxfTrlXD7soZeKzYi+bFGv0s9j5vcqM7jXDMxyGfXMLDqYf9OVGR8U4d43w
Q92TP0iS4LpVExEWUNW89meDRZ7xG+pBNLAjRD2dRoPM2C56RY9gbUCvd3daWu7Mzhlvo8Hw7mFN
hM9GZwNYFJO7DuD7kCEYEYFpFbm9jlyvObdRGN20bsttKxzNesoAQXz1gIm4Z+LGhR4RTrgRF2rC
WtLSr0yMkVdyjs6YvXxGFjyQVY0HWi+JUHVF9NiPRC1AAOXFkUXspSg1RHv4wa4tjKVQypF3348d
ZmkGgvopIgOUoOgcuhwdGH0wQcwzGiiPjB89LDYUsF/4ue0NLcwNHA6d/DF80FZS8X680NkSleYe
0RiXuzl1xDqvKiJWlpRCFhiFvAXKgxbDaQGlbFIBTpvOrSpPePblK085NDElFxV1EIXQzxzT7TVO
yzE7yBjahyMShymkGQNMYtaqhwcR5eipBJHR4FZV883aQXY7S8bdl5Kwyrd5twBT+qaq9ogU9XMK
uQZ3I1Ef1TqB4WpztNqIXD2k+8NhMRgtSJaZai0lwIHtxgTOeepmtYZn0UpKPpvnYaVi9dIhoHzB
g5T5LgEezDUpVZxV5yzUWF1KK/aTWne+oK+6dxZ+5Gfi4OCU1n2cHjExVSaxT1RfftPqZFuEeTv6
xtBzP+WT593WbTVfp3rT75vCtf7sFHUhEuJYHfk6IvnV16OhGM2nEnvKISCyD+UL3BW+PA7war3s
YeIVwI/m20uRBgKCFTmsxCGZHvBwAXOiYmd0V0yJbu91Ah/OSvOi1p/CsjxHpGn/7ACsccQnBqBy
vhd2XwHxN/TcjsUhhgbVbs9NPWTDTZFbDhEC7E0IPGbKNPtWCOT8JtRHWWyScFHgVNPMB5SkXowo
i4LY3tpTJB76JoDnBWcHIm/SC9EfiWPu5dbA8nAty8w7qt7NJGWPPlIBO4D7jclKjxUa7JZqTchH
wnHEC5h6hzmjl/RHw0ITmBvReJ45dCCgc1Q8oRDoixMyHqwGejwQ956O6D42aPoaSlbczidAPdqH
1Op4BEQ0M1B1dcoofxDk0LEnkW2/7XSH5TTfidccoykIXjKCJ54bAPjxGbSjIw92N4SHrGwUU6Za
+9aNJGBQZ1wIn1pxmEaa9HUpo+SV1SxpHoxLuhe+7erKMmYM0nNudgebw3wftJk4zRbaCM8OujOB
90BF7WBp3fnV/YkfgvhLxxqvK/KVo40bhQE8aMoj4lS92n7sdME29v/Rjxn/6Myjy/R0kv1Mk07V
QB7z9+0Yi28QTLEF6BPEObuV8LOIiwcGSK+mlz8Iu+DB6iIspMh8bxGg/6l7+qetKGqcv+8GeXtH
1yUuKux6ur78/99a0TRoRZ4OWufDN6hXhKAUZz787PQfd52Xjvbvmk7exhNLx6nzPvYlje63t5na
uRfQ5eDBhiyTVI+jee1qpib3VoSbYp32VS5WwoOrQECpJvAVwvxbGewPX41xsoHbF+rsVHl3n+LC
uVo+srWD/uhaGzBUIESp1mSshwWpRonb3TKgLYPt/99Ry++Tlr/+DxKSGY4B8ZKH0W/f+TL1+TXN
uf7Iv//tXx6/s48i/Cg+fh/J/PbKX2MZ448LINNjcWmazMkZTvway7h/CKyuFgMbA/bmxQv7t7GM
9wcVAyIvBN5CSuJr/30sA3eTksfzPKIUpYlE9r82lvGWm+33y9SxbdNwBOxfvD+mJZbBzW+XaZzK
uMUaQ8C43t07TN73eTeKdUlNtvW0fPhO5EQEqON5e1UiB0Zl2m57Yvf2PCnMrUdOi+73XJdQq+n7
7sg46rYGlsNDt3gbI9LIrt0gdK5MnPkH5pXltmOW/KMRQbmdszEhswuS72cbB3p7lcD80VfNGDuv
9JzRc1cV7VVdNjR6QIGhmzVKlyd3nMnpGIaO9W9IxuoeSBxoonBoaF8sYiPQy3wFkI044uSJkrJ/
xerer+FrCNy1hhPPPONI7GgcNL81RwDcvsZqDjTFyVORuxapabUzsBzLRq9ZaRAyi3XBnuwmRdhK
BrMFM5vQAs++UoGMCyQjrv1UNHr/5kFsAqHgxt2h8pLgkU00ulyhp6i0UQNF11PakCWitBGKd0fo
yk3HE+C5KciT9NMm1k+sJotVT+yYgdRpTzs4fJV6njNSJ2SQDK22velI38YJUkAFmzLDfg70wTx3
pqk9Rqmrv2olYecrVpj9Yar74a6HoOI3Zhj+kFPGBx464/KDZyaLFX52FTGSKCUUDSXKsw6hkeZ8
zIpPcDGggCKdEolqSfBDSg91iUlDmeqJcYP6gOI7dYl0Ccol3llqJGajlYh3gvqLfaLRHKwokJu+
HY7weJDIKgG0LhyiezWigyUUujcW6AKlNprqAEzdPHyEUZ0ch8kdrrigVBKsHElT4EBX98PMRUXd
eJt+bClddJzJ3tw4e1fL4+eqLbsNe8j6ZGjUn5rm5iwWx/rGZYtGzko5MfcbzJsIs5+Pyy7cOyon
4t4qg4PQ2nqbE5L8Xs/zfIysMLgFG0HCR8KF2mAM/uyw/211c2xxMWK0xhb1WBMDOHhNiahDRbcg
EgZq3aZ6Qo0SbEMlrY/YUNMpho7CkhJsmUOVY7pN+6Lr1Rueo2lluBRHfE3PLcnpyO5UB3wEHkz8
kI/DnpSY20owr8df7FSYJGfKDgyMKzUiqgIKpfZ20VXVmtouJXsQe/Mj94F7BbHIufdS2yGAvhuT
Y8Zq5bV1dfnIPr5MN3CsTbnjD8W4DUYzJ1mgyaYHNrj1npwAoqT5+Jh0dgjqmE/FB0x0MKHz0rGe
i0Ra13ZOwKLRLHKiKcePELhD/FPvs2rbkEDRMXwI2k+USFQfSknv0S0MSmYwgnz9CLeh7tnOdBtZ
0EVpLBD7JxhzSISX4W0FaJ3umdnV/SjlVNEMM4Rlgt2/VXGCLjO2huNEPuI1RH4aMlhQxKFZWY3t
QBn3nqjdvZxrQC9BZfeP0gNhq3J32DtEE316WZw/Tp0omz0JldYn13f8M3J60yQgxqhZ600i+jCC
zGJyhkIVEUzkupgN6gKHWA6/0Exys96mZVLvhrBGvraITneVSosbxBfmY4/G9hg0tnhIc8C5jYYw
b8WH4txGMaCPjXBqw9cb1DE7pavwZh4S4w5Nh7NDF96du6jKvxIuYb7VwBTPTOq6M0ZSk4JprvfS
pAs3mMGQnpgjC8gaAI/IxQP95ATgaGlUw5Nt9MnZkCmYN3bvGFEbzTAeCYeCgQ7UU/O5f91rN+3y
O9mE+r1FRgCxjoZjRkeqYWzZWa6jcWKN8jXMJWDwHPmXC5mzXuNGWWOrOybsbLnnE3QESAF7RG9a
me7ifCDFOo1ldDTh4e8Hr7jWkwa2iqHZ2qYyiQ6MvM7Yj9LI75ykG9Y2N64PVjzeAQaJMR/NxUML
H3fVtTGTlti7gUccXkHVlV+p6cVXQxikW0OUM6P3rj+FTi6wxNr6ZzrX6VXfAxtIioBI3Nx2T3T3
fIciJKHXq1MmwnAQOYuKUzHB2WHArgbfzfNPWCmlnxlaszetwnnRonrrSPWSOFm149aPDkbq+FEt
oo2WpP0P4m2/k7ZyfaclDh0ADzjMksk5XBccPuSU2sq2DgAdb4RmkYYRONqdoRVs/+ewOIRacNTD
BllZ6Yy632Xa9DpVy1g0MMLmTgSWCbQLP5nfWGJDX/E452SF5zaNTRlVr5k+iUNWdaTDNPHnMsrK
jrTDYMAqFNMbImuZ6zGGG7ddYPX3Rm8lV2OvVQxYqu66EeLkSvtdjdWe6UG1KsC0rRgbKJTgo0HX
JM6G1c2ovgiMx2jRgJ5ZDfDNCEpUyUmYhURjgV46Wo12kO3iSOdfVWnlO8CWxyYNVEIiOyRPsmAo
wTeG7FgbMjGsGNNnH/mUIcxgB/Fm4ifzELhM8RWe535XREZNirFJlnzdZc1urgdJY2hJ6gTSnMgG
C9Mc3VsTboiWMVez0szvHD5O7POIt1PfqrqIYkYLsc4PKkaeW7U8B2LRlsRgCYIn12x7nK+ibNWN
63TDTZxGpHEWeFPdgYeYB85ozfL9qizlDb8WPLTQnpJHs9VhTwQeWMS1EQzjM4bNHx6X+9tsOxvK
nisSUdQ2bQFLcCDW97FD/1yypzcvmyZ+KYIEMd2LO0ac8xtwDvDa2EiOidl4A6pNyFD6ALXH9Jrh
ypWp/dmKNHhnl1uvCBQefemZMDpzzd02ZtU8lW5f7JFaEZ3m4kpsCIiukiB8Jsuj2uXo+H+axMG+
oueptsKd2Twsdsl4n7GA2Q+FB3G8ZzMB0oAd9som0OGWZ8CwU1naX6POmP83c2ey3LiSbdlfqR9A
GeCAo5mSINhIVC+FFBOYQiGh79zRf/1bzGdWdVN5La5VDcpqkpPIK5Jo3I+fs/faJ0FB9pKhyjxh
Gp1PHeOREL2+eWwr2bMhefKahnQjtmi0/GOquFaStuKH6KR58JNehzZixkhX5GaHlSX3cDL2a188
L26xImHIQk9CoGttFQp94fZC7/bxzaFkrchvmdSn7UzUcw2PImoBdCgcg1mIQ+CUVYhKJUTtcm/Y
nX3iVOscsZrLQ1bFzbtkPSPVhpJC6oohvF+bUdtnDTsM6RI5Sp57dzWs6yQG34XaLT7X9CqJp4mh
W5U1OCRoxQz3xE0yDldCLF+WBZ+IOUJsEtZKtQ/4TAObkAtZvZRaN0HROFGdTN0VoWbp3liJ5NAT
u0qgrPGpj1X/vDgIDuZsHqPJmm/MhGE5maq4aFMc08S5kcMykZlYxHBlFqcNIsgwc7q17fmN/2i8
hlK4/gJUjmY/N/PISZOaIDQ4VVxvbM6OOxBg1raZF4HTc3YyMY1DnTnpyYs9775F8b6JGXASSBEX
t4L03ouhLr43EaRfV4jJoKUYhQDYWsg73lC6lbTf1DXnkOq+ToT8JEkjwYAQ17f2LKwbOZBjM6hS
foIaDM7uAHaRCRbJhuBVrqTpAnbJuzp7M6yqP7NslseOPmaoO+8DmWpw8GqQnYmTDze9Y/lviIEB
wZL3TPOZjZ66yM7bMwZDRLgKBsixqRKt0Yu2C6sHQtNknesInPxwCBTWX0N6ywPIaE2ujBpOaMjj
sDaC+mTPxfKCy76+nav0tUF2cWfGbYEEze8Ottdm4VLYeyCGBd2rvIu87OIMY5YWLqkFVsPL2ela
kv1a6ia4yCzOQ+Bm+CQL+cPkKMNl9qvbbmDBo35sXqEnyJ9BXRYnaNk8wEo7SMQR2GzWZMDXTpBp
ep8IBkDV4KKvatf5I17KYutm7HsxDL0QHtYI8pN9fPZAEjQeEXT9mPzwL8ky8Mwvk2Lyr1VyXJNi
z5i1PVoQU5iKjXfsqDPdXUre0JSDRjBjhKYJGZ1jFhFh7fSRZdOAnLytTrm6eO5ofB9taVknb0b0
JTTcu7lCZjyl/jYwMbdgwsWuVv6eRjP4nfitfcwb/hQlLOmvU6k+FrwbV/g+mRA5WVlEYkKTFlcT
rleyWCNsAlw+Z3JuDekzf0sLdYeSrt6SNNn+MnlgyEKwRoQuQBLIz4V7aGnKCSJtDz2C83MVmJgA
kmx5jONMUy/k5XthBSs/hdF+Va/pB4cxcRzRfIaIhxwY/X33DOZ5eijGFQlmV9vWW+01xk9yJAjJ
y8z2wOTpX46QssVvPVccenrfulO4hshX1KH2sSuhmQ2KyG8X+u4BUQIkidGF3baa+yWRZr9iSJp4
shB8NQxemFsNTHsRBnZsKY0UjGTcZoud4iug4B/74HquA/5+2wMTrNcwQIBKeWqeCleZu8qrsNnO
B3zgTz5d6C34pewOZwoTlLJeDtr3kmhxVIfYqemPjO+J8jMb4hZHpGuBF7svBr2p62Zp4g986Wyf
y1DTgFYy2HN7YAJUo3e217K9dsHYvnl+PFAbSXlsTEpaJOEGu+CCvdGiA2wegvXCn68tg/FKXbPE
d1kV7AU41006NWiml7nxo1jl/ocJ+d+hySsX8ttj72fgGq63MQgsfWkpkXYt8VY3PXbj124mgXJJ
Y2ySwp7f3Tqt2DuKmunCsGBVcur1PkGTfyrkOt8bWjMBkOhNtzjjxI54jfW40ql4CHBbvEOPyPau
mtrXlv2NJV4T9LE41c4tJuYbqOwQ/vatC+iGGBARd819D/IHC3ozqk8T6M+TUbuTt9Gjo8+uxOGC
pYF4aTwq/huyi27vafGVFTUw5zRFZ4i0yr7zCf0ChmFnUEyRaihTD2nYwq04z94qTioWIjKWpXod
ZEHlunqYpHjdYWCVzc0lD+GmVOrivgezFDZpPVWk5wh9V3h9e0txDV0XXfdCqDChHpuOTfSBqF5I
uqTwlsfWrfw9Zjn1mLfUsHDzi+pQicAJca361yKxGBaUtX52TYMxyUXQTPjjRbSKTCJWMQLGYB3z
41S7YiP1tJ6ILrkkeq/TKyrl8SmgCr0fINpH7ZrbL5WYs1MwEiJGDil7UTytN6RutsjxWjO5JmbE
OtcaojXmXBf8aimPZjsiv4BND7W/yV35PpI81GKbss33ysXrTfNgnX84BSIYAFWBpvHQO2a3IwN1
uDJWbe1s8umgc9FOjxbGmWf28fYtneP2ZQRGfuHcczDwe71ZQPrfYt7zyf4rvJOvJJOuYWTUZIjq
hgkqJVbe66JDeJCNr5YH/kSaeXpLQoPYK22tzMemwn1bLWAyEoPghpS7EtKbpOqEwQYndXC6nQej
AlGjm3Br/fd2ogOS5sZ+pWkVmQtncH4HEy8mFaOwt27ss7rSbi6IX7n0HshqqA5Wj6xCGZgY7dIE
GVBogkJq9Me/DGjg2AhyyiWy/XAgwUGsID1ZbWzizq+3/GrKWwLmHzNwuefMkXxZQSaHnB2sYv9v
+7//P0rtkEX8UWr341P3/2PzSWe3/Gtj1/7v/+6/m7qB+T+pXXymBx59079q7Xzas4IqHJ2d9S+1
3f9GH4pLv9f00L95aNEu8qv/1dQVFuxD06ILa3qQEz3n/4h9eElK+reWLo3cAFSjLQWkRSad/97S
9S7YvxKAOdz3oYg60teJ4IDxRIfRh+GwHP/S9b777z/8V2mfRVf8++c5GKCRCXJFaFl/MyVjGYiR
DwaEm6DvBetd5J+O7XT3o1W3OyBoU1jFK63Lgf+X3mDh8gMCSOTwsqq4xJQj7OdixLkX/sP3+i77
c1FBCprnDmFTiCI9tI1/bW1TWDPoXVgkJ1H+7Gu+hzXBUOQgdAAIcwowesBYsrGrZuUcpstZ0l0+
/flLXIZJ3+6FQ4apwGDiWowUvn2Hwu/c+BJ3sW+zGcRPoeMTJLfm6c+f8jd3HFA4JzLPDlBaBpd/
/0sT3+Mi5+ma+7CK5EEWhJ04XnaYMhxl3QSl98+f9je/Sdomv8ZBIOrwIP37pymhLJOIp2Af1ACY
SOstN7AFxT98yn8MJvDT80Yw6XBNnmHx7akSMfTnScbeXqY0KLpioa4qh4exyj7+/HP+5uIFluNa
mP49CSbz2wdJg2Sbfz2+MYTITWXkX1PGSbzAdQhN8eb/4sPcf7EFHGlK89uHzYPT0HtyvH1jw3cq
GY9u0lEAS19dToa5e/jzx4nLvfj2/JEX5du2w4qA/vXbvcos31mVlwAAMhjvKwKjrycvNh9KRCCc
ptICgnPnRmk/iQOB8Rd8VRX/ckuoKVM9dw954au9XVdjiAAPw5Upu3br2n4ZSrmud9g6gUP7aR3g
mcnrDIdI5fcbMAJIPxpm5FsQ6VY4AGMH4pK796qq1D/Mc62/ec8xb7oiIBGC/f3780jwhpjANnn7
pE7FMScf7LiMEkn7KJ8N8ML0RMgBU8mXZ6ftzhGFeKI/5v/Dpf675zVg5XYCi6m+/Z03q3IkNLTC
gn1ZDs5xdrKb2oRAT9K9u/3zTf3PT0Kwzf4hfNuXXOtv9zRtL6K9PIBkAPtxOw+04hi1/WRQI3Z/
/iTau//5dlz02sjHwVrgzvvXv/9laekqyzY8obEBB6PYFSMZIZSj8x2dmPnBNXgQRNc/JfRmdzkO
kyLsfROTF1JYBhUNE4xAt8g8PQ5cGz1I95GWnHyXY+cfJpq/5ZYwieUx0L1z3fdjc1WktIFrhROa
bjQUsKhEHLvFsE1vrPKGIycM/9CmjhsFql72RqcJ/VKd2NlSUXd1g1laOEwbQOxTL/CKVhaAClSP
t7W0ZghSqXYBts0iHD0/u43NKn/H9lYdnTGYdmYZrAdYetD+xs47Fl3vvWb26twi6MqgwOH2Nohq
ocml3JPPwf9s5QuVWm/vyritLmxBheTZot7G6/zkCNVCp6jbdz8x/Q1zLXwo6dKR+t5cGvH1uFwg
dFhOzD5/NMy2u/XNCknqjLqRFsZMzuE82R0xGWN8VmMa40sHvD1Wnf9BK39ucM7bb4WR/yDmJsBf
grD0Ku/B4sCdufGqNCQJgn62UR3qEQo9K0AiHmj3wIK0U9e/Mh1b364IfjYJ5t+97lSx5+e0W39E
cYP2NAtRLA4lQrqMjgKr1HIdDLRIkZ0M1cBUNgZTPCB52ZfdNH5SMnFNJru+ToEpAiccrJuuj5Gd
S1sMx65x9A9L1+OLdAgTx3HZaneDli14oWxb0LhzMH4mzdU5DoOJI7zrjK1ypXPdjW61azoTgUpG
9yHeditbP0NfhFebHMQmwYGjnx1EEihClbnfQo9cvtHQqGY5B2Ib5LizMUcro0cs5VvaCkIJcA28
2WkHjNc3i/SW0Fcobz4B0AxOBhPFFosH0HXlLMpFHjUFL5OWffli2yhkR9PMPzrJaYCodskTHyBv
fyzBwWqyiaYWgr2KTxW459JyvK81sRck7gOuiNDErpbvfeIGViRNw3Itigo8vdu7TZiV08IrhDou
jWeYsisFDgMeUf1ybTkGuD+xRgWXDoBCtMgZsRgOI23JMx3NJNvkThLsm8a4hP4RrxD6dXxTDHNy
kDYuSBJ6Lb5vOinOt6nfgzkllyMNNsj+12sxqWgYre5EqNvFZFRXj3Y99dsiW6K59dInYQbzjo5L
H2m+22EymiQKOnAfvjQr7u+MP9OdeT5KkkuIISwHNyIgyHoZbd+7spfusyG+bJcNimkPBsKfQRy4
FgWq3R0NS6mNa+QCAwHAp421ymlvILQMuxLTH+EdxdnHvwTqc0kxTipoFQ7sVFtn1TsENEJza2ti
QKbi34W9yhi/1cT4O8eEUXKLH2PPNknVMsrdtOD1MGZ2YUpRwqZk1d+LQC+HYDIqToODvyMDxopQ
STL0RG8/jxSI82o5V5C38t18oVOoIafJ1J4QgPtXuvE7NKaYPT+1TnwmwvFzsoxk1CsruTXoJFwp
1QfvGbGQ8B5lvyuTxJYb1GsDVbmCTWHK5pBWPY4xCd1X+gbsMFpiodtSHDN4TK+SdnwlFE2f/MYs
tux62GWHYQB8sNbnvpR4F2ixrWFD15cxq4IR4xllviWMrKGfR+FNP/6Gfka6G3NvfWRSqs8YirNf
c8aKaxoCfgXx2fuuK+Y7PTYT/TgGx20CzIyo0uDZ7Zx1N6vFCOvFW89JkL8OpMXsG13NF3MjZlz3
Li6rBxMszZFIR/c4DTYucgJBknUc9+VAQHxju9Mn2vUeW0ZbQATzB8N6JTfOPjulPk8x1j3ioaEu
TuayFc5iXePvJJ+GWKYyUqVXhLJspqhxAnqpHKehBcJ2X5UasVszR4uUw/S67FcBo8P4mgFGV5Mn
nyiS1v0ARJGZAq+ya5EQZrlyNxHqdSY2DMa5urbzGn+GZbTblRUcMGf9bjUN4YX8clvBj0kS0iYc
5CfMXUKiwJ3dLCb8vsOEI38a4ofahB2J7GW5YlR+dpqxDoMLmACexYwRfeh+xgFscQ/cxNZd1juY
ZH6U04mZNu48ua9ka6HmLJMlot0AD8E3kxh0QW0wDGmWun2mLpvvRZ3ZB7xB8V5lkKJpBcU3WUXz
zOqM4JEQbvnGYGlUYTGXiqvhVrA39drldEZI2PRCr2tiEw2/KsadC9I5gCK1enclYDSSyli8foyp
0r/AStB96JAsEima4yoANVuRAqrXr0VkmB0ymoIYfd9hShDNuoBU6X1iOXIH2YMlg45RXfnA2h+a
LD4wGs1uv+ZYZYQdFG9oprqTSGiq4VxYN+CkMZKUSQoPHM2M5fq8xpO6wmQwEx3rvIz0JEMYmfRO
pnZrs8nfuYSPRZqwyGJb0H1CZupOPLmFRg3pOd2jcM1HLwPe17Q5MY89UR50ggAFL9o5VN0wHAds
EqzyQ42NBDnffgRWuIfiyUiexiegQ/zyE5Cd66WvxN3QQgOszbSGmujoXedIZt9LjiWM1WKGxPXF
hoR+t8ZNurrm+Eyj0KrBfcjpU5VgPQEg1lWIaQnVMwAKakYJiZZgW6wmDWT9TH81QkDPhpH6aFtB
FylzucsUQLlllcg/A3se4AgZ4wtgx+RLroXapdyb285fzCOWrTgy6kA9rNhIGb+R2RZ0ww2w+CQq
MwYirp9nyH3zoThAJpovLNVlO+DN3/WVeQ/fyd+STSsilIrAn2NJMCjkn/qUS54EfxZmZNlDv5lF
vkbNnBVXsD+Qw/fVkE3buWCoj0G7+UBVUF4R4Fj0Ud1zRQI3L/dxHVjIghrmjql7VTjD66Lm5jw3
881cNvo308sBIb/dhhe4I5Y2UpJt3EpBrPW7rV25r8xuPFZy2ReN8ULkHCHMAwb3XVfH9akBwrNL
W2Y3yeBWz3j8+pvAQ1BusgkeiNs51cjxn502RepBDmrYBaP63dXTys5NUQDpryEtfkhItxGszZdY
ohsAVMm9NTKu0GbrMp0UkDHQNzQhjYzxbk7Vj/biZWiM4ToVY8kcfdoxPB9Dpp0tBp45xATuMz9s
1j0d+3FbgnrWa+udxWpVfGaW3VPYk1OU5HG4rDG629r2AXjM9Ysmmi9qvXo3FvgS3eyAH6g/0ihn
fojv5ICtH7qaxUAN/JNzAH6y7kujhkHlRbqRXrS4NKwZ5hn+KWjmPBQ2MGO7RN5vVCFwNTBKk8T3
S5QQpXyx8xPcNm6aAwEYAyIp+fyNquRH38n41atge7YM9c2JnJk1Xw992z0vvUYSMC6n3hhe/FyM
dyk8Ti7tW9CDnbNT4wOcxouwizMy+UcG9rjUK+u2nL3PpPhUkz9CqcWphX/rCRU8kXNde2qld51J
62wIJPTgfvR1qYxrxRN07QB42seT7X80s5dHiagwEyWEXLfjHn5N9WO1f9OKKyNfdNbWmvKKXMG2
xE2zwLypdPY0NMhLel3DhfZfXCimbte9F238c27kdYpB2hGyv9JYBLZDqeChVulzKoKDrKqnyc9B
eHXHtkcmJHV9Y7sF312MRGG347QbsI9vUFqRbGEMeehI+heIR8i6m7pocsuHnLfqWObpL9oORxeE
luF3cmMQ2Nd3I6DxPI0PriXGW3SH8nZpPf2JUjCgaUYeV2xUpyCTF7sENPZqin+BVuFgznH/qb+E
w14O+byyCH4+0tVqo0ojQIsrGSlyHE9LUZpbQZTppZRyu51jM9lKS38I9VznoW8hesRXeRaOgvdf
z9QqLfzMC114byQcEfSUFZzqDWoYfnAuclJBgQITq+bU4dpwvzm3NpvJ8B59N7l17CnbukL9hJEW
6Z46v3apPqtCAFyOWfPbhILeDh7S1T7befyjX+obAj6cTT1z35HBmJvcK9UxTdeWTb9+NnvMrgqs
hpjz9jUHcBBCDCA1ufnlGc4PtzT77YpsdLu0mpummD8Je2CoPVYvM83QzSJleVBTYh2gokEYRIHC
iBNuSzYOCIcceKADDZGTV5ukinpwQLoKyUHiqZ81Y4W947r8UnzF2OHGW3RjCwYDu9mt8Fy+PGxu
t1kDOULBC4gW02wiI5jhpePSrDmzRDnnn9NUxxRHjAalUHdQKZiatH73mjJCQgcTD3taLI8AA5so
brutHBPStKr+VnfGsJtZO3aQn9xzQ2w3Rf/MuTmzVHezCrxbKpuLyHQ5HPsXE2GREw3FGD8SGRNG
IEKYjyd3fhKMvTZejf51UpMZYWpsPmZ+1MlTXhm6M7dUWEN7EKkx7NlvzRsgf3CfmqI+Vd2BcPUc
12sjzias712ih/xcMIN50Vbjvviz/IxnC2W7qEciymzzRzmW/QGeovHYtqP6hQYlueuV754Zp6EO
RMG6R74z7ucK2cNUBhqJga52Dm0c3Akp4tOO7HDYxx2/UVvaewZpvjXgExLoi2QAERM9PtQ7Gvr1
kLbDUVdk6IK1f1s6SsWEjtcHFPUa7LeFaktRCvUckYFlSptedU6tlJvDwe1qiTXQdU+t6pc30L4h
ByZ3V/L6Rqa2BqKtc3s35XIKVZXMd5kpc6rFoj15XjqGtXbvUxpR25HsMJCvqKcBUFrRTC+lALE3
4ATW2dmZlTpC4dsBhpqjgBeds1SlroCBj7sceCMnAZvA84mMxbwuycIoLLLG1jg9tuuo9sMs3H1V
9lgXoUDvBpRM+1UKMhOKyT/BCSEOemi60M6o5jmAPU5a2CC6cmvrzj1xFTZegwJOt7eW525OcaNk
62+O4+ohwI2QEtJjDNvMGICUF2q8Mkz9LIT8wcfqE9ioY+rCBsZ1BnMUdM9W4cZ9FjOqPW6USm+E
adAbqhXSxWow6QVVBhBLoqW3iU+KDUzLNpJpEzNLy4XzY0iY3PMItoR9s03HxUVgAHIIZCEaw+2S
u/U9vYr6uTWmYIsmrX3Pi9R+yFAn34mus3fpcvGNumum7goR/MJQETzQjwPIizJ5gxMSCFi85tse
vCoNpsG7LnStrjH6Fjs3mIsjGhxaol3s7jqjqfaGkdbM+f0a0a6VnQD0ASuQqvHIMG4mRIbrzwlQ
/yHB6/+aNmrelHmu6HC4v7y5ySkOggXssJXsdAUbtLRj0GAY8ghK5qSFnCs/8vjdYx4ASEewXHeY
QZlcJ2Od79amyQC1Yk0h+oGO6hX4PMS2xMSO9wu6rN8jVCpxMtZi2Y+TZ/tb2129V6ueTVRwkzfL
nRrS7KvhIfO2drvk7XWa9AtKwoBZcGkaKt5BlO4duEoKmZgrh52xTJz01n59MgXy1HYs2R2XwiHp
Qj7m7sCaGSgYLzFTyNy3LqhiwK5mTehroVv5HBc1WeGox8DonErPkfgd2Tt4V8v1XKsq2OUemN2N
Q3IG4Le6gw3glc0LH6SegZU3r+RLMSVtqhvSMooor1vvWqaBFeEuQH6F0bOGq9raJ3R1ggQur4E7
13TxAR7Y+Dx1y/pYxGP3lJH8AZQ5MHeTgbvPrA0kCUZOl12XbXmAWYWmofeyAb1OvOK7WyzWxMpk
/0U7jrZ6RSUBae6SEOA1nbNxUiMnGGCIo85L6KUvXRGHBYKFYeMNA95wt9NlhDanfXeLQMjLPSme
PNafm6HyoYzU0qg2MYfJ/cCl9q/Zv8k8zYR6iCVAX6t4cP2g2gdjir6M/iVKTjNBAU/WbmLJkE4O
yPZ4hLwzkhQVdAhkEAJpWHS7hDlCZMhJbVTRolVgenwRSgPGIe7XMHRozMVF7If+9SzRN0F81C9e
B1Q6TAsb+2nVuu8uR6lDMPpiq+Ao7iYERczK+uGBI2XM+18B6CIrBpxNy7fCqUpMJdWNHOadAQLh
Ijj8vWqB5nUeV7LRpxeykA8dkRl7OrXWBnQlSTVY4XYkx5kI3eGclxkujJo8VdiXRXey/ezBBW+7
a8bxFDvmDOcNg1WI5w79N6jAs6dz8Wtu4CKGVV6RjGibICoh7sD9hLXRXzmeGvaeBzSQxcv0f7s5
eIthEe0P2h/tfe3r/iGZ/P4Vhkp+y5XnXEzrLrJG5d1SyxFfDqsTJ0CDdGoUn8SUKxQw1nwrySuK
N2ZQxr/owVLh0y9vr2o7QVXnsOYRt6A9z4uQgRt4/pKOJNEC5Hn/hb3UmncmIcGQ0KeZsWMl65Q1
026DZ/bSASENwDB/IxeCFThwxGo9wtdvG4puk5Gq3yMSgRJ57mWRPxfuGO+s1O+udeJOYUzaNl2k
zPi54AMgJYf4pbThrw+TfpCkPeyr1jJvaYt4/GmNeiTRdPSk58000allA2TunShvERLuqhRzNpOe
eVsr7LqtM97GZRmCqSDIxc53nIAA96n2a1jVc93PwTPSJ3JEdbKg2Eog4Yaetb6CiP+xatTMDkSs
iJij0LiAXfy2B3C/kBGaNPSEGOgckzIzXvRkZKig6F3Sdof9nkJsJz8mrKr0EjjEqauDb3fwzYDD
LBoSGi+pso9UsCi7M4VpNTJ7dsVNo32kahIYArlKfp9v4LZgqvCNFPYpUxXjhryrpYlMo6KPQ0cj
fbQ9W15R9DVH3MEEnmdp++iOWBqQorgWurdKM6Wm4UES8YoJ6U7bZJ6ygNnuk5m03UEVCYdIxWml
Ce3YUScDGxj+B3OZo8IHI9cltDXNyXNf+V1rhBBaXwYV+Nrtdezty4mlvIvNBAwM+n77NzFrFL3g
aslWCGoLM5bftc/YsFgsC2TxAEzt2P5y3IKk3cn3jX3ODIHtjX7JDzkX3mu/pN41E6nmXCIReGDw
6R1dAfPBlAnMYFcaaU5V7aCp6ksdvEEdbShkjKo+muxwJs+2mdFOc2naYUfm3crHBr6HAUrs06kd
+xmlp4ntKG+/Cq9GwtQHurqtOxMTgepyJOMdAdO/O0OaOIuXmVQ4DC0ZPokkLFJDs+807k8sWN6t
bPPyV+mt8QWMmtwOc+O8oukeOR0PSfWey2A9tZjix009BbQhSoMD03Ym83sbtI18DBqkr9umcqx3
3SbiMOEIIFPPT927wozpRvidTu6gUNDbTQlFRHL2Yuqg/2pq0bwwRIp/EOTTvBm8+ztDc+VzLmdx
dKkkD0udrT/ipUlfkb9eZF8X1KdQhvtOF9j5WYJU3QJDR0JgEw7gaEp4lFMe6UOOdWoNx2FLaXIk
fcv8hbWFrAD6NtsaZjwIFZ8MvwVN4oshq/Roz+ZyVtMEjs0Sxdb0NPrhxc/QdQ85YiKjhwbTqPh9
pcnCC9CU3ZtPjtVppdamqF4RyxcUgJgmKg0BfZRPbF7151gPzZ2LN23PsMGwN4Bdkh1lXg77wPiZ
0e5pNszhUTuxzIfg/cCAw2u4QceBs4Vlv0OD1VZ3jMtATsyQ1QnFgQCwqUXVPoKURY9WLCVJVNAy
gNHCvjwj4SyPzrT4xzkmLTJzmvY3mncGg43VA8HDewLYkWxLQCvBZJphX1TNmQXDJ4Q9484JfCfN
nmMyVsRRdJyim4rIjV2NsJQ62/XEh4Vu9Z6G9XRnmnH3KEev+ZTdUJ6B5BWnFXDmV+BI/xzjjrpO
HI+gQGGN9pcc+uazEAWcPWNshrca6clrrpT2sG54ysXP3WFCXybHIYCuBkDMoxqEKQPSJy07NOJ+
I4GHOrE2HwzVOy+JV1W/60S9EPWOTVBTkYwLkrmNVyYEYtqyK+7WYVre4a+mgH3onQ7UUyjZPVrv
60H3tPVkMGqSsKeZizy0IwWG4barecrTzqnCFN0i84Y5zm6WuZdNKJm6skYktR/ZYM6u0pz9CyIC
MYrT2vHoVAAry63w2WwQ8zKIBoxrnsfOQWTOIyFuzMGjYef1+A2k6yXvA3ncRZgo/eoQVZmHgEbS
41ip5iHlRvmR42vnmfwdsKdm1Xm/KY2ccYP/YfnIE6SL27JsvfzQeiAPt0yMwTbyNOd6j8v70hlU
ena3XlC7P4cmABvSUvJfJbE9oWq+7GyBO+0T+IJ6Y9RWcEq85ZdSmASYHE/zhqM17wk1Er+AYYJF
KhDKU5z8dNaY43hvSUmopkqmmJZlDw7DXZCKWNY1+CzM1sp3CGe0HdfB5U4HG/SiVAw8bP7hyYLx
MEAXcKx61yYXK9xgecAcofLSOtNW/hFrpzx6TibFtkx6OESeaWZA0OPuQy0eBrXZwbY6MrpZrorC
gC879e4rtAK2D+C9AdyguCoOqizs33kJJ2NRTs0Bd12s/TJW9d4uRndb5v0SuaTAM8zz6+OUwH3Z
eQzT7uCfk5qonIHdRMf6Y81bgnZaYagfuZdesH1UE9iCvuzRCq4k4UOnHLXV3bTaSHn52fpELo46
L8tghMxqOeMvEJoQhqJpHK09Z5smBXWs26/OH2EpBmWe3aW+vCUvHjNn0iVPaVURwimwgRxy0Ahj
xNw+jWrtvEuCoh4MrHQfBrF5gE4vSaFW83uQdv5se2lpHtapCWj+Ot1rwG5+bSSNdVO2jfGQwOj5
ByHGRf7w75KXwHRQQbFxC7iV3/ECaWF6uBY6/3KmZ3jKifkO+HJ6W/YtOX3MZs3b0TLyZ3Mc2Ur/
LJhw/k4ugQSFKajwBMKbb/qeVRhYioPZ3y9u0t8GbqsOoyKMgy2RNuoE8CjmTMZg3MzH39PKlqKG
oYrasbAA3eqPotVy62N+2ZYtEeJlzYCpnl3COijjmTcL6w6LiU1bpnIxe7GjrriYneY0Ofl6xi93
owVenknSG7RRapXbAao66woVMHs9foNmKMS+mgsDRqjlh27MWjaowaFCkU/zwOFATot1R2DYR14D
3ja8kXB4gwU/b9DObziMeft49u1/uHTiP2WEmNphtNjY5OkOet9EbBWPEpfPoVpHQ8m5wbxznHlp
wBuQNmQhWZpAki52wNzdWi6mWj0sUVCC6ONh6hAwQXNNAm9bpSNYpaFyd3lAmLHZ6HTbzAa+6oHz
bllQANs5MOcc/M+f7/5FSPr90QMqIfHm87/ocy7Kub+IZTL2knYMVLA3VZtzxAnGtdxi10mvVqN/
gILihiOb8/YSdX6yTHP4ZOI1HJV5UevRcJMW/h2hJ5O2B7qNP3+7/5TtXXgCZMcIgd9ZfhcJJvTw
XItwgotmnDUUZDjEb3IK/uFjrO+oR1AA3EgUj7wCLO3Wt/vYMjB2dNwGe8afREmMwgP2N6khnOfS
/SU4wLNGFjjsrbgO42F0H0ip03NIY7y4QrMT3JaLXyCb4WVpZV3dkt4IJbeIV2PnZOZT2xf65c+X
xvp+bf6LuXPZbRsGougfEXyIkrjpJlkVBZpFUKCrwrCLRIlroYkS1P36Hj7qiLIVOBECkPDGsEGL
4+GdETX3DngtlbVeBbOCw24mZZq/6SbAgQS+9/yoAYW/emchu3I4ePfjHnYktyHf3P3XXnb9d7Tb
1QXPf+TF7fP29vO+2teXFDPsN/bO/fkSrispjl5F1IoymuuelCYpkmayGUj18woqpYfvBOHNl3ez
UqfZRB+gvzGSTj0SRD2og3rhjCALet2/70v/ZUZPT5QprK77p93g9Vpvuj5r8qR81XKmrxouKai7
vjbDdjV0w9MGuQ+tBQXVLVW83r8ZxJ1tv7tJHzdOGOo6qYA2+BIDkVF+b2ShORu8vrxj6dnjebIF
rDa/ut1l9zg8dOthXMGOxAhb9RwbTKZ4sQHiI42FLt5SDxvH1AaOWiwPgPHTaPOSbECRvW58hfoi
O+hWUExLVTDVwmFQkjr2hYaGYLaCQa2iHYDAwnwBHSswcJERlBQVmjEcaTHTePW1qGRLIY1KxgFM
y1p946QhRVu6fut3PCUqoUjd/9G5GSohLSyMGu5BGCQLZZkB2R8VUSpqZx3w9RgV5xGhEgT5SkM/
OLkTauF1jEiGEmoWhwjeF7SP94v2AsGhpsBeUf990gzwe3zfPlAh+kJ5gGCgPiw1ghOKPlucquQb
oRZwGeiMCGEqjPIW78iKly7eCGtaRXhMq5yEBPpKtjSINBRrhVHcRoBfr5d6gKJJJlwnL1B2chuA
BpKHmnAk4igOEhPLbxkWGIGkDlwb2H5h5J7QNsI1ijsxA/vHjxiHC0qSCFryzGx5Ni4YKTz5znkq
Y5YcWEF+yMMROFVhkEWXFRU5t6mWrl7XwrYV2nwqhYOJEfAQtoCsXQKD8vbBiYYUMzdMsy6glJCK
Amq0anMXaMkPG0hFtrxbpBndxzcvvRFEAVpOqMnSneBYhP/eJgQszvv9EXi8qPfnhHg/wqeWbCcC
nJwAoBTsDH8v/fac8AyUTB1d1tufq4dP/wAAAP//</cx:binary>
              </cx:geoCache>
            </cx:geography>
          </cx:layoutPr>
          <cx:valueColors>
            <cx:minColor>
              <a:srgbClr val="DCEFF3"/>
            </cx:minColor>
            <cx:maxColor>
              <a:srgbClr val="003B5C"/>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3.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61311</xdr:colOff>
      <xdr:row>0</xdr:row>
      <xdr:rowOff>26276</xdr:rowOff>
    </xdr:from>
    <xdr:to>
      <xdr:col>25</xdr:col>
      <xdr:colOff>604345</xdr:colOff>
      <xdr:row>36</xdr:row>
      <xdr:rowOff>157655</xdr:rowOff>
    </xdr:to>
    <xdr:sp macro="" textlink="">
      <xdr:nvSpPr>
        <xdr:cNvPr id="3" name="Rectangle: Rounded Corners 2">
          <a:extLst>
            <a:ext uri="{FF2B5EF4-FFF2-40B4-BE49-F238E27FC236}">
              <a16:creationId xmlns:a16="http://schemas.microsoft.com/office/drawing/2014/main" id="{5C406035-0CA5-85FA-BBDD-B3754C5B5A47}"/>
            </a:ext>
          </a:extLst>
        </xdr:cNvPr>
        <xdr:cNvSpPr/>
      </xdr:nvSpPr>
      <xdr:spPr>
        <a:xfrm>
          <a:off x="61311" y="26276"/>
          <a:ext cx="15870620" cy="6752896"/>
        </a:xfrm>
        <a:prstGeom prst="roundRect">
          <a:avLst>
            <a:gd name="adj" fmla="val 102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102593</xdr:colOff>
      <xdr:row>0</xdr:row>
      <xdr:rowOff>79375</xdr:rowOff>
    </xdr:from>
    <xdr:to>
      <xdr:col>25</xdr:col>
      <xdr:colOff>564077</xdr:colOff>
      <xdr:row>5</xdr:row>
      <xdr:rowOff>19793</xdr:rowOff>
    </xdr:to>
    <xdr:sp macro="" textlink="">
      <xdr:nvSpPr>
        <xdr:cNvPr id="4" name="Rectangle: Rounded Corners 3">
          <a:extLst>
            <a:ext uri="{FF2B5EF4-FFF2-40B4-BE49-F238E27FC236}">
              <a16:creationId xmlns:a16="http://schemas.microsoft.com/office/drawing/2014/main" id="{E6F753DF-7C76-EDA9-434F-A0669E3ACA90}"/>
            </a:ext>
          </a:extLst>
        </xdr:cNvPr>
        <xdr:cNvSpPr/>
      </xdr:nvSpPr>
      <xdr:spPr>
        <a:xfrm>
          <a:off x="102593" y="79375"/>
          <a:ext cx="15597100" cy="879870"/>
        </a:xfrm>
        <a:prstGeom prst="roundRect">
          <a:avLst/>
        </a:prstGeom>
        <a:solidFill>
          <a:srgbClr val="003B5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Aptos" panose="020B0004020202020204" pitchFamily="34" charset="0"/>
            </a:rPr>
            <a:t>          CROMA SALES &amp; PROFIT DASHBOARD</a:t>
          </a:r>
        </a:p>
      </xdr:txBody>
    </xdr:sp>
    <xdr:clientData/>
  </xdr:twoCellAnchor>
  <xdr:oneCellAnchor>
    <xdr:from>
      <xdr:col>13</xdr:col>
      <xdr:colOff>10733</xdr:colOff>
      <xdr:row>3</xdr:row>
      <xdr:rowOff>139521</xdr:rowOff>
    </xdr:from>
    <xdr:ext cx="184731" cy="264560"/>
    <xdr:sp macro="" textlink="">
      <xdr:nvSpPr>
        <xdr:cNvPr id="6" name="TextBox 5">
          <a:extLst>
            <a:ext uri="{FF2B5EF4-FFF2-40B4-BE49-F238E27FC236}">
              <a16:creationId xmlns:a16="http://schemas.microsoft.com/office/drawing/2014/main" id="{2AC09BC2-3D8E-BD03-B2A0-5133D9F3CA31}"/>
            </a:ext>
          </a:extLst>
        </xdr:cNvPr>
        <xdr:cNvSpPr txBox="1"/>
      </xdr:nvSpPr>
      <xdr:spPr>
        <a:xfrm>
          <a:off x="7963437" y="68687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309928</xdr:colOff>
      <xdr:row>2</xdr:row>
      <xdr:rowOff>110186</xdr:rowOff>
    </xdr:from>
    <xdr:ext cx="4253606" cy="262348"/>
    <xdr:sp macro="" textlink="">
      <xdr:nvSpPr>
        <xdr:cNvPr id="7" name="TextBox 6">
          <a:extLst>
            <a:ext uri="{FF2B5EF4-FFF2-40B4-BE49-F238E27FC236}">
              <a16:creationId xmlns:a16="http://schemas.microsoft.com/office/drawing/2014/main" id="{39ABF394-A537-4CBE-813B-11F9E1B18D0D}"/>
            </a:ext>
          </a:extLst>
        </xdr:cNvPr>
        <xdr:cNvSpPr txBox="1"/>
      </xdr:nvSpPr>
      <xdr:spPr>
        <a:xfrm>
          <a:off x="5796328" y="482719"/>
          <a:ext cx="4253606" cy="262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b="1">
              <a:solidFill>
                <a:schemeClr val="bg1"/>
              </a:solidFill>
              <a:latin typeface="Aptos" panose="020B0004020202020204" pitchFamily="34" charset="0"/>
              <a:ea typeface="+mn-ea"/>
              <a:cs typeface="+mn-cs"/>
            </a:rPr>
            <a:t>                               Sales Performance | Profitability | Customer Insights</a:t>
          </a:r>
          <a:r>
            <a:rPr lang="en-IN" sz="1100" b="1" baseline="0">
              <a:solidFill>
                <a:schemeClr val="bg1"/>
              </a:solidFill>
              <a:latin typeface="Aptos" panose="020B0004020202020204" pitchFamily="34" charset="0"/>
              <a:ea typeface="+mn-ea"/>
              <a:cs typeface="+mn-cs"/>
            </a:rPr>
            <a:t> </a:t>
          </a:r>
          <a:endParaRPr lang="en-IN" sz="1100">
            <a:solidFill>
              <a:schemeClr val="bg1"/>
            </a:solidFill>
            <a:latin typeface="Aptos" panose="020B0004020202020204" pitchFamily="34" charset="0"/>
          </a:endParaRPr>
        </a:p>
        <a:p>
          <a:pPr algn="ctr"/>
          <a:endParaRPr lang="en-IN" sz="1100"/>
        </a:p>
      </xdr:txBody>
    </xdr:sp>
    <xdr:clientData/>
  </xdr:oneCellAnchor>
  <xdr:oneCellAnchor>
    <xdr:from>
      <xdr:col>5</xdr:col>
      <xdr:colOff>268310</xdr:colOff>
      <xdr:row>11</xdr:row>
      <xdr:rowOff>160986</xdr:rowOff>
    </xdr:from>
    <xdr:ext cx="184731" cy="264560"/>
    <xdr:sp macro="" textlink="">
      <xdr:nvSpPr>
        <xdr:cNvPr id="8" name="TextBox 7">
          <a:extLst>
            <a:ext uri="{FF2B5EF4-FFF2-40B4-BE49-F238E27FC236}">
              <a16:creationId xmlns:a16="http://schemas.microsoft.com/office/drawing/2014/main" id="{57AC8B93-DB9F-C1CC-138A-8F2B221887DA}"/>
            </a:ext>
          </a:extLst>
        </xdr:cNvPr>
        <xdr:cNvSpPr txBox="1"/>
      </xdr:nvSpPr>
      <xdr:spPr>
        <a:xfrm>
          <a:off x="3327042" y="21679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111512</xdr:colOff>
      <xdr:row>5</xdr:row>
      <xdr:rowOff>83634</xdr:rowOff>
    </xdr:from>
    <xdr:to>
      <xdr:col>3</xdr:col>
      <xdr:colOff>604025</xdr:colOff>
      <xdr:row>36</xdr:row>
      <xdr:rowOff>116416</xdr:rowOff>
    </xdr:to>
    <xdr:sp macro="" textlink="">
      <xdr:nvSpPr>
        <xdr:cNvPr id="9" name="Rectangle: Rounded Corners 8">
          <a:extLst>
            <a:ext uri="{FF2B5EF4-FFF2-40B4-BE49-F238E27FC236}">
              <a16:creationId xmlns:a16="http://schemas.microsoft.com/office/drawing/2014/main" id="{76B097EC-7B9C-5057-1F84-8D269942F161}"/>
            </a:ext>
          </a:extLst>
        </xdr:cNvPr>
        <xdr:cNvSpPr/>
      </xdr:nvSpPr>
      <xdr:spPr>
        <a:xfrm>
          <a:off x="111512" y="983217"/>
          <a:ext cx="2334013" cy="5610199"/>
        </a:xfrm>
        <a:prstGeom prst="roundRect">
          <a:avLst>
            <a:gd name="adj" fmla="val 2323"/>
          </a:avLst>
        </a:prstGeom>
        <a:solidFill>
          <a:srgbClr val="DCEF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341586</xdr:colOff>
      <xdr:row>0</xdr:row>
      <xdr:rowOff>120806</xdr:rowOff>
    </xdr:from>
    <xdr:to>
      <xdr:col>3</xdr:col>
      <xdr:colOff>271518</xdr:colOff>
      <xdr:row>4</xdr:row>
      <xdr:rowOff>92738</xdr:rowOff>
    </xdr:to>
    <xdr:pic>
      <xdr:nvPicPr>
        <xdr:cNvPr id="13" name="Picture 12">
          <a:extLst>
            <a:ext uri="{FF2B5EF4-FFF2-40B4-BE49-F238E27FC236}">
              <a16:creationId xmlns:a16="http://schemas.microsoft.com/office/drawing/2014/main" id="{A3463762-3FF0-2A1A-9F24-1965447F4A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1586" y="120806"/>
          <a:ext cx="1769242" cy="707656"/>
        </a:xfrm>
        <a:prstGeom prst="rect">
          <a:avLst/>
        </a:prstGeom>
      </xdr:spPr>
    </xdr:pic>
    <xdr:clientData/>
  </xdr:twoCellAnchor>
  <xdr:twoCellAnchor>
    <xdr:from>
      <xdr:col>4</xdr:col>
      <xdr:colOff>27878</xdr:colOff>
      <xdr:row>1</xdr:row>
      <xdr:rowOff>65048</xdr:rowOff>
    </xdr:from>
    <xdr:to>
      <xdr:col>4</xdr:col>
      <xdr:colOff>27878</xdr:colOff>
      <xdr:row>3</xdr:row>
      <xdr:rowOff>176561</xdr:rowOff>
    </xdr:to>
    <xdr:cxnSp macro="">
      <xdr:nvCxnSpPr>
        <xdr:cNvPr id="15" name="Straight Connector 14">
          <a:extLst>
            <a:ext uri="{FF2B5EF4-FFF2-40B4-BE49-F238E27FC236}">
              <a16:creationId xmlns:a16="http://schemas.microsoft.com/office/drawing/2014/main" id="{931EB5D2-116F-3603-CC32-7435FFEED97E}"/>
            </a:ext>
          </a:extLst>
        </xdr:cNvPr>
        <xdr:cNvCxnSpPr/>
      </xdr:nvCxnSpPr>
      <xdr:spPr>
        <a:xfrm>
          <a:off x="2481146" y="250902"/>
          <a:ext cx="0" cy="483220"/>
        </a:xfrm>
        <a:prstGeom prst="line">
          <a:avLst/>
        </a:prstGeom>
        <a:ln>
          <a:solidFill>
            <a:schemeClr val="bg1"/>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425183</xdr:colOff>
      <xdr:row>1</xdr:row>
      <xdr:rowOff>9291</xdr:rowOff>
    </xdr:from>
    <xdr:to>
      <xdr:col>6</xdr:col>
      <xdr:colOff>62629</xdr:colOff>
      <xdr:row>4</xdr:row>
      <xdr:rowOff>104383</xdr:rowOff>
    </xdr:to>
    <xdr:pic>
      <xdr:nvPicPr>
        <xdr:cNvPr id="20" name="Graphic 19" descr="Bar graph with upward trend with solid fill">
          <a:extLst>
            <a:ext uri="{FF2B5EF4-FFF2-40B4-BE49-F238E27FC236}">
              <a16:creationId xmlns:a16="http://schemas.microsoft.com/office/drawing/2014/main" id="{412651D2-61EF-B531-31FD-1C29BB87003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46882" y="197181"/>
          <a:ext cx="848295" cy="658764"/>
        </a:xfrm>
        <a:prstGeom prst="rect">
          <a:avLst/>
        </a:prstGeom>
      </xdr:spPr>
    </xdr:pic>
    <xdr:clientData/>
  </xdr:twoCellAnchor>
  <xdr:twoCellAnchor editAs="oneCell">
    <xdr:from>
      <xdr:col>21</xdr:col>
      <xdr:colOff>156576</xdr:colOff>
      <xdr:row>0</xdr:row>
      <xdr:rowOff>62631</xdr:rowOff>
    </xdr:from>
    <xdr:to>
      <xdr:col>22</xdr:col>
      <xdr:colOff>465552</xdr:colOff>
      <xdr:row>5</xdr:row>
      <xdr:rowOff>37579</xdr:rowOff>
    </xdr:to>
    <xdr:pic>
      <xdr:nvPicPr>
        <xdr:cNvPr id="26" name="Graphic 25" descr="Teacher with solid fill">
          <a:extLst>
            <a:ext uri="{FF2B5EF4-FFF2-40B4-BE49-F238E27FC236}">
              <a16:creationId xmlns:a16="http://schemas.microsoft.com/office/drawing/2014/main" id="{264F7B7B-93CB-36F8-9391-A44DEA08ABA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870494" y="62631"/>
          <a:ext cx="914400" cy="914400"/>
        </a:xfrm>
        <a:prstGeom prst="rect">
          <a:avLst/>
        </a:prstGeom>
      </xdr:spPr>
    </xdr:pic>
    <xdr:clientData/>
  </xdr:twoCellAnchor>
  <xdr:twoCellAnchor editAs="oneCell">
    <xdr:from>
      <xdr:col>23</xdr:col>
      <xdr:colOff>125260</xdr:colOff>
      <xdr:row>0</xdr:row>
      <xdr:rowOff>41753</xdr:rowOff>
    </xdr:from>
    <xdr:to>
      <xdr:col>24</xdr:col>
      <xdr:colOff>434235</xdr:colOff>
      <xdr:row>5</xdr:row>
      <xdr:rowOff>16701</xdr:rowOff>
    </xdr:to>
    <xdr:pic>
      <xdr:nvPicPr>
        <xdr:cNvPr id="28" name="Graphic 27" descr="Computer with solid fill">
          <a:extLst>
            <a:ext uri="{FF2B5EF4-FFF2-40B4-BE49-F238E27FC236}">
              <a16:creationId xmlns:a16="http://schemas.microsoft.com/office/drawing/2014/main" id="{74FF1447-273C-004B-C294-0CB2837E877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050027" y="41753"/>
          <a:ext cx="914400" cy="914400"/>
        </a:xfrm>
        <a:prstGeom prst="rect">
          <a:avLst/>
        </a:prstGeom>
      </xdr:spPr>
    </xdr:pic>
    <xdr:clientData/>
  </xdr:twoCellAnchor>
  <xdr:twoCellAnchor>
    <xdr:from>
      <xdr:col>4</xdr:col>
      <xdr:colOff>61311</xdr:colOff>
      <xdr:row>5</xdr:row>
      <xdr:rowOff>96344</xdr:rowOff>
    </xdr:from>
    <xdr:to>
      <xdr:col>8</xdr:col>
      <xdr:colOff>360947</xdr:colOff>
      <xdr:row>12</xdr:row>
      <xdr:rowOff>157656</xdr:rowOff>
    </xdr:to>
    <xdr:sp macro="" textlink="'Pivot Table'!A12">
      <xdr:nvSpPr>
        <xdr:cNvPr id="29" name="Rectangle: Rounded Corners 28">
          <a:extLst>
            <a:ext uri="{FF2B5EF4-FFF2-40B4-BE49-F238E27FC236}">
              <a16:creationId xmlns:a16="http://schemas.microsoft.com/office/drawing/2014/main" id="{6E698DEC-26E0-34AE-428C-72D94255106B}"/>
            </a:ext>
          </a:extLst>
        </xdr:cNvPr>
        <xdr:cNvSpPr/>
      </xdr:nvSpPr>
      <xdr:spPr>
        <a:xfrm>
          <a:off x="2507732" y="998712"/>
          <a:ext cx="2746057" cy="1324628"/>
        </a:xfrm>
        <a:prstGeom prst="roundRect">
          <a:avLst>
            <a:gd name="adj" fmla="val 3991"/>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500" b="1">
              <a:solidFill>
                <a:srgbClr val="003B5C"/>
              </a:solidFill>
              <a:latin typeface="+mn-lt"/>
              <a:ea typeface="+mn-ea"/>
              <a:cs typeface="+mn-cs"/>
            </a:rPr>
            <a:t>                       </a:t>
          </a:r>
        </a:p>
        <a:p>
          <a:pPr marL="0" indent="0" algn="l"/>
          <a:r>
            <a:rPr lang="en-IN" sz="1500" b="1">
              <a:solidFill>
                <a:srgbClr val="003B5C"/>
              </a:solidFill>
              <a:latin typeface="+mn-lt"/>
              <a:ea typeface="+mn-ea"/>
              <a:cs typeface="+mn-cs"/>
            </a:rPr>
            <a:t>                               TOTAL</a:t>
          </a:r>
          <a:r>
            <a:rPr lang="en-IN" sz="1500" b="1" baseline="0">
              <a:solidFill>
                <a:srgbClr val="003B5C"/>
              </a:solidFill>
              <a:latin typeface="+mn-lt"/>
              <a:ea typeface="+mn-ea"/>
              <a:cs typeface="+mn-cs"/>
            </a:rPr>
            <a:t> SALES</a:t>
          </a:r>
          <a:endParaRPr lang="en-IN" sz="1500" b="1">
            <a:solidFill>
              <a:srgbClr val="003B5C"/>
            </a:solidFill>
            <a:latin typeface="+mn-lt"/>
            <a:ea typeface="+mn-ea"/>
            <a:cs typeface="+mn-cs"/>
          </a:endParaRPr>
        </a:p>
      </xdr:txBody>
    </xdr:sp>
    <xdr:clientData/>
  </xdr:twoCellAnchor>
  <xdr:twoCellAnchor>
    <xdr:from>
      <xdr:col>8</xdr:col>
      <xdr:colOff>438507</xdr:colOff>
      <xdr:row>5</xdr:row>
      <xdr:rowOff>105103</xdr:rowOff>
    </xdr:from>
    <xdr:to>
      <xdr:col>13</xdr:col>
      <xdr:colOff>107674</xdr:colOff>
      <xdr:row>12</xdr:row>
      <xdr:rowOff>166415</xdr:rowOff>
    </xdr:to>
    <xdr:sp macro="" textlink="">
      <xdr:nvSpPr>
        <xdr:cNvPr id="32" name="Rectangle: Rounded Corners 31">
          <a:extLst>
            <a:ext uri="{FF2B5EF4-FFF2-40B4-BE49-F238E27FC236}">
              <a16:creationId xmlns:a16="http://schemas.microsoft.com/office/drawing/2014/main" id="{72203C1D-F129-458C-8F37-015B13C4AF9C}"/>
            </a:ext>
          </a:extLst>
        </xdr:cNvPr>
        <xdr:cNvSpPr/>
      </xdr:nvSpPr>
      <xdr:spPr>
        <a:xfrm>
          <a:off x="5308681" y="1016190"/>
          <a:ext cx="2713026" cy="1336834"/>
        </a:xfrm>
        <a:prstGeom prst="roundRect">
          <a:avLst>
            <a:gd name="adj" fmla="val 3991"/>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500" b="1">
              <a:solidFill>
                <a:srgbClr val="003B5C"/>
              </a:solidFill>
              <a:latin typeface="+mn-lt"/>
              <a:ea typeface="+mn-ea"/>
              <a:cs typeface="+mn-cs"/>
            </a:rPr>
            <a:t>                 </a:t>
          </a:r>
        </a:p>
        <a:p>
          <a:pPr marL="0" indent="0" algn="l"/>
          <a:r>
            <a:rPr lang="en-IN" sz="1500" b="1">
              <a:solidFill>
                <a:srgbClr val="003B5C"/>
              </a:solidFill>
              <a:latin typeface="+mn-lt"/>
              <a:ea typeface="+mn-ea"/>
              <a:cs typeface="+mn-cs"/>
            </a:rPr>
            <a:t>                            TOTAL PROFIT</a:t>
          </a:r>
        </a:p>
      </xdr:txBody>
    </xdr:sp>
    <xdr:clientData/>
  </xdr:twoCellAnchor>
  <xdr:twoCellAnchor>
    <xdr:from>
      <xdr:col>13</xdr:col>
      <xdr:colOff>214126</xdr:colOff>
      <xdr:row>5</xdr:row>
      <xdr:rowOff>95076</xdr:rowOff>
    </xdr:from>
    <xdr:to>
      <xdr:col>19</xdr:col>
      <xdr:colOff>0</xdr:colOff>
      <xdr:row>25</xdr:row>
      <xdr:rowOff>148166</xdr:rowOff>
    </xdr:to>
    <xdr:sp macro="" textlink="">
      <xdr:nvSpPr>
        <xdr:cNvPr id="33" name="Rectangle: Rounded Corners 32">
          <a:extLst>
            <a:ext uri="{FF2B5EF4-FFF2-40B4-BE49-F238E27FC236}">
              <a16:creationId xmlns:a16="http://schemas.microsoft.com/office/drawing/2014/main" id="{D41FE512-87C4-4DDE-99DF-290BB96669CE}"/>
            </a:ext>
          </a:extLst>
        </xdr:cNvPr>
        <xdr:cNvSpPr/>
      </xdr:nvSpPr>
      <xdr:spPr>
        <a:xfrm>
          <a:off x="8193959" y="994659"/>
          <a:ext cx="3468874" cy="3651424"/>
        </a:xfrm>
        <a:prstGeom prst="roundRect">
          <a:avLst>
            <a:gd name="adj" fmla="val 1349"/>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500" b="1">
            <a:solidFill>
              <a:srgbClr val="003B5C"/>
            </a:solidFill>
            <a:latin typeface="+mn-lt"/>
            <a:ea typeface="+mn-ea"/>
            <a:cs typeface="+mn-cs"/>
          </a:endParaRPr>
        </a:p>
      </xdr:txBody>
    </xdr:sp>
    <xdr:clientData/>
  </xdr:twoCellAnchor>
  <xdr:twoCellAnchor>
    <xdr:from>
      <xdr:col>19</xdr:col>
      <xdr:colOff>80209</xdr:colOff>
      <xdr:row>5</xdr:row>
      <xdr:rowOff>93810</xdr:rowOff>
    </xdr:from>
    <xdr:to>
      <xdr:col>25</xdr:col>
      <xdr:colOff>551446</xdr:colOff>
      <xdr:row>14</xdr:row>
      <xdr:rowOff>120316</xdr:rowOff>
    </xdr:to>
    <xdr:sp macro="" textlink="">
      <xdr:nvSpPr>
        <xdr:cNvPr id="34" name="Rectangle: Rounded Corners 33">
          <a:extLst>
            <a:ext uri="{FF2B5EF4-FFF2-40B4-BE49-F238E27FC236}">
              <a16:creationId xmlns:a16="http://schemas.microsoft.com/office/drawing/2014/main" id="{D483ED6E-45A0-409F-A666-3D052089155A}"/>
            </a:ext>
          </a:extLst>
        </xdr:cNvPr>
        <xdr:cNvSpPr/>
      </xdr:nvSpPr>
      <xdr:spPr>
        <a:xfrm>
          <a:off x="11700709" y="996178"/>
          <a:ext cx="4140869" cy="1650770"/>
        </a:xfrm>
        <a:prstGeom prst="roundRect">
          <a:avLst>
            <a:gd name="adj" fmla="val 3991"/>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500" b="1">
            <a:solidFill>
              <a:srgbClr val="003B5C"/>
            </a:solidFill>
            <a:latin typeface="+mn-lt"/>
            <a:ea typeface="+mn-ea"/>
            <a:cs typeface="+mn-cs"/>
          </a:endParaRPr>
        </a:p>
      </xdr:txBody>
    </xdr:sp>
    <xdr:clientData/>
  </xdr:twoCellAnchor>
  <xdr:twoCellAnchor editAs="oneCell">
    <xdr:from>
      <xdr:col>4</xdr:col>
      <xdr:colOff>289034</xdr:colOff>
      <xdr:row>6</xdr:row>
      <xdr:rowOff>140139</xdr:rowOff>
    </xdr:from>
    <xdr:to>
      <xdr:col>5</xdr:col>
      <xdr:colOff>525517</xdr:colOff>
      <xdr:row>10</xdr:row>
      <xdr:rowOff>166415</xdr:rowOff>
    </xdr:to>
    <xdr:pic>
      <xdr:nvPicPr>
        <xdr:cNvPr id="36" name="Graphic 35" descr="Shopping cart with solid fill">
          <a:extLst>
            <a:ext uri="{FF2B5EF4-FFF2-40B4-BE49-F238E27FC236}">
              <a16:creationId xmlns:a16="http://schemas.microsoft.com/office/drawing/2014/main" id="{868FA79C-9C5E-2BBC-2E45-FD07DA7C8F0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41448" y="1243725"/>
          <a:ext cx="849586" cy="762000"/>
        </a:xfrm>
        <a:prstGeom prst="rect">
          <a:avLst/>
        </a:prstGeom>
      </xdr:spPr>
    </xdr:pic>
    <xdr:clientData/>
  </xdr:twoCellAnchor>
  <xdr:oneCellAnchor>
    <xdr:from>
      <xdr:col>6</xdr:col>
      <xdr:colOff>17517</xdr:colOff>
      <xdr:row>8</xdr:row>
      <xdr:rowOff>131380</xdr:rowOff>
    </xdr:from>
    <xdr:ext cx="1462690" cy="455448"/>
    <xdr:sp macro="" textlink="'Pivot Table'!A12">
      <xdr:nvSpPr>
        <xdr:cNvPr id="38" name="TextBox 37">
          <a:extLst>
            <a:ext uri="{FF2B5EF4-FFF2-40B4-BE49-F238E27FC236}">
              <a16:creationId xmlns:a16="http://schemas.microsoft.com/office/drawing/2014/main" id="{F1E5A52B-0C1E-AC2C-EACF-C85CD1767C9F}"/>
            </a:ext>
          </a:extLst>
        </xdr:cNvPr>
        <xdr:cNvSpPr txBox="1"/>
      </xdr:nvSpPr>
      <xdr:spPr>
        <a:xfrm>
          <a:off x="3696138" y="1602828"/>
          <a:ext cx="1462690" cy="4554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CF5F814-65A9-445E-BDC8-AB35D45FFBA3}" type="TxLink">
            <a:rPr lang="en-US" sz="1400" b="0" i="0" u="none" strike="noStrike">
              <a:solidFill>
                <a:srgbClr val="00A6A6"/>
              </a:solidFill>
              <a:latin typeface="Calibri"/>
              <a:ea typeface="Calibri"/>
              <a:cs typeface="Calibri"/>
            </a:rPr>
            <a:pPr/>
            <a:t> ₹ 10,75,15,188.76 </a:t>
          </a:fld>
          <a:endParaRPr lang="en-IN" sz="1400">
            <a:solidFill>
              <a:srgbClr val="00A6A6"/>
            </a:solidFill>
          </a:endParaRPr>
        </a:p>
      </xdr:txBody>
    </xdr:sp>
    <xdr:clientData/>
  </xdr:oneCellAnchor>
  <xdr:oneCellAnchor>
    <xdr:from>
      <xdr:col>10</xdr:col>
      <xdr:colOff>298139</xdr:colOff>
      <xdr:row>8</xdr:row>
      <xdr:rowOff>107638</xdr:rowOff>
    </xdr:from>
    <xdr:ext cx="1462690" cy="455448"/>
    <xdr:sp macro="" textlink="'Pivot Table'!A13">
      <xdr:nvSpPr>
        <xdr:cNvPr id="39" name="TextBox 38">
          <a:extLst>
            <a:ext uri="{FF2B5EF4-FFF2-40B4-BE49-F238E27FC236}">
              <a16:creationId xmlns:a16="http://schemas.microsoft.com/office/drawing/2014/main" id="{D50FD9C1-06B0-482A-A87B-193D79C18B68}"/>
            </a:ext>
          </a:extLst>
        </xdr:cNvPr>
        <xdr:cNvSpPr txBox="1"/>
      </xdr:nvSpPr>
      <xdr:spPr>
        <a:xfrm>
          <a:off x="6414192" y="1551427"/>
          <a:ext cx="1462690" cy="4554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0D0B2D2-866A-4FBD-A679-0E6FF0899EEB}" type="TxLink">
            <a:rPr lang="en-US" sz="1500" b="0" i="0" u="none" strike="noStrike">
              <a:solidFill>
                <a:srgbClr val="00A6A6"/>
              </a:solidFill>
              <a:latin typeface="Calibri"/>
              <a:ea typeface="Calibri"/>
              <a:cs typeface="Calibri"/>
            </a:rPr>
            <a:pPr/>
            <a:t> ₹ 1,31,14,489.71 </a:t>
          </a:fld>
          <a:endParaRPr lang="en-IN" sz="1500">
            <a:solidFill>
              <a:srgbClr val="00A6A6"/>
            </a:solidFill>
          </a:endParaRPr>
        </a:p>
      </xdr:txBody>
    </xdr:sp>
    <xdr:clientData/>
  </xdr:oneCellAnchor>
  <xdr:twoCellAnchor editAs="oneCell">
    <xdr:from>
      <xdr:col>8</xdr:col>
      <xdr:colOff>589824</xdr:colOff>
      <xdr:row>6</xdr:row>
      <xdr:rowOff>117552</xdr:rowOff>
    </xdr:from>
    <xdr:to>
      <xdr:col>10</xdr:col>
      <xdr:colOff>258495</xdr:colOff>
      <xdr:row>11</xdr:row>
      <xdr:rowOff>47483</xdr:rowOff>
    </xdr:to>
    <xdr:pic>
      <xdr:nvPicPr>
        <xdr:cNvPr id="41" name="Graphic 40" descr="Coins with solid fill">
          <a:extLst>
            <a:ext uri="{FF2B5EF4-FFF2-40B4-BE49-F238E27FC236}">
              <a16:creationId xmlns:a16="http://schemas.microsoft.com/office/drawing/2014/main" id="{52209E44-0B1E-F293-B2D5-0FC5E6B740E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482666" y="1200394"/>
          <a:ext cx="891882" cy="832300"/>
        </a:xfrm>
        <a:prstGeom prst="rect">
          <a:avLst/>
        </a:prstGeom>
      </xdr:spPr>
    </xdr:pic>
    <xdr:clientData/>
  </xdr:twoCellAnchor>
  <xdr:twoCellAnchor>
    <xdr:from>
      <xdr:col>4</xdr:col>
      <xdr:colOff>70069</xdr:colOff>
      <xdr:row>13</xdr:row>
      <xdr:rowOff>90236</xdr:rowOff>
    </xdr:from>
    <xdr:to>
      <xdr:col>13</xdr:col>
      <xdr:colOff>115824</xdr:colOff>
      <xdr:row>25</xdr:row>
      <xdr:rowOff>148166</xdr:rowOff>
    </xdr:to>
    <xdr:sp macro="" textlink="">
      <xdr:nvSpPr>
        <xdr:cNvPr id="42" name="Rectangle: Rounded Corners 41">
          <a:extLst>
            <a:ext uri="{FF2B5EF4-FFF2-40B4-BE49-F238E27FC236}">
              <a16:creationId xmlns:a16="http://schemas.microsoft.com/office/drawing/2014/main" id="{3DA00046-E9C9-2C12-C34D-53B721F97C39}"/>
            </a:ext>
          </a:extLst>
        </xdr:cNvPr>
        <xdr:cNvSpPr/>
      </xdr:nvSpPr>
      <xdr:spPr>
        <a:xfrm>
          <a:off x="2508469" y="2467676"/>
          <a:ext cx="5532155" cy="2252490"/>
        </a:xfrm>
        <a:prstGeom prst="roundRect">
          <a:avLst>
            <a:gd name="adj" fmla="val 2568"/>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500" b="1">
            <a:solidFill>
              <a:srgbClr val="003B5C"/>
            </a:solidFill>
            <a:latin typeface="+mn-lt"/>
            <a:ea typeface="+mn-ea"/>
            <a:cs typeface="+mn-cs"/>
          </a:endParaRPr>
        </a:p>
      </xdr:txBody>
    </xdr:sp>
    <xdr:clientData/>
  </xdr:twoCellAnchor>
  <xdr:twoCellAnchor>
    <xdr:from>
      <xdr:col>4</xdr:col>
      <xdr:colOff>150167</xdr:colOff>
      <xdr:row>13</xdr:row>
      <xdr:rowOff>171139</xdr:rowOff>
    </xdr:from>
    <xdr:to>
      <xdr:col>13</xdr:col>
      <xdr:colOff>70186</xdr:colOff>
      <xdr:row>25</xdr:row>
      <xdr:rowOff>105832</xdr:rowOff>
    </xdr:to>
    <xdr:graphicFrame macro="">
      <xdr:nvGraphicFramePr>
        <xdr:cNvPr id="43" name="Chart 42">
          <a:extLst>
            <a:ext uri="{FF2B5EF4-FFF2-40B4-BE49-F238E27FC236}">
              <a16:creationId xmlns:a16="http://schemas.microsoft.com/office/drawing/2014/main" id="{9E37631F-4D2C-4ACE-A908-4AF9FA44D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120315</xdr:colOff>
      <xdr:row>5</xdr:row>
      <xdr:rowOff>133915</xdr:rowOff>
    </xdr:from>
    <xdr:to>
      <xdr:col>25</xdr:col>
      <xdr:colOff>511342</xdr:colOff>
      <xdr:row>14</xdr:row>
      <xdr:rowOff>70185</xdr:rowOff>
    </xdr:to>
    <xdr:graphicFrame macro="">
      <xdr:nvGraphicFramePr>
        <xdr:cNvPr id="10" name="Chart 9">
          <a:extLst>
            <a:ext uri="{FF2B5EF4-FFF2-40B4-BE49-F238E27FC236}">
              <a16:creationId xmlns:a16="http://schemas.microsoft.com/office/drawing/2014/main" id="{624A2870-DE43-4E15-BE38-A710F94A4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70185</xdr:colOff>
      <xdr:row>15</xdr:row>
      <xdr:rowOff>10025</xdr:rowOff>
    </xdr:from>
    <xdr:to>
      <xdr:col>25</xdr:col>
      <xdr:colOff>541422</xdr:colOff>
      <xdr:row>25</xdr:row>
      <xdr:rowOff>148165</xdr:rowOff>
    </xdr:to>
    <xdr:sp macro="" textlink="">
      <xdr:nvSpPr>
        <xdr:cNvPr id="11" name="Rectangle: Rounded Corners 10">
          <a:extLst>
            <a:ext uri="{FF2B5EF4-FFF2-40B4-BE49-F238E27FC236}">
              <a16:creationId xmlns:a16="http://schemas.microsoft.com/office/drawing/2014/main" id="{1DA68636-63AD-448B-A45E-31E250364B84}"/>
            </a:ext>
          </a:extLst>
        </xdr:cNvPr>
        <xdr:cNvSpPr/>
      </xdr:nvSpPr>
      <xdr:spPr>
        <a:xfrm>
          <a:off x="11733018" y="2708775"/>
          <a:ext cx="4154237" cy="1937307"/>
        </a:xfrm>
        <a:prstGeom prst="roundRect">
          <a:avLst>
            <a:gd name="adj" fmla="val 3991"/>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500" b="1">
            <a:solidFill>
              <a:srgbClr val="003B5C"/>
            </a:solidFill>
            <a:latin typeface="+mn-lt"/>
            <a:ea typeface="+mn-ea"/>
            <a:cs typeface="+mn-cs"/>
          </a:endParaRPr>
        </a:p>
      </xdr:txBody>
    </xdr:sp>
    <xdr:clientData/>
  </xdr:twoCellAnchor>
  <xdr:twoCellAnchor>
    <xdr:from>
      <xdr:col>18</xdr:col>
      <xdr:colOff>42332</xdr:colOff>
      <xdr:row>15</xdr:row>
      <xdr:rowOff>31750</xdr:rowOff>
    </xdr:from>
    <xdr:to>
      <xdr:col>25</xdr:col>
      <xdr:colOff>497416</xdr:colOff>
      <xdr:row>25</xdr:row>
      <xdr:rowOff>137582</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2EAB2B5D-336F-4D44-A56E-26F2EA9AAC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015132" y="2774950"/>
              <a:ext cx="4722284" cy="19346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74082</xdr:colOff>
      <xdr:row>26</xdr:row>
      <xdr:rowOff>63500</xdr:rowOff>
    </xdr:from>
    <xdr:to>
      <xdr:col>13</xdr:col>
      <xdr:colOff>133864</xdr:colOff>
      <xdr:row>36</xdr:row>
      <xdr:rowOff>105833</xdr:rowOff>
    </xdr:to>
    <xdr:sp macro="" textlink="">
      <xdr:nvSpPr>
        <xdr:cNvPr id="14" name="Rectangle: Rounded Corners 13">
          <a:extLst>
            <a:ext uri="{FF2B5EF4-FFF2-40B4-BE49-F238E27FC236}">
              <a16:creationId xmlns:a16="http://schemas.microsoft.com/office/drawing/2014/main" id="{B6F935EE-E0AE-43D3-832B-131468482832}"/>
            </a:ext>
          </a:extLst>
        </xdr:cNvPr>
        <xdr:cNvSpPr/>
      </xdr:nvSpPr>
      <xdr:spPr>
        <a:xfrm>
          <a:off x="2504244" y="4882635"/>
          <a:ext cx="5527647" cy="1895847"/>
        </a:xfrm>
        <a:prstGeom prst="roundRect">
          <a:avLst>
            <a:gd name="adj" fmla="val 2568"/>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500" b="1">
            <a:solidFill>
              <a:srgbClr val="003B5C"/>
            </a:solidFill>
            <a:latin typeface="+mn-lt"/>
            <a:ea typeface="+mn-ea"/>
            <a:cs typeface="+mn-cs"/>
          </a:endParaRPr>
        </a:p>
      </xdr:txBody>
    </xdr:sp>
    <xdr:clientData/>
  </xdr:twoCellAnchor>
  <xdr:twoCellAnchor>
    <xdr:from>
      <xdr:col>4</xdr:col>
      <xdr:colOff>102972</xdr:colOff>
      <xdr:row>26</xdr:row>
      <xdr:rowOff>82378</xdr:rowOff>
    </xdr:from>
    <xdr:to>
      <xdr:col>13</xdr:col>
      <xdr:colOff>72080</xdr:colOff>
      <xdr:row>36</xdr:row>
      <xdr:rowOff>82377</xdr:rowOff>
    </xdr:to>
    <xdr:graphicFrame macro="">
      <xdr:nvGraphicFramePr>
        <xdr:cNvPr id="16" name="Chart 15">
          <a:extLst>
            <a:ext uri="{FF2B5EF4-FFF2-40B4-BE49-F238E27FC236}">
              <a16:creationId xmlns:a16="http://schemas.microsoft.com/office/drawing/2014/main" id="{AC18FF57-10D8-49E7-B792-90CEA79E3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218303</xdr:colOff>
      <xdr:row>26</xdr:row>
      <xdr:rowOff>51486</xdr:rowOff>
    </xdr:from>
    <xdr:to>
      <xdr:col>25</xdr:col>
      <xdr:colOff>545755</xdr:colOff>
      <xdr:row>36</xdr:row>
      <xdr:rowOff>93819</xdr:rowOff>
    </xdr:to>
    <xdr:sp macro="" textlink="">
      <xdr:nvSpPr>
        <xdr:cNvPr id="17" name="Rectangle: Rounded Corners 16">
          <a:extLst>
            <a:ext uri="{FF2B5EF4-FFF2-40B4-BE49-F238E27FC236}">
              <a16:creationId xmlns:a16="http://schemas.microsoft.com/office/drawing/2014/main" id="{F6B8E0FF-65A5-47E0-9328-CB02E6024E54}"/>
            </a:ext>
          </a:extLst>
        </xdr:cNvPr>
        <xdr:cNvSpPr/>
      </xdr:nvSpPr>
      <xdr:spPr>
        <a:xfrm>
          <a:off x="8143103" y="4763529"/>
          <a:ext cx="7642652" cy="1854658"/>
        </a:xfrm>
        <a:prstGeom prst="roundRect">
          <a:avLst>
            <a:gd name="adj" fmla="val 2568"/>
          </a:avLst>
        </a:prstGeom>
        <a:solidFill>
          <a:srgbClr val="FFFFFF"/>
        </a:solidFill>
        <a:ln w="6350">
          <a:solidFill>
            <a:srgbClr val="00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500" b="1">
            <a:solidFill>
              <a:srgbClr val="003B5C"/>
            </a:solidFill>
            <a:latin typeface="+mn-lt"/>
            <a:ea typeface="+mn-ea"/>
            <a:cs typeface="+mn-cs"/>
          </a:endParaRPr>
        </a:p>
      </xdr:txBody>
    </xdr:sp>
    <xdr:clientData/>
  </xdr:twoCellAnchor>
  <xdr:twoCellAnchor>
    <xdr:from>
      <xdr:col>13</xdr:col>
      <xdr:colOff>271448</xdr:colOff>
      <xdr:row>26</xdr:row>
      <xdr:rowOff>97538</xdr:rowOff>
    </xdr:from>
    <xdr:to>
      <xdr:col>25</xdr:col>
      <xdr:colOff>518584</xdr:colOff>
      <xdr:row>36</xdr:row>
      <xdr:rowOff>52917</xdr:rowOff>
    </xdr:to>
    <xdr:graphicFrame macro="">
      <xdr:nvGraphicFramePr>
        <xdr:cNvPr id="18" name="Chart 17">
          <a:extLst>
            <a:ext uri="{FF2B5EF4-FFF2-40B4-BE49-F238E27FC236}">
              <a16:creationId xmlns:a16="http://schemas.microsoft.com/office/drawing/2014/main" id="{99F9FF87-0832-4B19-8CA1-B0FF9E023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143261</xdr:colOff>
      <xdr:row>6</xdr:row>
      <xdr:rowOff>1684</xdr:rowOff>
    </xdr:from>
    <xdr:to>
      <xdr:col>3</xdr:col>
      <xdr:colOff>582082</xdr:colOff>
      <xdr:row>15</xdr:row>
      <xdr:rowOff>34467</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B479D411-E201-4348-9A86-DF9DDD26166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3261" y="1107003"/>
              <a:ext cx="2272645" cy="1690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143262</xdr:colOff>
      <xdr:row>15</xdr:row>
      <xdr:rowOff>141436</xdr:rowOff>
    </xdr:from>
    <xdr:to>
      <xdr:col>3</xdr:col>
      <xdr:colOff>571500</xdr:colOff>
      <xdr:row>23</xdr:row>
      <xdr:rowOff>100136</xdr:rowOff>
    </xdr:to>
    <mc:AlternateContent xmlns:mc="http://schemas.openxmlformats.org/markup-compatibility/2006" xmlns:a14="http://schemas.microsoft.com/office/drawing/2010/main">
      <mc:Choice Requires="a14">
        <xdr:graphicFrame macro="">
          <xdr:nvGraphicFramePr>
            <xdr:cNvPr id="21" name="Year 1">
              <a:extLst>
                <a:ext uri="{FF2B5EF4-FFF2-40B4-BE49-F238E27FC236}">
                  <a16:creationId xmlns:a16="http://schemas.microsoft.com/office/drawing/2014/main" id="{CBF5BEB2-FC19-400C-B83C-31D24F784A4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3262" y="2904733"/>
              <a:ext cx="2262062" cy="1432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139014</xdr:colOff>
      <xdr:row>24</xdr:row>
      <xdr:rowOff>27023</xdr:rowOff>
    </xdr:from>
    <xdr:to>
      <xdr:col>3</xdr:col>
      <xdr:colOff>566351</xdr:colOff>
      <xdr:row>35</xdr:row>
      <xdr:rowOff>16614</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721DC967-081F-47AD-BF8E-7A9488C84B6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9014" y="4448298"/>
              <a:ext cx="2261161" cy="2016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257564</xdr:colOff>
      <xdr:row>5</xdr:row>
      <xdr:rowOff>130341</xdr:rowOff>
    </xdr:from>
    <xdr:to>
      <xdr:col>18</xdr:col>
      <xdr:colOff>550333</xdr:colOff>
      <xdr:row>25</xdr:row>
      <xdr:rowOff>118533</xdr:rowOff>
    </xdr:to>
    <xdr:graphicFrame macro="">
      <xdr:nvGraphicFramePr>
        <xdr:cNvPr id="5" name="Chart 4">
          <a:extLst>
            <a:ext uri="{FF2B5EF4-FFF2-40B4-BE49-F238E27FC236}">
              <a16:creationId xmlns:a16="http://schemas.microsoft.com/office/drawing/2014/main" id="{50A76CA5-496C-45D5-B15A-AE5F511C1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11</xdr:col>
      <xdr:colOff>491067</xdr:colOff>
      <xdr:row>3</xdr:row>
      <xdr:rowOff>84667</xdr:rowOff>
    </xdr:from>
    <xdr:ext cx="2298578" cy="248851"/>
    <xdr:sp macro="" textlink="">
      <xdr:nvSpPr>
        <xdr:cNvPr id="2" name="TextBox 1">
          <a:extLst>
            <a:ext uri="{FF2B5EF4-FFF2-40B4-BE49-F238E27FC236}">
              <a16:creationId xmlns:a16="http://schemas.microsoft.com/office/drawing/2014/main" id="{63EEA132-6B1C-BFE4-2C26-053FFADD173F}"/>
            </a:ext>
          </a:extLst>
        </xdr:cNvPr>
        <xdr:cNvSpPr txBox="1"/>
      </xdr:nvSpPr>
      <xdr:spPr>
        <a:xfrm>
          <a:off x="7196667" y="643467"/>
          <a:ext cx="2298578" cy="2488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bg1"/>
              </a:solidFill>
            </a:rPr>
            <a:t>Sample dataset – for portfolio purposes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efreshedDate="46305.698521874998" createdVersion="8" refreshedVersion="8" minRefreshableVersion="3" recordCount="115" xr:uid="{3B7C716C-3FCA-4328-97FE-DE23CA9E4BA9}">
  <cacheSource type="worksheet">
    <worksheetSource ref="R1:S116" sheet="Pivot Table"/>
  </cacheSource>
  <cacheFields count="2">
    <cacheField name="Customer Name" numFmtId="0">
      <sharedItems/>
    </cacheField>
    <cacheField name="Year" numFmtId="0">
      <sharedItems containsSemiMixedTypes="0" containsString="0" containsNumber="1" containsInteger="1" minValue="2023" maxValue="2026" count="4">
        <n v="2023"/>
        <n v="2024"/>
        <n v="2025"/>
        <n v="202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efreshedDate="46305.698522453706" createdVersion="8" refreshedVersion="8" minRefreshableVersion="3" recordCount="2000" xr:uid="{716A2C82-F2F3-411F-AC66-D2DF49093179}">
  <cacheSource type="worksheet">
    <worksheetSource ref="A1:L2001" sheet="Sales Data"/>
  </cacheSource>
  <cacheFields count="12">
    <cacheField name="Order Date" numFmtId="0">
      <sharedItems containsSemiMixedTypes="0" containsNonDate="0" containsDate="1" containsString="0" minDate="2023-01-01T00:00:00" maxDate="2026-08-31T00:00:00"/>
    </cacheField>
    <cacheField name="Customer Name" numFmtId="0">
      <sharedItems count="30">
        <s v="Neha Desai"/>
        <s v="Akash Menon"/>
        <s v="Pooja Iyer"/>
        <s v="Ananya Patel"/>
        <s v="Aditi Shah"/>
        <s v="Sneha Joshi"/>
        <s v="Tanvi Malhotra"/>
        <s v="Priya Nair"/>
        <s v="Riya Choudhary"/>
        <s v="Arjun Rao"/>
        <s v="Yash Patil"/>
        <s v="Vikram Shah"/>
        <s v="Ishita Gupta"/>
        <s v="Divya Sinha"/>
        <s v="Nikhil Jain"/>
        <s v="Rahul Verma"/>
        <s v="Simran Kaur"/>
        <s v="Karan Singh"/>
        <s v="Kavya Reddy"/>
        <s v="Siddharth Das"/>
        <s v="Nandini Pillai"/>
        <s v="Aarav Sharma"/>
        <s v="Saurabh Mishra"/>
        <s v="Shreya Banerjee"/>
        <s v="Manish Bansal"/>
        <s v="Harsh Vora"/>
        <s v="Aditya Kulkarni"/>
        <s v="Meera Kapoor"/>
        <s v="Rohan Mehta"/>
        <s v="Abhishek Roy"/>
      </sharedItems>
    </cacheField>
    <cacheField name="State" numFmtId="0">
      <sharedItems count="15">
        <s v="Telangana"/>
        <s v="Uttar Pradesh"/>
        <s v="Goa"/>
        <s v="Gujarat"/>
        <s v="Madhya Pradesh"/>
        <s v="Kerala"/>
        <s v="Haryana"/>
        <s v="Andhra Pradesh"/>
        <s v="Rajasthan"/>
        <s v="Karnataka"/>
        <s v="Delhi"/>
        <s v="Maharashtra"/>
        <s v="West Bengal"/>
        <s v="Punjab"/>
        <s v="Tamil Nadu"/>
      </sharedItems>
    </cacheField>
    <cacheField name="Country" numFmtId="0">
      <sharedItems count="1">
        <s v="India"/>
      </sharedItems>
    </cacheField>
    <cacheField name="Category" numFmtId="0">
      <sharedItems count="5">
        <s v="Mobiles &amp; Accessories"/>
        <s v="Computers &amp; Accessories"/>
        <s v="TVs &amp; Entertainment"/>
        <s v="Home Appliances"/>
        <s v="Small Appliances"/>
      </sharedItems>
    </cacheField>
    <cacheField name="Sub-Category" numFmtId="0">
      <sharedItems count="12">
        <s v="Mobile Accessories"/>
        <s v="Laptops"/>
        <s v="Smartphones"/>
        <s v="Audio"/>
        <s v="Washing Machines"/>
        <s v="Computer Accessories"/>
        <s v="Home Care"/>
        <s v="Kitchen Appliances"/>
        <s v="Televisions"/>
        <s v="Refrigerators"/>
        <s v="Air Conditioners"/>
        <s v="Personal Care"/>
      </sharedItems>
    </cacheField>
    <cacheField name="Product Name" numFmtId="0">
      <sharedItems/>
    </cacheField>
    <cacheField name="Sales" numFmtId="0">
      <sharedItems containsSemiMixedTypes="0" containsString="0" containsNumber="1" minValue="1234.8499999999999" maxValue="494815.23"/>
    </cacheField>
    <cacheField name="Quantity" numFmtId="0">
      <sharedItems containsSemiMixedTypes="0" containsString="0" containsNumber="1" containsInteger="1" minValue="1" maxValue="5"/>
    </cacheField>
    <cacheField name="Profit" numFmtId="0">
      <sharedItems containsSemiMixedTypes="0" containsString="0" containsNumber="1" minValue="-12531.35" maxValue="77009.8"/>
    </cacheField>
    <cacheField name="Month" numFmtId="0">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23" maxValue="2026" count="4">
        <n v="2023"/>
        <n v="2024"/>
        <n v="2025"/>
        <n v="2026"/>
      </sharedItems>
    </cacheField>
  </cacheFields>
  <extLst>
    <ext xmlns:x14="http://schemas.microsoft.com/office/spreadsheetml/2009/9/main" uri="{725AE2AE-9491-48be-B2B4-4EB974FC3084}">
      <x14:pivotCacheDefinition pivotCacheId="753730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Neha Desai"/>
    <x v="0"/>
  </r>
  <r>
    <s v="Akash Menon"/>
    <x v="0"/>
  </r>
  <r>
    <s v="Pooja Iyer"/>
    <x v="0"/>
  </r>
  <r>
    <s v="Ananya Patel"/>
    <x v="0"/>
  </r>
  <r>
    <s v="Aditi Shah"/>
    <x v="0"/>
  </r>
  <r>
    <s v="Sneha Joshi"/>
    <x v="0"/>
  </r>
  <r>
    <s v="Tanvi Malhotra"/>
    <x v="0"/>
  </r>
  <r>
    <s v="Priya Nair"/>
    <x v="0"/>
  </r>
  <r>
    <s v="Riya Choudhary"/>
    <x v="0"/>
  </r>
  <r>
    <s v="Arjun Rao"/>
    <x v="0"/>
  </r>
  <r>
    <s v="Yash Patil"/>
    <x v="0"/>
  </r>
  <r>
    <s v="Vikram Shah"/>
    <x v="0"/>
  </r>
  <r>
    <s v="Ishita Gupta"/>
    <x v="0"/>
  </r>
  <r>
    <s v="Divya Sinha"/>
    <x v="0"/>
  </r>
  <r>
    <s v="Nikhil Jain"/>
    <x v="0"/>
  </r>
  <r>
    <s v="Rahul Verma"/>
    <x v="0"/>
  </r>
  <r>
    <s v="Simran Kaur"/>
    <x v="0"/>
  </r>
  <r>
    <s v="Karan Singh"/>
    <x v="0"/>
  </r>
  <r>
    <s v="Kavya Reddy"/>
    <x v="0"/>
  </r>
  <r>
    <s v="Siddharth Das"/>
    <x v="0"/>
  </r>
  <r>
    <s v="Nandini Pillai"/>
    <x v="0"/>
  </r>
  <r>
    <s v="Aarav Sharma"/>
    <x v="0"/>
  </r>
  <r>
    <s v="Saurabh Mishra"/>
    <x v="0"/>
  </r>
  <r>
    <s v="Shreya Banerjee"/>
    <x v="0"/>
  </r>
  <r>
    <s v="Manish Bansal"/>
    <x v="0"/>
  </r>
  <r>
    <s v="Harsh Vora"/>
    <x v="0"/>
  </r>
  <r>
    <s v="Aditya Kulkarni"/>
    <x v="0"/>
  </r>
  <r>
    <s v="Meera Kapoor"/>
    <x v="0"/>
  </r>
  <r>
    <s v="Rohan Mehta"/>
    <x v="0"/>
  </r>
  <r>
    <s v="Abhishek Roy"/>
    <x v="0"/>
  </r>
  <r>
    <s v="Riya Choudhary"/>
    <x v="1"/>
  </r>
  <r>
    <s v="Sneha Joshi"/>
    <x v="1"/>
  </r>
  <r>
    <s v="Aarav Sharma"/>
    <x v="1"/>
  </r>
  <r>
    <s v="Abhishek Roy"/>
    <x v="1"/>
  </r>
  <r>
    <s v="Meera Kapoor"/>
    <x v="1"/>
  </r>
  <r>
    <s v="Kavya Reddy"/>
    <x v="1"/>
  </r>
  <r>
    <s v="Priya Nair"/>
    <x v="1"/>
  </r>
  <r>
    <s v="Shreya Banerjee"/>
    <x v="1"/>
  </r>
  <r>
    <s v="Aditi Shah"/>
    <x v="1"/>
  </r>
  <r>
    <s v="Ishita Gupta"/>
    <x v="1"/>
  </r>
  <r>
    <s v="Saurabh Mishra"/>
    <x v="1"/>
  </r>
  <r>
    <s v="Akash Menon"/>
    <x v="1"/>
  </r>
  <r>
    <s v="Arjun Rao"/>
    <x v="1"/>
  </r>
  <r>
    <s v="Aditya Kulkarni"/>
    <x v="1"/>
  </r>
  <r>
    <s v="Rohan Mehta"/>
    <x v="1"/>
  </r>
  <r>
    <s v="Rahul Verma"/>
    <x v="1"/>
  </r>
  <r>
    <s v="Simran Kaur"/>
    <x v="1"/>
  </r>
  <r>
    <s v="Nandini Pillai"/>
    <x v="1"/>
  </r>
  <r>
    <s v="Karan Singh"/>
    <x v="1"/>
  </r>
  <r>
    <s v="Harsh Vora"/>
    <x v="1"/>
  </r>
  <r>
    <s v="Divya Sinha"/>
    <x v="1"/>
  </r>
  <r>
    <s v="Pooja Iyer"/>
    <x v="1"/>
  </r>
  <r>
    <s v="Siddharth Das"/>
    <x v="1"/>
  </r>
  <r>
    <s v="Nikhil Jain"/>
    <x v="1"/>
  </r>
  <r>
    <s v="Vikram Shah"/>
    <x v="1"/>
  </r>
  <r>
    <s v="Manish Bansal"/>
    <x v="1"/>
  </r>
  <r>
    <s v="Neha Desai"/>
    <x v="1"/>
  </r>
  <r>
    <s v="Yash Patil"/>
    <x v="1"/>
  </r>
  <r>
    <s v="Tanvi Malhotra"/>
    <x v="1"/>
  </r>
  <r>
    <s v="Ananya Patel"/>
    <x v="1"/>
  </r>
  <r>
    <s v="Aditya Kulkarni"/>
    <x v="2"/>
  </r>
  <r>
    <s v="Nikhil Jain"/>
    <x v="2"/>
  </r>
  <r>
    <s v="Sneha Joshi"/>
    <x v="2"/>
  </r>
  <r>
    <s v="Ananya Patel"/>
    <x v="2"/>
  </r>
  <r>
    <s v="Siddharth Das"/>
    <x v="2"/>
  </r>
  <r>
    <s v="Manish Bansal"/>
    <x v="2"/>
  </r>
  <r>
    <s v="Saurabh Mishra"/>
    <x v="2"/>
  </r>
  <r>
    <s v="Karan Singh"/>
    <x v="2"/>
  </r>
  <r>
    <s v="Arjun Rao"/>
    <x v="2"/>
  </r>
  <r>
    <s v="Shreya Banerjee"/>
    <x v="2"/>
  </r>
  <r>
    <s v="Aarav Sharma"/>
    <x v="2"/>
  </r>
  <r>
    <s v="Pooja Iyer"/>
    <x v="2"/>
  </r>
  <r>
    <s v="Nandini Pillai"/>
    <x v="2"/>
  </r>
  <r>
    <s v="Akash Menon"/>
    <x v="2"/>
  </r>
  <r>
    <s v="Rahul Verma"/>
    <x v="2"/>
  </r>
  <r>
    <s v="Simran Kaur"/>
    <x v="2"/>
  </r>
  <r>
    <s v="Aditi Shah"/>
    <x v="2"/>
  </r>
  <r>
    <s v="Harsh Vora"/>
    <x v="2"/>
  </r>
  <r>
    <s v="Priya Nair"/>
    <x v="2"/>
  </r>
  <r>
    <s v="Riya Choudhary"/>
    <x v="2"/>
  </r>
  <r>
    <s v="Kavya Reddy"/>
    <x v="2"/>
  </r>
  <r>
    <s v="Ishita Gupta"/>
    <x v="2"/>
  </r>
  <r>
    <s v="Vikram Shah"/>
    <x v="2"/>
  </r>
  <r>
    <s v="Neha Desai"/>
    <x v="2"/>
  </r>
  <r>
    <s v="Meera Kapoor"/>
    <x v="2"/>
  </r>
  <r>
    <s v="Rohan Mehta"/>
    <x v="2"/>
  </r>
  <r>
    <s v="Tanvi Malhotra"/>
    <x v="2"/>
  </r>
  <r>
    <s v="Divya Sinha"/>
    <x v="2"/>
  </r>
  <r>
    <s v="Abhishek Roy"/>
    <x v="2"/>
  </r>
  <r>
    <s v="Yash Patil"/>
    <x v="2"/>
  </r>
  <r>
    <s v="Yash Patil"/>
    <x v="3"/>
  </r>
  <r>
    <s v="Priya Nair"/>
    <x v="3"/>
  </r>
  <r>
    <s v="Riya Choudhary"/>
    <x v="3"/>
  </r>
  <r>
    <s v="Simran Kaur"/>
    <x v="3"/>
  </r>
  <r>
    <s v="Rahul Verma"/>
    <x v="3"/>
  </r>
  <r>
    <s v="Nikhil Jain"/>
    <x v="3"/>
  </r>
  <r>
    <s v="Sneha Joshi"/>
    <x v="3"/>
  </r>
  <r>
    <s v="Pooja Iyer"/>
    <x v="3"/>
  </r>
  <r>
    <s v="Kavya Reddy"/>
    <x v="3"/>
  </r>
  <r>
    <s v="Karan Singh"/>
    <x v="3"/>
  </r>
  <r>
    <s v="Rohan Mehta"/>
    <x v="3"/>
  </r>
  <r>
    <s v="Arjun Rao"/>
    <x v="3"/>
  </r>
  <r>
    <s v="Aditya Kulkarni"/>
    <x v="3"/>
  </r>
  <r>
    <s v="Aarav Sharma"/>
    <x v="3"/>
  </r>
  <r>
    <s v="Ishita Gupta"/>
    <x v="3"/>
  </r>
  <r>
    <s v="Akash Menon"/>
    <x v="3"/>
  </r>
  <r>
    <s v="Meera Kapoor"/>
    <x v="3"/>
  </r>
  <r>
    <s v="Vikram Shah"/>
    <x v="3"/>
  </r>
  <r>
    <s v="Manish Bansal"/>
    <x v="3"/>
  </r>
  <r>
    <s v="Neha Desai"/>
    <x v="3"/>
  </r>
  <r>
    <s v="Divya Sinha"/>
    <x v="3"/>
  </r>
  <r>
    <s v="Siddharth Das"/>
    <x v="3"/>
  </r>
  <r>
    <s v="Ananya Patel"/>
    <x v="3"/>
  </r>
  <r>
    <s v="Saurabh Mishra"/>
    <x v="3"/>
  </r>
  <r>
    <s v="Tanvi Malhotra"/>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3-01-01T00:00:00"/>
    <x v="0"/>
    <x v="0"/>
    <x v="0"/>
    <x v="0"/>
    <x v="0"/>
    <s v="Portronics Power Bank 20000mAh"/>
    <n v="2239.42"/>
    <n v="1"/>
    <n v="274.45999999999998"/>
    <x v="0"/>
    <x v="0"/>
  </r>
  <r>
    <d v="2023-01-02T00:00:00"/>
    <x v="1"/>
    <x v="1"/>
    <x v="0"/>
    <x v="1"/>
    <x v="1"/>
    <s v="Lenovo IdeaPad Slim 5"/>
    <n v="195333.21"/>
    <n v="3"/>
    <n v="27390.05"/>
    <x v="0"/>
    <x v="0"/>
  </r>
  <r>
    <d v="2023-01-09T00:00:00"/>
    <x v="2"/>
    <x v="2"/>
    <x v="0"/>
    <x v="0"/>
    <x v="2"/>
    <s v="OnePlus 12"/>
    <n v="64459.17"/>
    <n v="1"/>
    <n v="6887.59"/>
    <x v="0"/>
    <x v="0"/>
  </r>
  <r>
    <d v="2023-01-10T00:00:00"/>
    <x v="3"/>
    <x v="1"/>
    <x v="0"/>
    <x v="2"/>
    <x v="3"/>
    <s v="Sony Bluetooth Soundbar"/>
    <n v="64756.639999999999"/>
    <n v="3"/>
    <n v="-666.26"/>
    <x v="0"/>
    <x v="0"/>
  </r>
  <r>
    <d v="2023-01-11T00:00:00"/>
    <x v="4"/>
    <x v="3"/>
    <x v="0"/>
    <x v="2"/>
    <x v="3"/>
    <s v="Sony Wireless Headphones"/>
    <n v="9516.91"/>
    <n v="1"/>
    <n v="1114.27"/>
    <x v="0"/>
    <x v="0"/>
  </r>
  <r>
    <d v="2023-01-11T00:00:00"/>
    <x v="5"/>
    <x v="1"/>
    <x v="0"/>
    <x v="1"/>
    <x v="1"/>
    <s v="Dell Inspiron 15 Laptop"/>
    <n v="106598.26"/>
    <n v="2"/>
    <n v="12983.61"/>
    <x v="0"/>
    <x v="0"/>
  </r>
  <r>
    <d v="2023-01-12T00:00:00"/>
    <x v="6"/>
    <x v="2"/>
    <x v="0"/>
    <x v="3"/>
    <x v="4"/>
    <s v="LG 7kg Fully Automatic Washing Machine"/>
    <n v="53015.28"/>
    <n v="2"/>
    <n v="6850.54"/>
    <x v="0"/>
    <x v="0"/>
  </r>
  <r>
    <d v="2023-01-13T00:00:00"/>
    <x v="7"/>
    <x v="4"/>
    <x v="0"/>
    <x v="1"/>
    <x v="5"/>
    <s v="Dell 27 inch Monitor"/>
    <n v="33768.82"/>
    <n v="2"/>
    <n v="2462.14"/>
    <x v="0"/>
    <x v="0"/>
  </r>
  <r>
    <d v="2023-01-14T00:00:00"/>
    <x v="0"/>
    <x v="2"/>
    <x v="0"/>
    <x v="4"/>
    <x v="6"/>
    <s v="Philips Air Purifier"/>
    <n v="25554.3"/>
    <n v="2"/>
    <n v="3298.27"/>
    <x v="0"/>
    <x v="0"/>
  </r>
  <r>
    <d v="2023-01-15T00:00:00"/>
    <x v="8"/>
    <x v="5"/>
    <x v="0"/>
    <x v="0"/>
    <x v="2"/>
    <s v="Samsung Galaxy S24"/>
    <n v="149801.93"/>
    <n v="2"/>
    <n v="17117.66"/>
    <x v="0"/>
    <x v="0"/>
  </r>
  <r>
    <d v="2023-01-15T00:00:00"/>
    <x v="9"/>
    <x v="6"/>
    <x v="0"/>
    <x v="3"/>
    <x v="7"/>
    <s v="Philips Air Fryer"/>
    <n v="7467.08"/>
    <n v="1"/>
    <n v="1346.94"/>
    <x v="0"/>
    <x v="0"/>
  </r>
  <r>
    <d v="2023-01-16T00:00:00"/>
    <x v="10"/>
    <x v="3"/>
    <x v="0"/>
    <x v="2"/>
    <x v="8"/>
    <s v="TCL 50 inch 4K Smart TV"/>
    <n v="124197.55"/>
    <n v="3"/>
    <n v="20228.66"/>
    <x v="0"/>
    <x v="0"/>
  </r>
  <r>
    <d v="2023-01-17T00:00:00"/>
    <x v="11"/>
    <x v="7"/>
    <x v="0"/>
    <x v="0"/>
    <x v="0"/>
    <s v="boAt Wireless Earphones"/>
    <n v="1669.71"/>
    <n v="1"/>
    <n v="111.15"/>
    <x v="0"/>
    <x v="0"/>
  </r>
  <r>
    <d v="2023-01-18T00:00:00"/>
    <x v="0"/>
    <x v="0"/>
    <x v="0"/>
    <x v="4"/>
    <x v="6"/>
    <s v="Philips Air Purifier"/>
    <n v="53023.03"/>
    <n v="4"/>
    <n v="8448.32"/>
    <x v="0"/>
    <x v="0"/>
  </r>
  <r>
    <d v="2023-01-18T00:00:00"/>
    <x v="7"/>
    <x v="8"/>
    <x v="0"/>
    <x v="1"/>
    <x v="1"/>
    <s v="ASUS Vivobook 15"/>
    <n v="47634.21"/>
    <n v="1"/>
    <n v="6947.07"/>
    <x v="0"/>
    <x v="0"/>
  </r>
  <r>
    <d v="2023-01-20T00:00:00"/>
    <x v="12"/>
    <x v="9"/>
    <x v="0"/>
    <x v="2"/>
    <x v="3"/>
    <s v="Sony Wireless Headphones"/>
    <n v="9105.7800000000007"/>
    <n v="1"/>
    <n v="1375.1"/>
    <x v="0"/>
    <x v="0"/>
  </r>
  <r>
    <d v="2023-01-20T00:00:00"/>
    <x v="6"/>
    <x v="10"/>
    <x v="0"/>
    <x v="3"/>
    <x v="9"/>
    <s v="Samsung 253L Refrigerator"/>
    <n v="87806.57"/>
    <n v="3"/>
    <n v="-5057.9399999999996"/>
    <x v="0"/>
    <x v="0"/>
  </r>
  <r>
    <d v="2023-01-20T00:00:00"/>
    <x v="13"/>
    <x v="11"/>
    <x v="0"/>
    <x v="1"/>
    <x v="1"/>
    <s v="Dell Inspiron 15 Laptop"/>
    <n v="97473.19"/>
    <n v="2"/>
    <n v="16269.35"/>
    <x v="0"/>
    <x v="0"/>
  </r>
  <r>
    <d v="2023-01-22T00:00:00"/>
    <x v="14"/>
    <x v="12"/>
    <x v="0"/>
    <x v="3"/>
    <x v="7"/>
    <s v="Philips Air Fryer"/>
    <n v="7480.28"/>
    <n v="1"/>
    <n v="1301.21"/>
    <x v="0"/>
    <x v="0"/>
  </r>
  <r>
    <d v="2023-01-24T00:00:00"/>
    <x v="8"/>
    <x v="13"/>
    <x v="0"/>
    <x v="0"/>
    <x v="0"/>
    <s v="JBL Bluetooth Earbuds"/>
    <n v="2764.31"/>
    <n v="1"/>
    <n v="278.74"/>
    <x v="0"/>
    <x v="0"/>
  </r>
  <r>
    <d v="2023-01-24T00:00:00"/>
    <x v="15"/>
    <x v="4"/>
    <x v="0"/>
    <x v="1"/>
    <x v="1"/>
    <s v="HP Pavilion 15 Laptop"/>
    <n v="119091.43"/>
    <n v="2"/>
    <n v="10238.49"/>
    <x v="0"/>
    <x v="0"/>
  </r>
  <r>
    <d v="2023-01-24T00:00:00"/>
    <x v="10"/>
    <x v="6"/>
    <x v="0"/>
    <x v="3"/>
    <x v="9"/>
    <s v="Samsung 253L Refrigerator"/>
    <n v="60302.62"/>
    <n v="2"/>
    <n v="8912.1"/>
    <x v="0"/>
    <x v="0"/>
  </r>
  <r>
    <d v="2023-01-25T00:00:00"/>
    <x v="16"/>
    <x v="2"/>
    <x v="0"/>
    <x v="1"/>
    <x v="1"/>
    <s v="ASUS Vivobook 15"/>
    <n v="148092.17000000001"/>
    <n v="3"/>
    <n v="15777.92"/>
    <x v="0"/>
    <x v="0"/>
  </r>
  <r>
    <d v="2023-01-26T00:00:00"/>
    <x v="17"/>
    <x v="10"/>
    <x v="0"/>
    <x v="1"/>
    <x v="5"/>
    <s v="Dell 27 inch Monitor"/>
    <n v="16069.64"/>
    <n v="1"/>
    <n v="1926.71"/>
    <x v="0"/>
    <x v="0"/>
  </r>
  <r>
    <d v="2023-01-27T00:00:00"/>
    <x v="8"/>
    <x v="8"/>
    <x v="0"/>
    <x v="3"/>
    <x v="10"/>
    <s v="LG 1.5 Ton 5 Star Split AC"/>
    <n v="42853.43"/>
    <n v="1"/>
    <n v="3824.12"/>
    <x v="0"/>
    <x v="0"/>
  </r>
  <r>
    <d v="2023-01-28T00:00:00"/>
    <x v="3"/>
    <x v="7"/>
    <x v="0"/>
    <x v="0"/>
    <x v="2"/>
    <s v="Samsung Galaxy A55"/>
    <n v="36507.81"/>
    <n v="1"/>
    <n v="2706.14"/>
    <x v="0"/>
    <x v="0"/>
  </r>
  <r>
    <d v="2023-01-29T00:00:00"/>
    <x v="18"/>
    <x v="12"/>
    <x v="0"/>
    <x v="0"/>
    <x v="2"/>
    <s v="Apple iPhone 15"/>
    <n v="68422.039999999994"/>
    <n v="1"/>
    <n v="9229.65"/>
    <x v="0"/>
    <x v="0"/>
  </r>
  <r>
    <d v="2023-01-29T00:00:00"/>
    <x v="19"/>
    <x v="14"/>
    <x v="0"/>
    <x v="2"/>
    <x v="3"/>
    <s v="JBL 5.1 Soundbar"/>
    <n v="126428.28"/>
    <n v="4"/>
    <n v="22423.07"/>
    <x v="0"/>
    <x v="0"/>
  </r>
  <r>
    <d v="2023-01-30T00:00:00"/>
    <x v="16"/>
    <x v="7"/>
    <x v="0"/>
    <x v="1"/>
    <x v="1"/>
    <s v="Lenovo IdeaPad Slim 5"/>
    <n v="185536.14"/>
    <n v="3"/>
    <n v="29087.58"/>
    <x v="0"/>
    <x v="0"/>
  </r>
  <r>
    <d v="2023-01-31T00:00:00"/>
    <x v="20"/>
    <x v="0"/>
    <x v="0"/>
    <x v="3"/>
    <x v="4"/>
    <s v="IFB 7kg Front Load Washing Machine"/>
    <n v="61644.09"/>
    <n v="2"/>
    <n v="6444.73"/>
    <x v="0"/>
    <x v="0"/>
  </r>
  <r>
    <d v="2023-02-01T00:00:00"/>
    <x v="15"/>
    <x v="6"/>
    <x v="0"/>
    <x v="1"/>
    <x v="1"/>
    <s v="Dell Inspiron 15 Laptop"/>
    <n v="167546.62"/>
    <n v="3"/>
    <n v="-4892.18"/>
    <x v="1"/>
    <x v="0"/>
  </r>
  <r>
    <d v="2023-02-02T00:00:00"/>
    <x v="5"/>
    <x v="0"/>
    <x v="0"/>
    <x v="0"/>
    <x v="2"/>
    <s v="Nothing Phone 2"/>
    <n v="44078.46"/>
    <n v="1"/>
    <n v="2896.85"/>
    <x v="1"/>
    <x v="0"/>
  </r>
  <r>
    <d v="2023-02-02T00:00:00"/>
    <x v="21"/>
    <x v="1"/>
    <x v="0"/>
    <x v="4"/>
    <x v="6"/>
    <s v="Eureka Forbes Vacuum Cleaner"/>
    <n v="10439.19"/>
    <n v="1"/>
    <n v="1826.89"/>
    <x v="1"/>
    <x v="0"/>
  </r>
  <r>
    <d v="2023-02-03T00:00:00"/>
    <x v="16"/>
    <x v="6"/>
    <x v="0"/>
    <x v="0"/>
    <x v="0"/>
    <s v="Samsung 25W Charger"/>
    <n v="2658.97"/>
    <n v="2"/>
    <n v="344.16"/>
    <x v="1"/>
    <x v="0"/>
  </r>
  <r>
    <d v="2023-02-03T00:00:00"/>
    <x v="15"/>
    <x v="1"/>
    <x v="0"/>
    <x v="4"/>
    <x v="6"/>
    <s v="Dyson V8 Vacuum Cleaner"/>
    <n v="32912.44"/>
    <n v="1"/>
    <n v="5041.45"/>
    <x v="1"/>
    <x v="0"/>
  </r>
  <r>
    <d v="2023-02-03T00:00:00"/>
    <x v="19"/>
    <x v="9"/>
    <x v="0"/>
    <x v="1"/>
    <x v="1"/>
    <s v="Lenovo IdeaPad Slim 5"/>
    <n v="326804.78000000003"/>
    <n v="5"/>
    <n v="33167.57"/>
    <x v="1"/>
    <x v="0"/>
  </r>
  <r>
    <d v="2023-02-09T00:00:00"/>
    <x v="12"/>
    <x v="2"/>
    <x v="0"/>
    <x v="4"/>
    <x v="11"/>
    <s v="Philips Hair Dryer"/>
    <n v="3904.06"/>
    <n v="2"/>
    <n v="-123.03"/>
    <x v="1"/>
    <x v="0"/>
  </r>
  <r>
    <d v="2023-02-09T00:00:00"/>
    <x v="2"/>
    <x v="12"/>
    <x v="0"/>
    <x v="2"/>
    <x v="3"/>
    <s v="Sony Wireless Headphones"/>
    <n v="8739.73"/>
    <n v="1"/>
    <n v="935.4"/>
    <x v="1"/>
    <x v="0"/>
  </r>
  <r>
    <d v="2023-02-11T00:00:00"/>
    <x v="22"/>
    <x v="9"/>
    <x v="0"/>
    <x v="0"/>
    <x v="2"/>
    <s v="Nothing Phone 2"/>
    <n v="44340.69"/>
    <n v="1"/>
    <n v="5550.79"/>
    <x v="1"/>
    <x v="0"/>
  </r>
  <r>
    <d v="2023-02-12T00:00:00"/>
    <x v="22"/>
    <x v="4"/>
    <x v="0"/>
    <x v="1"/>
    <x v="1"/>
    <s v="Dell Inspiron 15 Laptop"/>
    <n v="52072.14"/>
    <n v="1"/>
    <n v="8415.24"/>
    <x v="1"/>
    <x v="0"/>
  </r>
  <r>
    <d v="2023-02-12T00:00:00"/>
    <x v="23"/>
    <x v="14"/>
    <x v="0"/>
    <x v="2"/>
    <x v="3"/>
    <s v="Sony Wireless Headphones"/>
    <n v="8636.75"/>
    <n v="1"/>
    <n v="1255.8399999999999"/>
    <x v="1"/>
    <x v="0"/>
  </r>
  <r>
    <d v="2023-02-12T00:00:00"/>
    <x v="5"/>
    <x v="0"/>
    <x v="0"/>
    <x v="2"/>
    <x v="3"/>
    <s v="boAt Home Theatre System"/>
    <n v="11811.22"/>
    <n v="1"/>
    <n v="1638.99"/>
    <x v="1"/>
    <x v="0"/>
  </r>
  <r>
    <d v="2023-02-13T00:00:00"/>
    <x v="24"/>
    <x v="1"/>
    <x v="0"/>
    <x v="2"/>
    <x v="8"/>
    <s v="Samsung 55 inch 4K Smart TV"/>
    <n v="62039.24"/>
    <n v="1"/>
    <n v="6383.48"/>
    <x v="1"/>
    <x v="0"/>
  </r>
  <r>
    <d v="2023-02-13T00:00:00"/>
    <x v="3"/>
    <x v="6"/>
    <x v="0"/>
    <x v="1"/>
    <x v="1"/>
    <s v="Dell Inspiron 15 Laptop"/>
    <n v="170433.26"/>
    <n v="3"/>
    <n v="26073.18"/>
    <x v="1"/>
    <x v="0"/>
  </r>
  <r>
    <d v="2023-02-13T00:00:00"/>
    <x v="2"/>
    <x v="11"/>
    <x v="0"/>
    <x v="4"/>
    <x v="11"/>
    <s v="Philips Trimmer"/>
    <n v="2120.41"/>
    <n v="1"/>
    <n v="331.62"/>
    <x v="1"/>
    <x v="0"/>
  </r>
  <r>
    <d v="2023-02-14T00:00:00"/>
    <x v="5"/>
    <x v="5"/>
    <x v="0"/>
    <x v="1"/>
    <x v="1"/>
    <s v="Lenovo IdeaPad Slim 5"/>
    <n v="61061.04"/>
    <n v="1"/>
    <n v="9124.9"/>
    <x v="1"/>
    <x v="0"/>
  </r>
  <r>
    <d v="2023-02-14T00:00:00"/>
    <x v="5"/>
    <x v="9"/>
    <x v="0"/>
    <x v="2"/>
    <x v="8"/>
    <s v="OnePlus 43 inch 4K Smart TV"/>
    <n v="54094.04"/>
    <n v="2"/>
    <n v="6903.26"/>
    <x v="1"/>
    <x v="0"/>
  </r>
  <r>
    <d v="2023-02-16T00:00:00"/>
    <x v="17"/>
    <x v="14"/>
    <x v="0"/>
    <x v="4"/>
    <x v="11"/>
    <s v="Philips Hair Dryer"/>
    <n v="3458.01"/>
    <n v="2"/>
    <n v="611.49"/>
    <x v="1"/>
    <x v="0"/>
  </r>
  <r>
    <d v="2023-02-17T00:00:00"/>
    <x v="17"/>
    <x v="12"/>
    <x v="0"/>
    <x v="2"/>
    <x v="3"/>
    <s v="Sony Bluetooth Soundbar"/>
    <n v="70687.05"/>
    <n v="3"/>
    <n v="7472.88"/>
    <x v="1"/>
    <x v="0"/>
  </r>
  <r>
    <d v="2023-02-17T00:00:00"/>
    <x v="2"/>
    <x v="0"/>
    <x v="0"/>
    <x v="3"/>
    <x v="4"/>
    <s v="LG 7kg Fully Automatic Washing Machine"/>
    <n v="25566.6"/>
    <n v="1"/>
    <n v="3491.58"/>
    <x v="1"/>
    <x v="0"/>
  </r>
  <r>
    <d v="2023-02-18T00:00:00"/>
    <x v="1"/>
    <x v="14"/>
    <x v="0"/>
    <x v="3"/>
    <x v="4"/>
    <s v="Samsung 8kg Front Load Washing Machine"/>
    <n v="175453.44"/>
    <n v="5"/>
    <n v="30232.17"/>
    <x v="1"/>
    <x v="0"/>
  </r>
  <r>
    <d v="2023-02-18T00:00:00"/>
    <x v="12"/>
    <x v="10"/>
    <x v="0"/>
    <x v="2"/>
    <x v="8"/>
    <s v="LG 55 inch OLED Smart TV"/>
    <n v="190508.87"/>
    <n v="2"/>
    <n v="34218.33"/>
    <x v="1"/>
    <x v="0"/>
  </r>
  <r>
    <d v="2023-02-19T00:00:00"/>
    <x v="10"/>
    <x v="4"/>
    <x v="0"/>
    <x v="0"/>
    <x v="2"/>
    <s v="Apple iPhone 15"/>
    <n v="175981.84"/>
    <n v="3"/>
    <n v="16253.77"/>
    <x v="1"/>
    <x v="0"/>
  </r>
  <r>
    <d v="2023-02-20T00:00:00"/>
    <x v="25"/>
    <x v="1"/>
    <x v="0"/>
    <x v="3"/>
    <x v="7"/>
    <s v="Philips Air Fryer"/>
    <n v="34052.71"/>
    <n v="4"/>
    <n v="4700.8500000000004"/>
    <x v="1"/>
    <x v="0"/>
  </r>
  <r>
    <d v="2023-02-20T00:00:00"/>
    <x v="23"/>
    <x v="9"/>
    <x v="0"/>
    <x v="1"/>
    <x v="5"/>
    <s v="Logitech Wireless Mouse"/>
    <n v="1495.24"/>
    <n v="1"/>
    <n v="223"/>
    <x v="1"/>
    <x v="0"/>
  </r>
  <r>
    <d v="2023-02-21T00:00:00"/>
    <x v="4"/>
    <x v="8"/>
    <x v="0"/>
    <x v="4"/>
    <x v="11"/>
    <s v="Philips Hair Dryer"/>
    <n v="1825.04"/>
    <n v="1"/>
    <n v="405.79"/>
    <x v="1"/>
    <x v="0"/>
  </r>
  <r>
    <d v="2023-02-21T00:00:00"/>
    <x v="23"/>
    <x v="8"/>
    <x v="0"/>
    <x v="0"/>
    <x v="2"/>
    <s v="Samsung Galaxy A55"/>
    <n v="71979.520000000004"/>
    <n v="2"/>
    <n v="5247.5"/>
    <x v="1"/>
    <x v="0"/>
  </r>
  <r>
    <d v="2023-02-22T00:00:00"/>
    <x v="7"/>
    <x v="5"/>
    <x v="0"/>
    <x v="2"/>
    <x v="3"/>
    <s v="boAt Home Theatre System"/>
    <n v="48450.33"/>
    <n v="4"/>
    <n v="6699.16"/>
    <x v="1"/>
    <x v="0"/>
  </r>
  <r>
    <d v="2023-02-22T00:00:00"/>
    <x v="26"/>
    <x v="5"/>
    <x v="0"/>
    <x v="2"/>
    <x v="8"/>
    <s v="Sony 55 inch Bravia 4K TV"/>
    <n v="70905.41"/>
    <n v="1"/>
    <n v="11358.3"/>
    <x v="1"/>
    <x v="0"/>
  </r>
  <r>
    <d v="2023-02-23T00:00:00"/>
    <x v="6"/>
    <x v="2"/>
    <x v="0"/>
    <x v="1"/>
    <x v="1"/>
    <s v="Dell Inspiron 15 Laptop"/>
    <n v="50894.58"/>
    <n v="1"/>
    <n v="8252.75"/>
    <x v="1"/>
    <x v="0"/>
  </r>
  <r>
    <d v="2023-02-25T00:00:00"/>
    <x v="22"/>
    <x v="2"/>
    <x v="0"/>
    <x v="1"/>
    <x v="5"/>
    <s v="Logitech Wireless Keyboard"/>
    <n v="2052.8000000000002"/>
    <n v="1"/>
    <n v="-55.62"/>
    <x v="1"/>
    <x v="0"/>
  </r>
  <r>
    <d v="2023-02-26T00:00:00"/>
    <x v="7"/>
    <x v="2"/>
    <x v="0"/>
    <x v="1"/>
    <x v="1"/>
    <s v="Apple MacBook Air M2"/>
    <n v="380848.33"/>
    <n v="4"/>
    <n v="30787.88"/>
    <x v="1"/>
    <x v="0"/>
  </r>
  <r>
    <d v="2023-02-26T00:00:00"/>
    <x v="12"/>
    <x v="3"/>
    <x v="0"/>
    <x v="1"/>
    <x v="1"/>
    <s v="ASUS Vivobook 15"/>
    <n v="90298.46"/>
    <n v="2"/>
    <n v="12433.31"/>
    <x v="1"/>
    <x v="0"/>
  </r>
  <r>
    <d v="2023-02-26T00:00:00"/>
    <x v="0"/>
    <x v="6"/>
    <x v="0"/>
    <x v="1"/>
    <x v="5"/>
    <s v="Dell 27 inch Monitor"/>
    <n v="34998.42"/>
    <n v="2"/>
    <n v="-740.39"/>
    <x v="1"/>
    <x v="0"/>
  </r>
  <r>
    <d v="2023-02-26T00:00:00"/>
    <x v="22"/>
    <x v="11"/>
    <x v="0"/>
    <x v="2"/>
    <x v="3"/>
    <s v="JBL 5.1 Soundbar"/>
    <n v="33729.89"/>
    <n v="1"/>
    <n v="3729"/>
    <x v="1"/>
    <x v="0"/>
  </r>
  <r>
    <d v="2023-03-01T00:00:00"/>
    <x v="5"/>
    <x v="14"/>
    <x v="0"/>
    <x v="2"/>
    <x v="8"/>
    <s v="LG 55 inch OLED Smart TV"/>
    <n v="99080.02"/>
    <n v="1"/>
    <n v="11497"/>
    <x v="2"/>
    <x v="0"/>
  </r>
  <r>
    <d v="2023-03-02T00:00:00"/>
    <x v="17"/>
    <x v="6"/>
    <x v="0"/>
    <x v="3"/>
    <x v="10"/>
    <s v="Voltas 1.5 Ton Split AC"/>
    <n v="33990.769999999997"/>
    <n v="1"/>
    <n v="5071.3599999999997"/>
    <x v="2"/>
    <x v="0"/>
  </r>
  <r>
    <d v="2023-03-02T00:00:00"/>
    <x v="18"/>
    <x v="0"/>
    <x v="0"/>
    <x v="2"/>
    <x v="8"/>
    <s v="Sony 55 inch Bravia 4K TV"/>
    <n v="224820.38"/>
    <n v="3"/>
    <n v="19959.439999999999"/>
    <x v="2"/>
    <x v="0"/>
  </r>
  <r>
    <d v="2023-03-02T00:00:00"/>
    <x v="7"/>
    <x v="13"/>
    <x v="0"/>
    <x v="0"/>
    <x v="2"/>
    <s v="Google Pixel 8"/>
    <n v="99001.58"/>
    <n v="2"/>
    <n v="9349.41"/>
    <x v="2"/>
    <x v="0"/>
  </r>
  <r>
    <d v="2023-03-02T00:00:00"/>
    <x v="14"/>
    <x v="9"/>
    <x v="0"/>
    <x v="0"/>
    <x v="2"/>
    <s v="Apple iPhone 15"/>
    <n v="64846.43"/>
    <n v="1"/>
    <n v="8398.49"/>
    <x v="2"/>
    <x v="0"/>
  </r>
  <r>
    <d v="2023-03-02T00:00:00"/>
    <x v="10"/>
    <x v="2"/>
    <x v="0"/>
    <x v="3"/>
    <x v="9"/>
    <s v="Samsung 253L Refrigerator"/>
    <n v="26541.9"/>
    <n v="1"/>
    <n v="3951.57"/>
    <x v="2"/>
    <x v="0"/>
  </r>
  <r>
    <d v="2023-03-03T00:00:00"/>
    <x v="16"/>
    <x v="9"/>
    <x v="0"/>
    <x v="4"/>
    <x v="11"/>
    <s v="Philips Trimmer"/>
    <n v="9978.58"/>
    <n v="4"/>
    <n v="2129.9899999999998"/>
    <x v="2"/>
    <x v="0"/>
  </r>
  <r>
    <d v="2023-03-05T00:00:00"/>
    <x v="11"/>
    <x v="7"/>
    <x v="0"/>
    <x v="4"/>
    <x v="6"/>
    <s v="Eureka Forbes Vacuum Cleaner"/>
    <n v="11489.29"/>
    <n v="1"/>
    <n v="2186.67"/>
    <x v="2"/>
    <x v="0"/>
  </r>
  <r>
    <d v="2023-03-06T00:00:00"/>
    <x v="26"/>
    <x v="3"/>
    <x v="0"/>
    <x v="3"/>
    <x v="4"/>
    <s v="LG 7kg Fully Automatic Washing Machine"/>
    <n v="25641.21"/>
    <n v="1"/>
    <n v="3246.99"/>
    <x v="2"/>
    <x v="0"/>
  </r>
  <r>
    <d v="2023-03-06T00:00:00"/>
    <x v="27"/>
    <x v="2"/>
    <x v="0"/>
    <x v="0"/>
    <x v="0"/>
    <s v="boAt Wireless Earphones"/>
    <n v="1677.13"/>
    <n v="1"/>
    <n v="-82.12"/>
    <x v="2"/>
    <x v="0"/>
  </r>
  <r>
    <d v="2023-03-08T00:00:00"/>
    <x v="6"/>
    <x v="9"/>
    <x v="0"/>
    <x v="3"/>
    <x v="10"/>
    <s v="Daikin 1.5 Ton Inverter AC"/>
    <n v="49298.17"/>
    <n v="1"/>
    <n v="4758.43"/>
    <x v="2"/>
    <x v="0"/>
  </r>
  <r>
    <d v="2023-03-08T00:00:00"/>
    <x v="14"/>
    <x v="0"/>
    <x v="0"/>
    <x v="1"/>
    <x v="1"/>
    <s v="ASUS Vivobook 15"/>
    <n v="161484.26999999999"/>
    <n v="3"/>
    <n v="24414.63"/>
    <x v="2"/>
    <x v="0"/>
  </r>
  <r>
    <d v="2023-03-08T00:00:00"/>
    <x v="0"/>
    <x v="0"/>
    <x v="0"/>
    <x v="0"/>
    <x v="2"/>
    <s v="Samsung Galaxy A55"/>
    <n v="182578.38"/>
    <n v="5"/>
    <n v="11744.24"/>
    <x v="2"/>
    <x v="0"/>
  </r>
  <r>
    <d v="2023-03-09T00:00:00"/>
    <x v="5"/>
    <x v="2"/>
    <x v="0"/>
    <x v="1"/>
    <x v="1"/>
    <s v="Dell Inspiron 15 Laptop"/>
    <n v="102004.82"/>
    <n v="2"/>
    <n v="14410.34"/>
    <x v="2"/>
    <x v="0"/>
  </r>
  <r>
    <d v="2023-03-10T00:00:00"/>
    <x v="9"/>
    <x v="10"/>
    <x v="0"/>
    <x v="0"/>
    <x v="2"/>
    <s v="Apple iPhone 15"/>
    <n v="257359.13"/>
    <n v="4"/>
    <n v="22424.32"/>
    <x v="2"/>
    <x v="0"/>
  </r>
  <r>
    <d v="2023-03-11T00:00:00"/>
    <x v="17"/>
    <x v="13"/>
    <x v="0"/>
    <x v="0"/>
    <x v="0"/>
    <s v="Apple 20W USB-C Power Adapter"/>
    <n v="1827.91"/>
    <n v="1"/>
    <n v="165.06"/>
    <x v="2"/>
    <x v="0"/>
  </r>
  <r>
    <d v="2023-03-12T00:00:00"/>
    <x v="6"/>
    <x v="10"/>
    <x v="0"/>
    <x v="1"/>
    <x v="1"/>
    <s v="Lenovo IdeaPad Slim 5"/>
    <n v="296717.2"/>
    <n v="5"/>
    <n v="34961.68"/>
    <x v="2"/>
    <x v="0"/>
  </r>
  <r>
    <d v="2023-03-12T00:00:00"/>
    <x v="13"/>
    <x v="2"/>
    <x v="0"/>
    <x v="3"/>
    <x v="9"/>
    <s v="LG 260L Double Door Refrigerator"/>
    <n v="164524.76999999999"/>
    <n v="5"/>
    <n v="25691.48"/>
    <x v="2"/>
    <x v="0"/>
  </r>
  <r>
    <d v="2023-03-13T00:00:00"/>
    <x v="19"/>
    <x v="5"/>
    <x v="0"/>
    <x v="4"/>
    <x v="11"/>
    <s v="Philips Hair Dryer"/>
    <n v="7349.71"/>
    <n v="4"/>
    <n v="1711.52"/>
    <x v="2"/>
    <x v="0"/>
  </r>
  <r>
    <d v="2023-03-13T00:00:00"/>
    <x v="28"/>
    <x v="3"/>
    <x v="0"/>
    <x v="4"/>
    <x v="6"/>
    <s v="Dyson V8 Vacuum Cleaner"/>
    <n v="31855.38"/>
    <n v="1"/>
    <n v="-402.92"/>
    <x v="2"/>
    <x v="0"/>
  </r>
  <r>
    <d v="2023-03-14T00:00:00"/>
    <x v="24"/>
    <x v="13"/>
    <x v="0"/>
    <x v="4"/>
    <x v="11"/>
    <s v="Philips Trimmer"/>
    <n v="4797.95"/>
    <n v="2"/>
    <n v="838.92"/>
    <x v="2"/>
    <x v="0"/>
  </r>
  <r>
    <d v="2023-03-14T00:00:00"/>
    <x v="16"/>
    <x v="3"/>
    <x v="0"/>
    <x v="3"/>
    <x v="9"/>
    <s v="Whirlpool 265L Frost Free Refrigerator"/>
    <n v="29291.119999999999"/>
    <n v="1"/>
    <n v="4885.75"/>
    <x v="2"/>
    <x v="0"/>
  </r>
  <r>
    <d v="2023-03-14T00:00:00"/>
    <x v="6"/>
    <x v="3"/>
    <x v="0"/>
    <x v="1"/>
    <x v="1"/>
    <s v="Apple MacBook Air M2"/>
    <n v="191030.33"/>
    <n v="2"/>
    <n v="14977.67"/>
    <x v="2"/>
    <x v="0"/>
  </r>
  <r>
    <d v="2023-03-15T00:00:00"/>
    <x v="25"/>
    <x v="10"/>
    <x v="0"/>
    <x v="4"/>
    <x v="11"/>
    <s v="Philips Trimmer"/>
    <n v="2360.34"/>
    <n v="1"/>
    <n v="533.1"/>
    <x v="2"/>
    <x v="0"/>
  </r>
  <r>
    <d v="2023-03-15T00:00:00"/>
    <x v="18"/>
    <x v="1"/>
    <x v="0"/>
    <x v="0"/>
    <x v="2"/>
    <s v="Samsung Galaxy A55"/>
    <n v="141635.35999999999"/>
    <n v="4"/>
    <n v="19844.53"/>
    <x v="2"/>
    <x v="0"/>
  </r>
  <r>
    <d v="2023-03-17T00:00:00"/>
    <x v="4"/>
    <x v="10"/>
    <x v="0"/>
    <x v="4"/>
    <x v="11"/>
    <s v="Philips Hair Dryer"/>
    <n v="5287.15"/>
    <n v="3"/>
    <n v="791.49"/>
    <x v="2"/>
    <x v="0"/>
  </r>
  <r>
    <d v="2023-03-18T00:00:00"/>
    <x v="2"/>
    <x v="9"/>
    <x v="0"/>
    <x v="2"/>
    <x v="3"/>
    <s v="Sony Bluetooth Soundbar"/>
    <n v="73711.08"/>
    <n v="3"/>
    <n v="11192.75"/>
    <x v="2"/>
    <x v="0"/>
  </r>
  <r>
    <d v="2023-03-20T00:00:00"/>
    <x v="5"/>
    <x v="4"/>
    <x v="0"/>
    <x v="4"/>
    <x v="6"/>
    <s v="Philips Air Purifier"/>
    <n v="13496.8"/>
    <n v="1"/>
    <n v="1780.41"/>
    <x v="2"/>
    <x v="0"/>
  </r>
  <r>
    <d v="2023-03-21T00:00:00"/>
    <x v="9"/>
    <x v="2"/>
    <x v="0"/>
    <x v="1"/>
    <x v="1"/>
    <s v="HP Pavilion 15 Laptop"/>
    <n v="108435.78"/>
    <n v="2"/>
    <n v="-7288.73"/>
    <x v="2"/>
    <x v="0"/>
  </r>
  <r>
    <d v="2023-03-21T00:00:00"/>
    <x v="3"/>
    <x v="5"/>
    <x v="0"/>
    <x v="2"/>
    <x v="3"/>
    <s v="boAt Home Theatre System"/>
    <n v="22145.48"/>
    <n v="2"/>
    <n v="2700.06"/>
    <x v="2"/>
    <x v="0"/>
  </r>
  <r>
    <d v="2023-03-22T00:00:00"/>
    <x v="13"/>
    <x v="3"/>
    <x v="0"/>
    <x v="1"/>
    <x v="5"/>
    <s v="HP 24 inch Monitor"/>
    <n v="20908.240000000002"/>
    <n v="2"/>
    <n v="2085.4899999999998"/>
    <x v="2"/>
    <x v="0"/>
  </r>
  <r>
    <d v="2023-03-23T00:00:00"/>
    <x v="29"/>
    <x v="10"/>
    <x v="0"/>
    <x v="2"/>
    <x v="8"/>
    <s v="Samsung 55 inch 4K Smart TV"/>
    <n v="62936.480000000003"/>
    <n v="1"/>
    <n v="10540.05"/>
    <x v="2"/>
    <x v="0"/>
  </r>
  <r>
    <d v="2023-03-23T00:00:00"/>
    <x v="29"/>
    <x v="12"/>
    <x v="0"/>
    <x v="1"/>
    <x v="5"/>
    <s v="Logitech Wireless Keyboard"/>
    <n v="2066.31"/>
    <n v="1"/>
    <n v="317.38"/>
    <x v="2"/>
    <x v="0"/>
  </r>
  <r>
    <d v="2023-03-23T00:00:00"/>
    <x v="0"/>
    <x v="2"/>
    <x v="0"/>
    <x v="4"/>
    <x v="6"/>
    <s v="Dyson V8 Vacuum Cleaner"/>
    <n v="60603.360000000001"/>
    <n v="2"/>
    <n v="6216.21"/>
    <x v="2"/>
    <x v="0"/>
  </r>
  <r>
    <d v="2023-03-23T00:00:00"/>
    <x v="19"/>
    <x v="6"/>
    <x v="0"/>
    <x v="3"/>
    <x v="10"/>
    <s v="LG 1.5 Ton 5 Star Split AC"/>
    <n v="39055.050000000003"/>
    <n v="1"/>
    <n v="4730.6400000000003"/>
    <x v="2"/>
    <x v="0"/>
  </r>
  <r>
    <d v="2023-03-23T00:00:00"/>
    <x v="16"/>
    <x v="4"/>
    <x v="0"/>
    <x v="3"/>
    <x v="7"/>
    <s v="Philips Air Fryer"/>
    <n v="30727.3"/>
    <n v="4"/>
    <n v="4774.2299999999996"/>
    <x v="2"/>
    <x v="0"/>
  </r>
  <r>
    <d v="2023-03-24T00:00:00"/>
    <x v="26"/>
    <x v="7"/>
    <x v="0"/>
    <x v="1"/>
    <x v="1"/>
    <s v="HP Pavilion 15 Laptop"/>
    <n v="107322.93"/>
    <n v="2"/>
    <n v="-3318.3"/>
    <x v="2"/>
    <x v="0"/>
  </r>
  <r>
    <d v="2023-03-24T00:00:00"/>
    <x v="11"/>
    <x v="12"/>
    <x v="0"/>
    <x v="3"/>
    <x v="10"/>
    <s v="LG 1.5 Ton 5 Star Split AC"/>
    <n v="43378.52"/>
    <n v="1"/>
    <n v="5965.21"/>
    <x v="2"/>
    <x v="0"/>
  </r>
  <r>
    <d v="2023-03-24T00:00:00"/>
    <x v="20"/>
    <x v="2"/>
    <x v="0"/>
    <x v="2"/>
    <x v="8"/>
    <s v="TCL 50 inch 4K Smart TV"/>
    <n v="40905.629999999997"/>
    <n v="1"/>
    <n v="5634.7"/>
    <x v="2"/>
    <x v="0"/>
  </r>
  <r>
    <d v="2023-03-25T00:00:00"/>
    <x v="14"/>
    <x v="10"/>
    <x v="0"/>
    <x v="4"/>
    <x v="6"/>
    <s v="Dyson V8 Vacuum Cleaner"/>
    <n v="59325.48"/>
    <n v="2"/>
    <n v="13132.47"/>
    <x v="2"/>
    <x v="0"/>
  </r>
  <r>
    <d v="2023-03-26T00:00:00"/>
    <x v="16"/>
    <x v="1"/>
    <x v="0"/>
    <x v="3"/>
    <x v="10"/>
    <s v="LG 1.5 Ton 5 Star Split AC"/>
    <n v="84453.28"/>
    <n v="2"/>
    <n v="15366.2"/>
    <x v="2"/>
    <x v="0"/>
  </r>
  <r>
    <d v="2023-03-26T00:00:00"/>
    <x v="25"/>
    <x v="7"/>
    <x v="0"/>
    <x v="0"/>
    <x v="2"/>
    <s v="Apple iPhone 15"/>
    <n v="240795.99"/>
    <n v="4"/>
    <n v="20183.29"/>
    <x v="2"/>
    <x v="0"/>
  </r>
  <r>
    <d v="2023-03-27T00:00:00"/>
    <x v="22"/>
    <x v="13"/>
    <x v="0"/>
    <x v="3"/>
    <x v="4"/>
    <s v="Samsung 8kg Front Load Washing Machine"/>
    <n v="34014.980000000003"/>
    <n v="1"/>
    <n v="5788.04"/>
    <x v="2"/>
    <x v="0"/>
  </r>
  <r>
    <d v="2023-03-28T00:00:00"/>
    <x v="23"/>
    <x v="8"/>
    <x v="0"/>
    <x v="1"/>
    <x v="5"/>
    <s v="Dell 27 inch Monitor"/>
    <n v="47935.83"/>
    <n v="3"/>
    <n v="6109.51"/>
    <x v="2"/>
    <x v="0"/>
  </r>
  <r>
    <d v="2023-03-29T00:00:00"/>
    <x v="8"/>
    <x v="14"/>
    <x v="0"/>
    <x v="4"/>
    <x v="6"/>
    <s v="Dyson V8 Vacuum Cleaner"/>
    <n v="32126.560000000001"/>
    <n v="1"/>
    <n v="3421.52"/>
    <x v="2"/>
    <x v="0"/>
  </r>
  <r>
    <d v="2023-03-31T00:00:00"/>
    <x v="2"/>
    <x v="2"/>
    <x v="0"/>
    <x v="2"/>
    <x v="3"/>
    <s v="Sony Bluetooth Soundbar"/>
    <n v="96948.1"/>
    <n v="4"/>
    <n v="17026.759999999998"/>
    <x v="2"/>
    <x v="0"/>
  </r>
  <r>
    <d v="2023-03-31T00:00:00"/>
    <x v="29"/>
    <x v="13"/>
    <x v="0"/>
    <x v="2"/>
    <x v="8"/>
    <s v="Sony 55 inch Bravia 4K TV"/>
    <n v="307380.32"/>
    <n v="4"/>
    <n v="34311.08"/>
    <x v="2"/>
    <x v="0"/>
  </r>
  <r>
    <d v="2023-03-31T00:00:00"/>
    <x v="0"/>
    <x v="2"/>
    <x v="0"/>
    <x v="2"/>
    <x v="3"/>
    <s v="boAt Home Theatre System"/>
    <n v="25685.66"/>
    <n v="2"/>
    <n v="3921.01"/>
    <x v="2"/>
    <x v="0"/>
  </r>
  <r>
    <d v="2023-03-31T00:00:00"/>
    <x v="11"/>
    <x v="14"/>
    <x v="0"/>
    <x v="0"/>
    <x v="0"/>
    <s v="Samsung 25W Charger"/>
    <n v="5348.82"/>
    <n v="4"/>
    <n v="-349.9"/>
    <x v="2"/>
    <x v="0"/>
  </r>
  <r>
    <d v="2023-04-01T00:00:00"/>
    <x v="24"/>
    <x v="4"/>
    <x v="0"/>
    <x v="3"/>
    <x v="10"/>
    <s v="Daikin 1.5 Ton Inverter AC"/>
    <n v="49102.720000000001"/>
    <n v="1"/>
    <n v="5236.32"/>
    <x v="3"/>
    <x v="0"/>
  </r>
  <r>
    <d v="2023-04-01T00:00:00"/>
    <x v="3"/>
    <x v="8"/>
    <x v="0"/>
    <x v="4"/>
    <x v="11"/>
    <s v="Philips Trimmer"/>
    <n v="4566.83"/>
    <n v="2"/>
    <n v="966.9"/>
    <x v="3"/>
    <x v="0"/>
  </r>
  <r>
    <d v="2023-04-01T00:00:00"/>
    <x v="3"/>
    <x v="9"/>
    <x v="0"/>
    <x v="1"/>
    <x v="5"/>
    <s v="TP-Link Wi-Fi Router"/>
    <n v="10367.1"/>
    <n v="4"/>
    <n v="1048.31"/>
    <x v="3"/>
    <x v="0"/>
  </r>
  <r>
    <d v="2023-04-03T00:00:00"/>
    <x v="9"/>
    <x v="11"/>
    <x v="0"/>
    <x v="4"/>
    <x v="11"/>
    <s v="Philips Trimmer"/>
    <n v="4931.8500000000004"/>
    <n v="2"/>
    <n v="841.35"/>
    <x v="3"/>
    <x v="0"/>
  </r>
  <r>
    <d v="2023-04-03T00:00:00"/>
    <x v="11"/>
    <x v="7"/>
    <x v="0"/>
    <x v="2"/>
    <x v="8"/>
    <s v="OnePlus 43 inch 4K Smart TV"/>
    <n v="27198.53"/>
    <n v="1"/>
    <n v="2557.2600000000002"/>
    <x v="3"/>
    <x v="0"/>
  </r>
  <r>
    <d v="2023-04-04T00:00:00"/>
    <x v="2"/>
    <x v="0"/>
    <x v="0"/>
    <x v="3"/>
    <x v="10"/>
    <s v="Daikin 1.5 Ton Inverter AC"/>
    <n v="123097.62"/>
    <n v="3"/>
    <n v="14910.56"/>
    <x v="3"/>
    <x v="0"/>
  </r>
  <r>
    <d v="2023-04-04T00:00:00"/>
    <x v="21"/>
    <x v="7"/>
    <x v="0"/>
    <x v="2"/>
    <x v="8"/>
    <s v="Sony 55 inch Bravia 4K TV"/>
    <n v="78293.759999999995"/>
    <n v="1"/>
    <n v="11131.86"/>
    <x v="3"/>
    <x v="0"/>
  </r>
  <r>
    <d v="2023-04-04T00:00:00"/>
    <x v="4"/>
    <x v="11"/>
    <x v="0"/>
    <x v="2"/>
    <x v="8"/>
    <s v="Samsung 55 inch 4K Smart TV"/>
    <n v="64464.99"/>
    <n v="1"/>
    <n v="6978.95"/>
    <x v="3"/>
    <x v="0"/>
  </r>
  <r>
    <d v="2023-04-08T00:00:00"/>
    <x v="23"/>
    <x v="4"/>
    <x v="0"/>
    <x v="1"/>
    <x v="5"/>
    <s v="Logitech Wireless Keyboard"/>
    <n v="6907.35"/>
    <n v="3"/>
    <n v="759.82"/>
    <x v="3"/>
    <x v="0"/>
  </r>
  <r>
    <d v="2023-04-11T00:00:00"/>
    <x v="20"/>
    <x v="5"/>
    <x v="0"/>
    <x v="3"/>
    <x v="10"/>
    <s v="LG 1.5 Ton 5 Star Split AC"/>
    <n v="84273.67"/>
    <n v="2"/>
    <n v="13179.91"/>
    <x v="3"/>
    <x v="0"/>
  </r>
  <r>
    <d v="2023-04-11T00:00:00"/>
    <x v="7"/>
    <x v="12"/>
    <x v="0"/>
    <x v="2"/>
    <x v="8"/>
    <s v="Sony 55 inch Bravia 4K TV"/>
    <n v="148822.17000000001"/>
    <n v="2"/>
    <n v="20760.23"/>
    <x v="3"/>
    <x v="0"/>
  </r>
  <r>
    <d v="2023-04-11T00:00:00"/>
    <x v="9"/>
    <x v="0"/>
    <x v="0"/>
    <x v="3"/>
    <x v="7"/>
    <s v="Morphy Richards OTG"/>
    <n v="7315.26"/>
    <n v="1"/>
    <n v="-201.85"/>
    <x v="3"/>
    <x v="0"/>
  </r>
  <r>
    <d v="2023-04-13T00:00:00"/>
    <x v="7"/>
    <x v="7"/>
    <x v="0"/>
    <x v="2"/>
    <x v="8"/>
    <s v="Sony 55 inch Bravia 4K TV"/>
    <n v="74636.69"/>
    <n v="1"/>
    <n v="9150.42"/>
    <x v="3"/>
    <x v="0"/>
  </r>
  <r>
    <d v="2023-04-13T00:00:00"/>
    <x v="10"/>
    <x v="14"/>
    <x v="0"/>
    <x v="0"/>
    <x v="2"/>
    <s v="Apple iPhone 15"/>
    <n v="69450.97"/>
    <n v="1"/>
    <n v="5830.83"/>
    <x v="3"/>
    <x v="0"/>
  </r>
  <r>
    <d v="2023-04-16T00:00:00"/>
    <x v="15"/>
    <x v="7"/>
    <x v="0"/>
    <x v="3"/>
    <x v="9"/>
    <s v="LG 260L Double Door Refrigerator"/>
    <n v="32550.09"/>
    <n v="1"/>
    <n v="-665.45"/>
    <x v="3"/>
    <x v="0"/>
  </r>
  <r>
    <d v="2023-04-16T00:00:00"/>
    <x v="10"/>
    <x v="14"/>
    <x v="0"/>
    <x v="2"/>
    <x v="8"/>
    <s v="Samsung 55 inch 4K Smart TV"/>
    <n v="124038.67"/>
    <n v="2"/>
    <n v="21982.36"/>
    <x v="3"/>
    <x v="0"/>
  </r>
  <r>
    <d v="2023-04-16T00:00:00"/>
    <x v="4"/>
    <x v="2"/>
    <x v="0"/>
    <x v="4"/>
    <x v="6"/>
    <s v="Eureka Forbes Vacuum Cleaner"/>
    <n v="44623.12"/>
    <n v="4"/>
    <n v="9011"/>
    <x v="3"/>
    <x v="0"/>
  </r>
  <r>
    <d v="2023-04-17T00:00:00"/>
    <x v="23"/>
    <x v="10"/>
    <x v="0"/>
    <x v="3"/>
    <x v="7"/>
    <s v="Prestige Induction Cooktop"/>
    <n v="2719.21"/>
    <n v="1"/>
    <n v="379.25"/>
    <x v="3"/>
    <x v="0"/>
  </r>
  <r>
    <d v="2023-04-17T00:00:00"/>
    <x v="11"/>
    <x v="1"/>
    <x v="0"/>
    <x v="3"/>
    <x v="7"/>
    <s v="Morphy Richards OTG"/>
    <n v="6823.58"/>
    <n v="1"/>
    <n v="641.92999999999995"/>
    <x v="3"/>
    <x v="0"/>
  </r>
  <r>
    <d v="2023-04-18T00:00:00"/>
    <x v="15"/>
    <x v="2"/>
    <x v="0"/>
    <x v="0"/>
    <x v="2"/>
    <s v="Apple iPhone 15"/>
    <n v="275823.28000000003"/>
    <n v="4"/>
    <n v="24724.69"/>
    <x v="3"/>
    <x v="0"/>
  </r>
  <r>
    <d v="2023-04-19T00:00:00"/>
    <x v="12"/>
    <x v="0"/>
    <x v="0"/>
    <x v="0"/>
    <x v="0"/>
    <s v="JBL Bluetooth Earbuds"/>
    <n v="5997.31"/>
    <n v="2"/>
    <n v="495.55"/>
    <x v="3"/>
    <x v="0"/>
  </r>
  <r>
    <d v="2023-04-21T00:00:00"/>
    <x v="8"/>
    <x v="4"/>
    <x v="0"/>
    <x v="0"/>
    <x v="2"/>
    <s v="Google Pixel 8"/>
    <n v="102705.49"/>
    <n v="2"/>
    <n v="7172.36"/>
    <x v="3"/>
    <x v="0"/>
  </r>
  <r>
    <d v="2023-04-21T00:00:00"/>
    <x v="21"/>
    <x v="13"/>
    <x v="0"/>
    <x v="1"/>
    <x v="1"/>
    <s v="Apple MacBook Air M2"/>
    <n v="253510.63"/>
    <n v="3"/>
    <n v="28977.88"/>
    <x v="3"/>
    <x v="0"/>
  </r>
  <r>
    <d v="2023-04-21T00:00:00"/>
    <x v="21"/>
    <x v="6"/>
    <x v="0"/>
    <x v="3"/>
    <x v="9"/>
    <s v="LG 260L Double Door Refrigerator"/>
    <n v="32067.95"/>
    <n v="1"/>
    <n v="5085.33"/>
    <x v="3"/>
    <x v="0"/>
  </r>
  <r>
    <d v="2023-04-21T00:00:00"/>
    <x v="20"/>
    <x v="2"/>
    <x v="0"/>
    <x v="2"/>
    <x v="8"/>
    <s v="OnePlus 43 inch 4K Smart TV"/>
    <n v="81549.440000000002"/>
    <n v="3"/>
    <n v="8020.76"/>
    <x v="3"/>
    <x v="0"/>
  </r>
  <r>
    <d v="2023-04-21T00:00:00"/>
    <x v="23"/>
    <x v="2"/>
    <x v="0"/>
    <x v="1"/>
    <x v="5"/>
    <s v="Logitech Wireless Mouse"/>
    <n v="2759.54"/>
    <n v="2"/>
    <n v="326.3"/>
    <x v="3"/>
    <x v="0"/>
  </r>
  <r>
    <d v="2023-04-21T00:00:00"/>
    <x v="26"/>
    <x v="7"/>
    <x v="0"/>
    <x v="0"/>
    <x v="0"/>
    <s v="JBL Bluetooth Earbuds"/>
    <n v="2903.93"/>
    <n v="1"/>
    <n v="211.28"/>
    <x v="3"/>
    <x v="0"/>
  </r>
  <r>
    <d v="2023-04-22T00:00:00"/>
    <x v="26"/>
    <x v="1"/>
    <x v="0"/>
    <x v="1"/>
    <x v="5"/>
    <s v="Dell 27 inch Monitor"/>
    <n v="54882.59"/>
    <n v="3"/>
    <n v="6856.04"/>
    <x v="3"/>
    <x v="0"/>
  </r>
  <r>
    <d v="2023-04-22T00:00:00"/>
    <x v="4"/>
    <x v="2"/>
    <x v="0"/>
    <x v="2"/>
    <x v="3"/>
    <s v="Sony Wireless Headphones"/>
    <n v="9091.65"/>
    <n v="1"/>
    <n v="1267.31"/>
    <x v="3"/>
    <x v="0"/>
  </r>
  <r>
    <d v="2023-04-22T00:00:00"/>
    <x v="21"/>
    <x v="4"/>
    <x v="0"/>
    <x v="2"/>
    <x v="3"/>
    <s v="Sony Wireless Headphones"/>
    <n v="29566.13"/>
    <n v="3"/>
    <n v="3818.9"/>
    <x v="3"/>
    <x v="0"/>
  </r>
  <r>
    <d v="2023-04-22T00:00:00"/>
    <x v="23"/>
    <x v="6"/>
    <x v="0"/>
    <x v="4"/>
    <x v="6"/>
    <s v="Philips Air Purifier"/>
    <n v="28411.52"/>
    <n v="2"/>
    <n v="3109.09"/>
    <x v="3"/>
    <x v="0"/>
  </r>
  <r>
    <d v="2023-04-22T00:00:00"/>
    <x v="1"/>
    <x v="2"/>
    <x v="0"/>
    <x v="2"/>
    <x v="3"/>
    <s v="Sony Wireless Headphones"/>
    <n v="8266.4500000000007"/>
    <n v="1"/>
    <n v="961.27"/>
    <x v="3"/>
    <x v="0"/>
  </r>
  <r>
    <d v="2023-04-22T00:00:00"/>
    <x v="28"/>
    <x v="11"/>
    <x v="0"/>
    <x v="1"/>
    <x v="1"/>
    <s v="Lenovo IdeaPad Slim 5"/>
    <n v="115861.86"/>
    <n v="2"/>
    <n v="14661.66"/>
    <x v="3"/>
    <x v="0"/>
  </r>
  <r>
    <d v="2023-04-23T00:00:00"/>
    <x v="2"/>
    <x v="4"/>
    <x v="0"/>
    <x v="2"/>
    <x v="8"/>
    <s v="Samsung 55 inch 4K Smart TV"/>
    <n v="122304.74"/>
    <n v="2"/>
    <n v="11788.13"/>
    <x v="3"/>
    <x v="0"/>
  </r>
  <r>
    <d v="2023-04-23T00:00:00"/>
    <x v="10"/>
    <x v="10"/>
    <x v="0"/>
    <x v="0"/>
    <x v="2"/>
    <s v="Apple iPhone 15"/>
    <n v="118712.2"/>
    <n v="2"/>
    <n v="10311.31"/>
    <x v="3"/>
    <x v="0"/>
  </r>
  <r>
    <d v="2023-04-25T00:00:00"/>
    <x v="20"/>
    <x v="6"/>
    <x v="0"/>
    <x v="1"/>
    <x v="5"/>
    <s v="Dell 27 inch Monitor"/>
    <n v="16023.58"/>
    <n v="1"/>
    <n v="2515.36"/>
    <x v="3"/>
    <x v="0"/>
  </r>
  <r>
    <d v="2023-04-25T00:00:00"/>
    <x v="12"/>
    <x v="1"/>
    <x v="0"/>
    <x v="1"/>
    <x v="1"/>
    <s v="Lenovo IdeaPad Slim 5"/>
    <n v="124357.28"/>
    <n v="2"/>
    <n v="11768.51"/>
    <x v="3"/>
    <x v="0"/>
  </r>
  <r>
    <d v="2023-04-26T00:00:00"/>
    <x v="16"/>
    <x v="1"/>
    <x v="0"/>
    <x v="0"/>
    <x v="0"/>
    <s v="boAt Wireless Earphones"/>
    <n v="1780.58"/>
    <n v="1"/>
    <n v="240.12"/>
    <x v="3"/>
    <x v="0"/>
  </r>
  <r>
    <d v="2023-04-26T00:00:00"/>
    <x v="11"/>
    <x v="1"/>
    <x v="0"/>
    <x v="1"/>
    <x v="1"/>
    <s v="Apple MacBook Air M2"/>
    <n v="89228.56"/>
    <n v="1"/>
    <n v="12246.9"/>
    <x v="3"/>
    <x v="0"/>
  </r>
  <r>
    <d v="2023-04-26T00:00:00"/>
    <x v="9"/>
    <x v="12"/>
    <x v="0"/>
    <x v="2"/>
    <x v="3"/>
    <s v="Sony Bluetooth Soundbar"/>
    <n v="22168.67"/>
    <n v="1"/>
    <n v="2518.11"/>
    <x v="3"/>
    <x v="0"/>
  </r>
  <r>
    <d v="2023-04-27T00:00:00"/>
    <x v="4"/>
    <x v="3"/>
    <x v="0"/>
    <x v="4"/>
    <x v="6"/>
    <s v="Philips Air Purifier"/>
    <n v="56857.95"/>
    <n v="4"/>
    <n v="13573.4"/>
    <x v="3"/>
    <x v="0"/>
  </r>
  <r>
    <d v="2023-04-27T00:00:00"/>
    <x v="7"/>
    <x v="4"/>
    <x v="0"/>
    <x v="0"/>
    <x v="0"/>
    <s v="Portronics Power Bank 20000mAh"/>
    <n v="4441.5"/>
    <n v="2"/>
    <n v="334.41"/>
    <x v="3"/>
    <x v="0"/>
  </r>
  <r>
    <d v="2023-04-28T00:00:00"/>
    <x v="0"/>
    <x v="1"/>
    <x v="0"/>
    <x v="4"/>
    <x v="11"/>
    <s v="Philips Trimmer"/>
    <n v="2059.75"/>
    <n v="1"/>
    <n v="390.69"/>
    <x v="3"/>
    <x v="0"/>
  </r>
  <r>
    <d v="2023-04-28T00:00:00"/>
    <x v="16"/>
    <x v="1"/>
    <x v="0"/>
    <x v="0"/>
    <x v="2"/>
    <s v="OnePlus 12"/>
    <n v="180575.99"/>
    <n v="3"/>
    <n v="13386.67"/>
    <x v="3"/>
    <x v="0"/>
  </r>
  <r>
    <d v="2023-04-30T00:00:00"/>
    <x v="4"/>
    <x v="8"/>
    <x v="0"/>
    <x v="4"/>
    <x v="6"/>
    <s v="Philips Air Purifier"/>
    <n v="61810.04"/>
    <n v="5"/>
    <n v="7047.51"/>
    <x v="3"/>
    <x v="0"/>
  </r>
  <r>
    <d v="2023-04-30T00:00:00"/>
    <x v="25"/>
    <x v="5"/>
    <x v="0"/>
    <x v="1"/>
    <x v="1"/>
    <s v="HP Pavilion 15 Laptop"/>
    <n v="192234.89"/>
    <n v="3"/>
    <n v="17606.79"/>
    <x v="3"/>
    <x v="0"/>
  </r>
  <r>
    <d v="2023-05-02T00:00:00"/>
    <x v="21"/>
    <x v="9"/>
    <x v="0"/>
    <x v="4"/>
    <x v="11"/>
    <s v="Philips Hair Dryer"/>
    <n v="5067.9399999999996"/>
    <n v="3"/>
    <n v="1188.32"/>
    <x v="4"/>
    <x v="0"/>
  </r>
  <r>
    <d v="2023-05-03T00:00:00"/>
    <x v="3"/>
    <x v="10"/>
    <x v="0"/>
    <x v="2"/>
    <x v="8"/>
    <s v="LG 55 inch OLED Smart TV"/>
    <n v="188578.52"/>
    <n v="2"/>
    <n v="25615.57"/>
    <x v="4"/>
    <x v="0"/>
  </r>
  <r>
    <d v="2023-05-03T00:00:00"/>
    <x v="2"/>
    <x v="6"/>
    <x v="0"/>
    <x v="3"/>
    <x v="9"/>
    <s v="Samsung 253L Refrigerator"/>
    <n v="26649.9"/>
    <n v="1"/>
    <n v="4144.38"/>
    <x v="4"/>
    <x v="0"/>
  </r>
  <r>
    <d v="2023-05-04T00:00:00"/>
    <x v="15"/>
    <x v="7"/>
    <x v="0"/>
    <x v="1"/>
    <x v="1"/>
    <s v="ASUS Vivobook 15"/>
    <n v="45295.49"/>
    <n v="1"/>
    <n v="4079.62"/>
    <x v="4"/>
    <x v="0"/>
  </r>
  <r>
    <d v="2023-05-05T00:00:00"/>
    <x v="13"/>
    <x v="10"/>
    <x v="0"/>
    <x v="0"/>
    <x v="2"/>
    <s v="Samsung Galaxy A55"/>
    <n v="33379.58"/>
    <n v="1"/>
    <n v="-1520.37"/>
    <x v="4"/>
    <x v="0"/>
  </r>
  <r>
    <d v="2023-05-05T00:00:00"/>
    <x v="7"/>
    <x v="13"/>
    <x v="0"/>
    <x v="4"/>
    <x v="11"/>
    <s v="Braun Electric Shaver"/>
    <n v="5843.34"/>
    <n v="1"/>
    <n v="1190.05"/>
    <x v="4"/>
    <x v="0"/>
  </r>
  <r>
    <d v="2023-05-05T00:00:00"/>
    <x v="13"/>
    <x v="2"/>
    <x v="0"/>
    <x v="2"/>
    <x v="3"/>
    <s v="JBL 5.1 Soundbar"/>
    <n v="96977.75"/>
    <n v="3"/>
    <n v="-2741.48"/>
    <x v="4"/>
    <x v="0"/>
  </r>
  <r>
    <d v="2023-05-06T00:00:00"/>
    <x v="28"/>
    <x v="14"/>
    <x v="0"/>
    <x v="2"/>
    <x v="8"/>
    <s v="LG 55 inch OLED Smart TV"/>
    <n v="183674.55"/>
    <n v="2"/>
    <n v="20048.14"/>
    <x v="4"/>
    <x v="0"/>
  </r>
  <r>
    <d v="2023-05-07T00:00:00"/>
    <x v="6"/>
    <x v="0"/>
    <x v="0"/>
    <x v="0"/>
    <x v="2"/>
    <s v="Nothing Phone 2"/>
    <n v="38815.99"/>
    <n v="1"/>
    <n v="4447.8500000000004"/>
    <x v="4"/>
    <x v="0"/>
  </r>
  <r>
    <d v="2023-05-09T00:00:00"/>
    <x v="7"/>
    <x v="7"/>
    <x v="0"/>
    <x v="3"/>
    <x v="9"/>
    <s v="Whirlpool 265L Frost Free Refrigerator"/>
    <n v="57367.94"/>
    <n v="2"/>
    <n v="5577.84"/>
    <x v="4"/>
    <x v="0"/>
  </r>
  <r>
    <d v="2023-05-09T00:00:00"/>
    <x v="21"/>
    <x v="7"/>
    <x v="0"/>
    <x v="2"/>
    <x v="3"/>
    <s v="Sony Wireless Headphones"/>
    <n v="17621.62"/>
    <n v="2"/>
    <n v="2796.24"/>
    <x v="4"/>
    <x v="0"/>
  </r>
  <r>
    <d v="2023-05-11T00:00:00"/>
    <x v="18"/>
    <x v="11"/>
    <x v="0"/>
    <x v="0"/>
    <x v="0"/>
    <s v="Apple 20W USB-C Power Adapter"/>
    <n v="1934.24"/>
    <n v="1"/>
    <n v="139.63"/>
    <x v="4"/>
    <x v="0"/>
  </r>
  <r>
    <d v="2023-05-11T00:00:00"/>
    <x v="15"/>
    <x v="2"/>
    <x v="0"/>
    <x v="3"/>
    <x v="7"/>
    <s v="Philips Air Fryer"/>
    <n v="14956.09"/>
    <n v="2"/>
    <n v="1818.84"/>
    <x v="4"/>
    <x v="0"/>
  </r>
  <r>
    <d v="2023-05-11T00:00:00"/>
    <x v="19"/>
    <x v="12"/>
    <x v="0"/>
    <x v="2"/>
    <x v="8"/>
    <s v="LG 55 inch OLED Smart TV"/>
    <n v="430320.89"/>
    <n v="5"/>
    <n v="77009.8"/>
    <x v="4"/>
    <x v="0"/>
  </r>
  <r>
    <d v="2023-05-12T00:00:00"/>
    <x v="14"/>
    <x v="9"/>
    <x v="0"/>
    <x v="0"/>
    <x v="0"/>
    <s v="Portronics Power Bank 20000mAh"/>
    <n v="2227.36"/>
    <n v="1"/>
    <n v="309.5"/>
    <x v="4"/>
    <x v="0"/>
  </r>
  <r>
    <d v="2023-05-13T00:00:00"/>
    <x v="23"/>
    <x v="8"/>
    <x v="0"/>
    <x v="0"/>
    <x v="2"/>
    <s v="Apple iPhone 15"/>
    <n v="136238.49"/>
    <n v="2"/>
    <n v="10678.35"/>
    <x v="4"/>
    <x v="0"/>
  </r>
  <r>
    <d v="2023-05-13T00:00:00"/>
    <x v="10"/>
    <x v="10"/>
    <x v="0"/>
    <x v="3"/>
    <x v="7"/>
    <s v="Morphy Richards OTG"/>
    <n v="21591.74"/>
    <n v="3"/>
    <n v="2027.09"/>
    <x v="4"/>
    <x v="0"/>
  </r>
  <r>
    <d v="2023-05-14T00:00:00"/>
    <x v="7"/>
    <x v="9"/>
    <x v="0"/>
    <x v="2"/>
    <x v="8"/>
    <s v="LG 55 inch OLED Smart TV"/>
    <n v="174985.76"/>
    <n v="2"/>
    <n v="19562.560000000001"/>
    <x v="4"/>
    <x v="0"/>
  </r>
  <r>
    <d v="2023-05-14T00:00:00"/>
    <x v="26"/>
    <x v="7"/>
    <x v="0"/>
    <x v="4"/>
    <x v="11"/>
    <s v="Braun Electric Shaver"/>
    <n v="5812.64"/>
    <n v="1"/>
    <n v="617.48"/>
    <x v="4"/>
    <x v="0"/>
  </r>
  <r>
    <d v="2023-05-15T00:00:00"/>
    <x v="7"/>
    <x v="4"/>
    <x v="0"/>
    <x v="0"/>
    <x v="2"/>
    <s v="OnePlus 12"/>
    <n v="180898.14"/>
    <n v="3"/>
    <n v="20904.080000000002"/>
    <x v="4"/>
    <x v="0"/>
  </r>
  <r>
    <d v="2023-05-15T00:00:00"/>
    <x v="24"/>
    <x v="0"/>
    <x v="0"/>
    <x v="1"/>
    <x v="5"/>
    <s v="HP 24 inch Monitor"/>
    <n v="21906.19"/>
    <n v="2"/>
    <n v="2628.07"/>
    <x v="4"/>
    <x v="0"/>
  </r>
  <r>
    <d v="2023-05-16T00:00:00"/>
    <x v="2"/>
    <x v="13"/>
    <x v="0"/>
    <x v="3"/>
    <x v="4"/>
    <s v="LG 7kg Fully Automatic Washing Machine"/>
    <n v="24165.11"/>
    <n v="1"/>
    <n v="2269.5500000000002"/>
    <x v="4"/>
    <x v="0"/>
  </r>
  <r>
    <d v="2023-05-16T00:00:00"/>
    <x v="20"/>
    <x v="5"/>
    <x v="0"/>
    <x v="3"/>
    <x v="9"/>
    <s v="LG 260L Double Door Refrigerator"/>
    <n v="27560.05"/>
    <n v="1"/>
    <n v="3575.69"/>
    <x v="4"/>
    <x v="0"/>
  </r>
  <r>
    <d v="2023-05-16T00:00:00"/>
    <x v="7"/>
    <x v="8"/>
    <x v="0"/>
    <x v="3"/>
    <x v="7"/>
    <s v="Morphy Richards OTG"/>
    <n v="6684.69"/>
    <n v="1"/>
    <n v="1045.6400000000001"/>
    <x v="4"/>
    <x v="0"/>
  </r>
  <r>
    <d v="2023-05-17T00:00:00"/>
    <x v="16"/>
    <x v="4"/>
    <x v="0"/>
    <x v="4"/>
    <x v="11"/>
    <s v="Philips Trimmer"/>
    <n v="4163.24"/>
    <n v="2"/>
    <n v="576.36"/>
    <x v="4"/>
    <x v="0"/>
  </r>
  <r>
    <d v="2023-05-18T00:00:00"/>
    <x v="7"/>
    <x v="5"/>
    <x v="0"/>
    <x v="3"/>
    <x v="10"/>
    <s v="LG 1.5 Ton 5 Star Split AC"/>
    <n v="36934.14"/>
    <n v="1"/>
    <n v="3760.81"/>
    <x v="4"/>
    <x v="0"/>
  </r>
  <r>
    <d v="2023-05-19T00:00:00"/>
    <x v="22"/>
    <x v="12"/>
    <x v="0"/>
    <x v="4"/>
    <x v="11"/>
    <s v="Philips Trimmer"/>
    <n v="2444.11"/>
    <n v="1"/>
    <n v="538.48"/>
    <x v="4"/>
    <x v="0"/>
  </r>
  <r>
    <d v="2023-05-20T00:00:00"/>
    <x v="4"/>
    <x v="1"/>
    <x v="0"/>
    <x v="2"/>
    <x v="3"/>
    <s v="Sony Wireless Headphones"/>
    <n v="9592.24"/>
    <n v="1"/>
    <n v="972.03"/>
    <x v="4"/>
    <x v="0"/>
  </r>
  <r>
    <d v="2023-05-21T00:00:00"/>
    <x v="0"/>
    <x v="4"/>
    <x v="0"/>
    <x v="1"/>
    <x v="1"/>
    <s v="HP Pavilion 15 Laptop"/>
    <n v="63838.39"/>
    <n v="1"/>
    <n v="8514.43"/>
    <x v="4"/>
    <x v="0"/>
  </r>
  <r>
    <d v="2023-05-21T00:00:00"/>
    <x v="17"/>
    <x v="14"/>
    <x v="0"/>
    <x v="3"/>
    <x v="7"/>
    <s v="Prestige Induction Cooktop"/>
    <n v="8080.23"/>
    <n v="3"/>
    <n v="971.88"/>
    <x v="4"/>
    <x v="0"/>
  </r>
  <r>
    <d v="2023-05-22T00:00:00"/>
    <x v="25"/>
    <x v="7"/>
    <x v="0"/>
    <x v="3"/>
    <x v="7"/>
    <s v="Bajaj Mixer Grinder"/>
    <n v="9562.4500000000007"/>
    <n v="2"/>
    <n v="1520.81"/>
    <x v="4"/>
    <x v="0"/>
  </r>
  <r>
    <d v="2023-05-23T00:00:00"/>
    <x v="29"/>
    <x v="7"/>
    <x v="0"/>
    <x v="3"/>
    <x v="10"/>
    <s v="LG 1.5 Ton 5 Star Split AC"/>
    <n v="39530.53"/>
    <n v="1"/>
    <n v="6350.64"/>
    <x v="4"/>
    <x v="0"/>
  </r>
  <r>
    <d v="2023-05-24T00:00:00"/>
    <x v="21"/>
    <x v="13"/>
    <x v="0"/>
    <x v="0"/>
    <x v="0"/>
    <s v="Portronics Power Bank 20000mAh"/>
    <n v="10555.9"/>
    <n v="5"/>
    <n v="700.2"/>
    <x v="4"/>
    <x v="0"/>
  </r>
  <r>
    <d v="2023-05-25T00:00:00"/>
    <x v="24"/>
    <x v="7"/>
    <x v="0"/>
    <x v="2"/>
    <x v="3"/>
    <s v="Sony Wireless Headphones"/>
    <n v="8856.74"/>
    <n v="1"/>
    <n v="-505.99"/>
    <x v="4"/>
    <x v="0"/>
  </r>
  <r>
    <d v="2023-05-25T00:00:00"/>
    <x v="18"/>
    <x v="5"/>
    <x v="0"/>
    <x v="3"/>
    <x v="9"/>
    <s v="Samsung 253L Refrigerator"/>
    <n v="30607.57"/>
    <n v="1"/>
    <n v="5279.97"/>
    <x v="4"/>
    <x v="0"/>
  </r>
  <r>
    <d v="2023-05-26T00:00:00"/>
    <x v="12"/>
    <x v="2"/>
    <x v="0"/>
    <x v="2"/>
    <x v="8"/>
    <s v="TCL 50 inch 4K Smart TV"/>
    <n v="79586.59"/>
    <n v="2"/>
    <n v="13297.72"/>
    <x v="4"/>
    <x v="0"/>
  </r>
  <r>
    <d v="2023-05-27T00:00:00"/>
    <x v="6"/>
    <x v="4"/>
    <x v="0"/>
    <x v="2"/>
    <x v="8"/>
    <s v="LG 55 inch OLED Smart TV"/>
    <n v="95131.43"/>
    <n v="1"/>
    <n v="16413.89"/>
    <x v="4"/>
    <x v="0"/>
  </r>
  <r>
    <d v="2023-05-27T00:00:00"/>
    <x v="18"/>
    <x v="8"/>
    <x v="0"/>
    <x v="2"/>
    <x v="8"/>
    <s v="Sony 55 inch Bravia 4K TV"/>
    <n v="216957.7"/>
    <n v="3"/>
    <n v="20002.669999999998"/>
    <x v="4"/>
    <x v="0"/>
  </r>
  <r>
    <d v="2023-05-28T00:00:00"/>
    <x v="17"/>
    <x v="9"/>
    <x v="0"/>
    <x v="4"/>
    <x v="6"/>
    <s v="Eureka Forbes Vacuum Cleaner"/>
    <n v="32301.31"/>
    <n v="3"/>
    <n v="5372.44"/>
    <x v="4"/>
    <x v="0"/>
  </r>
  <r>
    <d v="2023-06-01T00:00:00"/>
    <x v="14"/>
    <x v="9"/>
    <x v="0"/>
    <x v="3"/>
    <x v="9"/>
    <s v="Whirlpool 265L Frost Free Refrigerator"/>
    <n v="98657.09"/>
    <n v="4"/>
    <n v="15799.02"/>
    <x v="5"/>
    <x v="0"/>
  </r>
  <r>
    <d v="2023-06-02T00:00:00"/>
    <x v="25"/>
    <x v="4"/>
    <x v="0"/>
    <x v="0"/>
    <x v="2"/>
    <s v="Google Pixel 8"/>
    <n v="53187.54"/>
    <n v="1"/>
    <n v="3516.61"/>
    <x v="5"/>
    <x v="0"/>
  </r>
  <r>
    <d v="2023-06-03T00:00:00"/>
    <x v="21"/>
    <x v="3"/>
    <x v="0"/>
    <x v="2"/>
    <x v="3"/>
    <s v="JBL 5.1 Soundbar"/>
    <n v="29653.69"/>
    <n v="1"/>
    <n v="4770.9399999999996"/>
    <x v="5"/>
    <x v="0"/>
  </r>
  <r>
    <d v="2023-06-03T00:00:00"/>
    <x v="16"/>
    <x v="7"/>
    <x v="0"/>
    <x v="2"/>
    <x v="3"/>
    <s v="Sony Bluetooth Soundbar"/>
    <n v="23284.76"/>
    <n v="1"/>
    <n v="2731.96"/>
    <x v="5"/>
    <x v="0"/>
  </r>
  <r>
    <d v="2023-06-04T00:00:00"/>
    <x v="5"/>
    <x v="6"/>
    <x v="0"/>
    <x v="3"/>
    <x v="7"/>
    <s v="Morphy Richards OTG"/>
    <n v="12616.79"/>
    <n v="2"/>
    <n v="1982.84"/>
    <x v="5"/>
    <x v="0"/>
  </r>
  <r>
    <d v="2023-06-06T00:00:00"/>
    <x v="4"/>
    <x v="11"/>
    <x v="0"/>
    <x v="2"/>
    <x v="8"/>
    <s v="Sony 55 inch Bravia 4K TV"/>
    <n v="78156.36"/>
    <n v="1"/>
    <n v="12480.4"/>
    <x v="5"/>
    <x v="0"/>
  </r>
  <r>
    <d v="2023-06-06T00:00:00"/>
    <x v="26"/>
    <x v="4"/>
    <x v="0"/>
    <x v="3"/>
    <x v="7"/>
    <s v="Prestige Induction Cooktop"/>
    <n v="5511.21"/>
    <n v="2"/>
    <n v="547.44000000000005"/>
    <x v="5"/>
    <x v="0"/>
  </r>
  <r>
    <d v="2023-06-07T00:00:00"/>
    <x v="2"/>
    <x v="9"/>
    <x v="0"/>
    <x v="4"/>
    <x v="11"/>
    <s v="Braun Electric Shaver"/>
    <n v="16736.34"/>
    <n v="3"/>
    <n v="3774.27"/>
    <x v="5"/>
    <x v="0"/>
  </r>
  <r>
    <d v="2023-06-07T00:00:00"/>
    <x v="7"/>
    <x v="9"/>
    <x v="0"/>
    <x v="1"/>
    <x v="1"/>
    <s v="Dell Inspiron 15 Laptop"/>
    <n v="99398.3"/>
    <n v="2"/>
    <n v="12133.43"/>
    <x v="5"/>
    <x v="0"/>
  </r>
  <r>
    <d v="2023-06-08T00:00:00"/>
    <x v="8"/>
    <x v="6"/>
    <x v="0"/>
    <x v="0"/>
    <x v="0"/>
    <s v="Samsung 25W Charger"/>
    <n v="1450.99"/>
    <n v="1"/>
    <n v="180.35"/>
    <x v="5"/>
    <x v="0"/>
  </r>
  <r>
    <d v="2023-06-08T00:00:00"/>
    <x v="25"/>
    <x v="13"/>
    <x v="0"/>
    <x v="3"/>
    <x v="7"/>
    <s v="Prestige Induction Cooktop"/>
    <n v="5560.64"/>
    <n v="2"/>
    <n v="-200.2"/>
    <x v="5"/>
    <x v="0"/>
  </r>
  <r>
    <d v="2023-06-08T00:00:00"/>
    <x v="0"/>
    <x v="14"/>
    <x v="0"/>
    <x v="1"/>
    <x v="5"/>
    <s v="Dell 27 inch Monitor"/>
    <n v="17532.22"/>
    <n v="1"/>
    <n v="-920.23"/>
    <x v="5"/>
    <x v="0"/>
  </r>
  <r>
    <d v="2023-06-08T00:00:00"/>
    <x v="10"/>
    <x v="14"/>
    <x v="0"/>
    <x v="2"/>
    <x v="3"/>
    <s v="JBL 5.1 Soundbar"/>
    <n v="33088.33"/>
    <n v="1"/>
    <n v="2954.29"/>
    <x v="5"/>
    <x v="0"/>
  </r>
  <r>
    <d v="2023-06-09T00:00:00"/>
    <x v="24"/>
    <x v="10"/>
    <x v="0"/>
    <x v="0"/>
    <x v="2"/>
    <s v="Samsung Galaxy S24"/>
    <n v="68036.14"/>
    <n v="1"/>
    <n v="4363.3999999999996"/>
    <x v="5"/>
    <x v="0"/>
  </r>
  <r>
    <d v="2023-06-09T00:00:00"/>
    <x v="13"/>
    <x v="2"/>
    <x v="0"/>
    <x v="4"/>
    <x v="6"/>
    <s v="Eureka Forbes Vacuum Cleaner"/>
    <n v="21998.400000000001"/>
    <n v="2"/>
    <n v="3909.39"/>
    <x v="5"/>
    <x v="0"/>
  </r>
  <r>
    <d v="2023-06-11T00:00:00"/>
    <x v="27"/>
    <x v="5"/>
    <x v="0"/>
    <x v="2"/>
    <x v="3"/>
    <s v="boAt Home Theatre System"/>
    <n v="12231.73"/>
    <n v="1"/>
    <n v="1340.16"/>
    <x v="5"/>
    <x v="0"/>
  </r>
  <r>
    <d v="2023-06-12T00:00:00"/>
    <x v="5"/>
    <x v="10"/>
    <x v="0"/>
    <x v="2"/>
    <x v="3"/>
    <s v="boAt Home Theatre System"/>
    <n v="22673.43"/>
    <n v="2"/>
    <n v="3186.49"/>
    <x v="5"/>
    <x v="0"/>
  </r>
  <r>
    <d v="2023-06-12T00:00:00"/>
    <x v="25"/>
    <x v="2"/>
    <x v="0"/>
    <x v="3"/>
    <x v="9"/>
    <s v="LG 260L Double Door Refrigerator"/>
    <n v="54163.95"/>
    <n v="2"/>
    <n v="8334.19"/>
    <x v="5"/>
    <x v="0"/>
  </r>
  <r>
    <d v="2023-06-13T00:00:00"/>
    <x v="14"/>
    <x v="6"/>
    <x v="0"/>
    <x v="0"/>
    <x v="0"/>
    <s v="Portronics Power Bank 20000mAh"/>
    <n v="4196.93"/>
    <n v="2"/>
    <n v="562.30999999999995"/>
    <x v="5"/>
    <x v="0"/>
  </r>
  <r>
    <d v="2023-06-14T00:00:00"/>
    <x v="23"/>
    <x v="10"/>
    <x v="0"/>
    <x v="4"/>
    <x v="6"/>
    <s v="Dyson V8 Vacuum Cleaner"/>
    <n v="58801.47"/>
    <n v="2"/>
    <n v="9897.0300000000007"/>
    <x v="5"/>
    <x v="0"/>
  </r>
  <r>
    <d v="2023-06-15T00:00:00"/>
    <x v="11"/>
    <x v="9"/>
    <x v="0"/>
    <x v="2"/>
    <x v="3"/>
    <s v="JBL 5.1 Soundbar"/>
    <n v="69170.95"/>
    <n v="2"/>
    <n v="8353.08"/>
    <x v="5"/>
    <x v="0"/>
  </r>
  <r>
    <d v="2023-06-15T00:00:00"/>
    <x v="2"/>
    <x v="14"/>
    <x v="0"/>
    <x v="0"/>
    <x v="0"/>
    <s v="JBL Bluetooth Earbuds"/>
    <n v="2632.73"/>
    <n v="1"/>
    <n v="249.48"/>
    <x v="5"/>
    <x v="0"/>
  </r>
  <r>
    <d v="2023-06-16T00:00:00"/>
    <x v="14"/>
    <x v="7"/>
    <x v="0"/>
    <x v="3"/>
    <x v="7"/>
    <s v="Prestige Induction Cooktop"/>
    <n v="5991.73"/>
    <n v="2"/>
    <n v="1176.6099999999999"/>
    <x v="5"/>
    <x v="0"/>
  </r>
  <r>
    <d v="2023-06-16T00:00:00"/>
    <x v="16"/>
    <x v="12"/>
    <x v="0"/>
    <x v="3"/>
    <x v="9"/>
    <s v="Whirlpool 265L Frost Free Refrigerator"/>
    <n v="26712.35"/>
    <n v="1"/>
    <n v="4419.1099999999997"/>
    <x v="5"/>
    <x v="0"/>
  </r>
  <r>
    <d v="2023-06-17T00:00:00"/>
    <x v="27"/>
    <x v="4"/>
    <x v="0"/>
    <x v="4"/>
    <x v="6"/>
    <s v="Dyson V8 Vacuum Cleaner"/>
    <n v="30479.279999999999"/>
    <n v="1"/>
    <n v="4066.42"/>
    <x v="5"/>
    <x v="0"/>
  </r>
  <r>
    <d v="2023-06-17T00:00:00"/>
    <x v="19"/>
    <x v="8"/>
    <x v="0"/>
    <x v="4"/>
    <x v="6"/>
    <s v="Eureka Forbes Vacuum Cleaner"/>
    <n v="47026.6"/>
    <n v="4"/>
    <n v="10159.08"/>
    <x v="5"/>
    <x v="0"/>
  </r>
  <r>
    <d v="2023-06-17T00:00:00"/>
    <x v="12"/>
    <x v="7"/>
    <x v="0"/>
    <x v="0"/>
    <x v="0"/>
    <s v="boAt Wireless Earphones"/>
    <n v="1509.22"/>
    <n v="1"/>
    <n v="126.55"/>
    <x v="5"/>
    <x v="0"/>
  </r>
  <r>
    <d v="2023-06-17T00:00:00"/>
    <x v="22"/>
    <x v="1"/>
    <x v="0"/>
    <x v="0"/>
    <x v="2"/>
    <s v="Nothing Phone 2"/>
    <n v="87089.32"/>
    <n v="2"/>
    <n v="6653.51"/>
    <x v="5"/>
    <x v="0"/>
  </r>
  <r>
    <d v="2023-06-17T00:00:00"/>
    <x v="2"/>
    <x v="7"/>
    <x v="0"/>
    <x v="3"/>
    <x v="7"/>
    <s v="Bajaj Mixer Grinder"/>
    <n v="9531.09"/>
    <n v="2"/>
    <n v="1712.41"/>
    <x v="5"/>
    <x v="0"/>
  </r>
  <r>
    <d v="2023-06-17T00:00:00"/>
    <x v="17"/>
    <x v="8"/>
    <x v="0"/>
    <x v="0"/>
    <x v="0"/>
    <s v="Apple 20W USB-C Power Adapter"/>
    <n v="5931.26"/>
    <n v="3"/>
    <n v="653.28"/>
    <x v="5"/>
    <x v="0"/>
  </r>
  <r>
    <d v="2023-06-18T00:00:00"/>
    <x v="13"/>
    <x v="3"/>
    <x v="0"/>
    <x v="3"/>
    <x v="10"/>
    <s v="Voltas 1.5 Ton Split AC"/>
    <n v="37402.32"/>
    <n v="1"/>
    <n v="3820.84"/>
    <x v="5"/>
    <x v="0"/>
  </r>
  <r>
    <d v="2023-06-19T00:00:00"/>
    <x v="12"/>
    <x v="5"/>
    <x v="0"/>
    <x v="0"/>
    <x v="0"/>
    <s v="JBL Bluetooth Earbuds"/>
    <n v="2728.11"/>
    <n v="1"/>
    <n v="353.68"/>
    <x v="5"/>
    <x v="0"/>
  </r>
  <r>
    <d v="2023-06-19T00:00:00"/>
    <x v="23"/>
    <x v="1"/>
    <x v="0"/>
    <x v="2"/>
    <x v="3"/>
    <s v="JBL 5.1 Soundbar"/>
    <n v="30703.61"/>
    <n v="1"/>
    <n v="4838.62"/>
    <x v="5"/>
    <x v="0"/>
  </r>
  <r>
    <d v="2023-06-20T00:00:00"/>
    <x v="27"/>
    <x v="2"/>
    <x v="0"/>
    <x v="1"/>
    <x v="5"/>
    <s v="TP-Link Wi-Fi Router"/>
    <n v="5180.33"/>
    <n v="2"/>
    <n v="595.71"/>
    <x v="5"/>
    <x v="0"/>
  </r>
  <r>
    <d v="2023-06-21T00:00:00"/>
    <x v="10"/>
    <x v="12"/>
    <x v="0"/>
    <x v="2"/>
    <x v="3"/>
    <s v="JBL 5.1 Soundbar"/>
    <n v="32602.33"/>
    <n v="1"/>
    <n v="3298.25"/>
    <x v="5"/>
    <x v="0"/>
  </r>
  <r>
    <d v="2023-06-21T00:00:00"/>
    <x v="17"/>
    <x v="5"/>
    <x v="0"/>
    <x v="1"/>
    <x v="1"/>
    <s v="ASUS Vivobook 15"/>
    <n v="145024.97"/>
    <n v="3"/>
    <n v="22996.89"/>
    <x v="5"/>
    <x v="0"/>
  </r>
  <r>
    <d v="2023-06-22T00:00:00"/>
    <x v="19"/>
    <x v="4"/>
    <x v="0"/>
    <x v="2"/>
    <x v="8"/>
    <s v="LG 55 inch OLED Smart TV"/>
    <n v="164308.07"/>
    <n v="2"/>
    <n v="21755.51"/>
    <x v="5"/>
    <x v="0"/>
  </r>
  <r>
    <d v="2023-06-23T00:00:00"/>
    <x v="2"/>
    <x v="1"/>
    <x v="0"/>
    <x v="4"/>
    <x v="6"/>
    <s v="Eureka Forbes Vacuum Cleaner"/>
    <n v="31130.03"/>
    <n v="3"/>
    <n v="6045.18"/>
    <x v="5"/>
    <x v="0"/>
  </r>
  <r>
    <d v="2023-06-23T00:00:00"/>
    <x v="29"/>
    <x v="11"/>
    <x v="0"/>
    <x v="2"/>
    <x v="8"/>
    <s v="OnePlus 43 inch 4K Smart TV"/>
    <n v="29558.47"/>
    <n v="1"/>
    <n v="3674.45"/>
    <x v="5"/>
    <x v="0"/>
  </r>
  <r>
    <d v="2023-06-23T00:00:00"/>
    <x v="2"/>
    <x v="1"/>
    <x v="0"/>
    <x v="3"/>
    <x v="10"/>
    <s v="LG 1.5 Ton 5 Star Split AC"/>
    <n v="76553.850000000006"/>
    <n v="2"/>
    <n v="12911.03"/>
    <x v="5"/>
    <x v="0"/>
  </r>
  <r>
    <d v="2023-06-24T00:00:00"/>
    <x v="15"/>
    <x v="10"/>
    <x v="0"/>
    <x v="3"/>
    <x v="10"/>
    <s v="Voltas 1.5 Ton Split AC"/>
    <n v="75851.92"/>
    <n v="2"/>
    <n v="12926.75"/>
    <x v="5"/>
    <x v="0"/>
  </r>
  <r>
    <d v="2023-06-25T00:00:00"/>
    <x v="7"/>
    <x v="7"/>
    <x v="0"/>
    <x v="2"/>
    <x v="3"/>
    <s v="boAt Home Theatre System"/>
    <n v="11163.95"/>
    <n v="1"/>
    <n v="1474.89"/>
    <x v="5"/>
    <x v="0"/>
  </r>
  <r>
    <d v="2023-06-26T00:00:00"/>
    <x v="24"/>
    <x v="2"/>
    <x v="0"/>
    <x v="3"/>
    <x v="9"/>
    <s v="LG 260L Double Door Refrigerator"/>
    <n v="127625.09"/>
    <n v="4"/>
    <n v="11533.49"/>
    <x v="5"/>
    <x v="0"/>
  </r>
  <r>
    <d v="2023-06-29T00:00:00"/>
    <x v="26"/>
    <x v="13"/>
    <x v="0"/>
    <x v="3"/>
    <x v="7"/>
    <s v="Morphy Richards OTG"/>
    <n v="6411.49"/>
    <n v="1"/>
    <n v="1259.49"/>
    <x v="5"/>
    <x v="0"/>
  </r>
  <r>
    <d v="2023-06-30T00:00:00"/>
    <x v="23"/>
    <x v="8"/>
    <x v="0"/>
    <x v="3"/>
    <x v="10"/>
    <s v="LG 1.5 Ton 5 Star Split AC"/>
    <n v="194774.53"/>
    <n v="5"/>
    <n v="15997.28"/>
    <x v="5"/>
    <x v="0"/>
  </r>
  <r>
    <d v="2023-07-01T00:00:00"/>
    <x v="25"/>
    <x v="13"/>
    <x v="0"/>
    <x v="1"/>
    <x v="5"/>
    <s v="Logitech Wireless Keyboard"/>
    <n v="2386.75"/>
    <n v="1"/>
    <n v="183.25"/>
    <x v="6"/>
    <x v="0"/>
  </r>
  <r>
    <d v="2023-07-01T00:00:00"/>
    <x v="22"/>
    <x v="9"/>
    <x v="0"/>
    <x v="4"/>
    <x v="6"/>
    <s v="Eureka Forbes Vacuum Cleaner"/>
    <n v="22386.29"/>
    <n v="2"/>
    <n v="4184.55"/>
    <x v="6"/>
    <x v="0"/>
  </r>
  <r>
    <d v="2023-07-01T00:00:00"/>
    <x v="19"/>
    <x v="7"/>
    <x v="0"/>
    <x v="2"/>
    <x v="8"/>
    <s v="TCL 50 inch 4K Smart TV"/>
    <n v="38674.120000000003"/>
    <n v="1"/>
    <n v="3900.47"/>
    <x v="6"/>
    <x v="0"/>
  </r>
  <r>
    <d v="2023-07-02T00:00:00"/>
    <x v="17"/>
    <x v="13"/>
    <x v="0"/>
    <x v="4"/>
    <x v="11"/>
    <s v="Braun Electric Shaver"/>
    <n v="21521.75"/>
    <n v="4"/>
    <n v="2536.09"/>
    <x v="6"/>
    <x v="0"/>
  </r>
  <r>
    <d v="2023-07-03T00:00:00"/>
    <x v="22"/>
    <x v="8"/>
    <x v="0"/>
    <x v="3"/>
    <x v="10"/>
    <s v="Voltas 1.5 Ton Split AC"/>
    <n v="72824.11"/>
    <n v="2"/>
    <n v="6874.6"/>
    <x v="6"/>
    <x v="0"/>
  </r>
  <r>
    <d v="2023-07-04T00:00:00"/>
    <x v="6"/>
    <x v="5"/>
    <x v="0"/>
    <x v="4"/>
    <x v="6"/>
    <s v="Dyson V8 Vacuum Cleaner"/>
    <n v="57960.12"/>
    <n v="2"/>
    <n v="-4267.8100000000004"/>
    <x v="6"/>
    <x v="0"/>
  </r>
  <r>
    <d v="2023-07-04T00:00:00"/>
    <x v="22"/>
    <x v="1"/>
    <x v="0"/>
    <x v="0"/>
    <x v="2"/>
    <s v="OnePlus 12"/>
    <n v="119310.19"/>
    <n v="2"/>
    <n v="17652.68"/>
    <x v="6"/>
    <x v="0"/>
  </r>
  <r>
    <d v="2023-07-05T00:00:00"/>
    <x v="21"/>
    <x v="8"/>
    <x v="0"/>
    <x v="1"/>
    <x v="1"/>
    <s v="ASUS Vivobook 15"/>
    <n v="142779.62"/>
    <n v="3"/>
    <n v="10343.15"/>
    <x v="6"/>
    <x v="0"/>
  </r>
  <r>
    <d v="2023-07-05T00:00:00"/>
    <x v="2"/>
    <x v="6"/>
    <x v="0"/>
    <x v="2"/>
    <x v="3"/>
    <s v="Sony Wireless Headphones"/>
    <n v="9161.77"/>
    <n v="1"/>
    <n v="1336.34"/>
    <x v="6"/>
    <x v="0"/>
  </r>
  <r>
    <d v="2023-07-07T00:00:00"/>
    <x v="1"/>
    <x v="3"/>
    <x v="0"/>
    <x v="0"/>
    <x v="0"/>
    <s v="Samsung 25W Charger"/>
    <n v="1305.54"/>
    <n v="1"/>
    <n v="123.79"/>
    <x v="6"/>
    <x v="0"/>
  </r>
  <r>
    <d v="2023-07-10T00:00:00"/>
    <x v="6"/>
    <x v="5"/>
    <x v="0"/>
    <x v="1"/>
    <x v="5"/>
    <s v="Logitech Wireless Keyboard"/>
    <n v="2324.56"/>
    <n v="1"/>
    <n v="182.41"/>
    <x v="6"/>
    <x v="0"/>
  </r>
  <r>
    <d v="2023-07-10T00:00:00"/>
    <x v="16"/>
    <x v="7"/>
    <x v="0"/>
    <x v="1"/>
    <x v="1"/>
    <s v="HP Pavilion 15 Laptop"/>
    <n v="53732.71"/>
    <n v="1"/>
    <n v="5221.92"/>
    <x v="6"/>
    <x v="0"/>
  </r>
  <r>
    <d v="2023-07-10T00:00:00"/>
    <x v="0"/>
    <x v="12"/>
    <x v="0"/>
    <x v="4"/>
    <x v="6"/>
    <s v="Dyson V8 Vacuum Cleaner"/>
    <n v="30563.119999999999"/>
    <n v="1"/>
    <n v="5223.9399999999996"/>
    <x v="6"/>
    <x v="0"/>
  </r>
  <r>
    <d v="2023-07-11T00:00:00"/>
    <x v="26"/>
    <x v="7"/>
    <x v="0"/>
    <x v="1"/>
    <x v="1"/>
    <s v="Dell Inspiron 15 Laptop"/>
    <n v="100511.54"/>
    <n v="2"/>
    <n v="12697.09"/>
    <x v="6"/>
    <x v="0"/>
  </r>
  <r>
    <d v="2023-07-12T00:00:00"/>
    <x v="14"/>
    <x v="10"/>
    <x v="0"/>
    <x v="2"/>
    <x v="3"/>
    <s v="JBL 5.1 Soundbar"/>
    <n v="31359.01"/>
    <n v="1"/>
    <n v="3616.85"/>
    <x v="6"/>
    <x v="0"/>
  </r>
  <r>
    <d v="2023-07-12T00:00:00"/>
    <x v="20"/>
    <x v="10"/>
    <x v="0"/>
    <x v="1"/>
    <x v="1"/>
    <s v="Apple MacBook Air M2"/>
    <n v="88341.24"/>
    <n v="1"/>
    <n v="11852.52"/>
    <x v="6"/>
    <x v="0"/>
  </r>
  <r>
    <d v="2023-07-13T00:00:00"/>
    <x v="4"/>
    <x v="5"/>
    <x v="0"/>
    <x v="2"/>
    <x v="3"/>
    <s v="Sony Wireless Headphones"/>
    <n v="43631.69"/>
    <n v="5"/>
    <n v="4792.34"/>
    <x v="6"/>
    <x v="0"/>
  </r>
  <r>
    <d v="2023-07-14T00:00:00"/>
    <x v="24"/>
    <x v="10"/>
    <x v="0"/>
    <x v="1"/>
    <x v="1"/>
    <s v="Apple MacBook Air M2"/>
    <n v="274308.07"/>
    <n v="3"/>
    <n v="24954.880000000001"/>
    <x v="6"/>
    <x v="0"/>
  </r>
  <r>
    <d v="2023-07-15T00:00:00"/>
    <x v="5"/>
    <x v="11"/>
    <x v="0"/>
    <x v="4"/>
    <x v="11"/>
    <s v="Philips Hair Dryer"/>
    <n v="1888.8"/>
    <n v="1"/>
    <n v="400.44"/>
    <x v="6"/>
    <x v="0"/>
  </r>
  <r>
    <d v="2023-07-18T00:00:00"/>
    <x v="0"/>
    <x v="0"/>
    <x v="0"/>
    <x v="3"/>
    <x v="10"/>
    <s v="LG 1.5 Ton 5 Star Split AC"/>
    <n v="75446.94"/>
    <n v="2"/>
    <n v="11285.31"/>
    <x v="6"/>
    <x v="0"/>
  </r>
  <r>
    <d v="2023-07-19T00:00:00"/>
    <x v="14"/>
    <x v="13"/>
    <x v="0"/>
    <x v="3"/>
    <x v="10"/>
    <s v="LG 1.5 Ton 5 Star Split AC"/>
    <n v="38428.949999999997"/>
    <n v="1"/>
    <n v="3605.03"/>
    <x v="6"/>
    <x v="0"/>
  </r>
  <r>
    <d v="2023-07-19T00:00:00"/>
    <x v="14"/>
    <x v="5"/>
    <x v="0"/>
    <x v="2"/>
    <x v="8"/>
    <s v="Samsung 55 inch 4K Smart TV"/>
    <n v="62494.36"/>
    <n v="1"/>
    <n v="8846.8799999999992"/>
    <x v="6"/>
    <x v="0"/>
  </r>
  <r>
    <d v="2023-07-19T00:00:00"/>
    <x v="17"/>
    <x v="12"/>
    <x v="0"/>
    <x v="4"/>
    <x v="11"/>
    <s v="Braun Electric Shaver"/>
    <n v="17510.48"/>
    <n v="3"/>
    <n v="3190.49"/>
    <x v="6"/>
    <x v="0"/>
  </r>
  <r>
    <d v="2023-07-20T00:00:00"/>
    <x v="3"/>
    <x v="4"/>
    <x v="0"/>
    <x v="4"/>
    <x v="11"/>
    <s v="Philips Hair Dryer"/>
    <n v="6774.49"/>
    <n v="4"/>
    <n v="835.18"/>
    <x v="6"/>
    <x v="0"/>
  </r>
  <r>
    <d v="2023-07-20T00:00:00"/>
    <x v="29"/>
    <x v="0"/>
    <x v="0"/>
    <x v="1"/>
    <x v="5"/>
    <s v="Logitech Wireless Mouse"/>
    <n v="2631.63"/>
    <n v="2"/>
    <n v="269.08"/>
    <x v="6"/>
    <x v="0"/>
  </r>
  <r>
    <d v="2023-07-21T00:00:00"/>
    <x v="24"/>
    <x v="3"/>
    <x v="0"/>
    <x v="0"/>
    <x v="2"/>
    <s v="OnePlus 12"/>
    <n v="113400.51"/>
    <n v="2"/>
    <n v="12966.5"/>
    <x v="6"/>
    <x v="0"/>
  </r>
  <r>
    <d v="2023-07-23T00:00:00"/>
    <x v="18"/>
    <x v="9"/>
    <x v="0"/>
    <x v="1"/>
    <x v="1"/>
    <s v="Dell Inspiron 15 Laptop"/>
    <n v="58038.31"/>
    <n v="1"/>
    <n v="5843.26"/>
    <x v="6"/>
    <x v="0"/>
  </r>
  <r>
    <d v="2023-07-24T00:00:00"/>
    <x v="10"/>
    <x v="8"/>
    <x v="0"/>
    <x v="4"/>
    <x v="11"/>
    <s v="Braun Electric Shaver"/>
    <n v="5544.78"/>
    <n v="1"/>
    <n v="727.49"/>
    <x v="6"/>
    <x v="0"/>
  </r>
  <r>
    <d v="2023-07-24T00:00:00"/>
    <x v="24"/>
    <x v="8"/>
    <x v="0"/>
    <x v="1"/>
    <x v="5"/>
    <s v="Dell 27 inch Monitor"/>
    <n v="16255.93"/>
    <n v="1"/>
    <n v="1892.13"/>
    <x v="6"/>
    <x v="0"/>
  </r>
  <r>
    <d v="2023-07-25T00:00:00"/>
    <x v="27"/>
    <x v="10"/>
    <x v="0"/>
    <x v="3"/>
    <x v="9"/>
    <s v="Whirlpool 265L Frost Free Refrigerator"/>
    <n v="89886.09"/>
    <n v="3"/>
    <n v="13127.17"/>
    <x v="6"/>
    <x v="0"/>
  </r>
  <r>
    <d v="2023-07-25T00:00:00"/>
    <x v="20"/>
    <x v="3"/>
    <x v="0"/>
    <x v="4"/>
    <x v="11"/>
    <s v="Philips Trimmer"/>
    <n v="6309.29"/>
    <n v="3"/>
    <n v="1406.37"/>
    <x v="6"/>
    <x v="0"/>
  </r>
  <r>
    <d v="2023-07-25T00:00:00"/>
    <x v="26"/>
    <x v="1"/>
    <x v="0"/>
    <x v="3"/>
    <x v="10"/>
    <s v="Voltas 1.5 Ton Split AC"/>
    <n v="68371.179999999993"/>
    <n v="2"/>
    <n v="5896.76"/>
    <x v="6"/>
    <x v="0"/>
  </r>
  <r>
    <d v="2023-07-25T00:00:00"/>
    <x v="25"/>
    <x v="9"/>
    <x v="0"/>
    <x v="1"/>
    <x v="1"/>
    <s v="Lenovo IdeaPad Slim 5"/>
    <n v="59065.52"/>
    <n v="1"/>
    <n v="7369.77"/>
    <x v="6"/>
    <x v="0"/>
  </r>
  <r>
    <d v="2023-07-26T00:00:00"/>
    <x v="6"/>
    <x v="11"/>
    <x v="0"/>
    <x v="3"/>
    <x v="9"/>
    <s v="LG 260L Double Door Refrigerator"/>
    <n v="61202.54"/>
    <n v="2"/>
    <n v="6617.26"/>
    <x v="6"/>
    <x v="0"/>
  </r>
  <r>
    <d v="2023-07-26T00:00:00"/>
    <x v="15"/>
    <x v="14"/>
    <x v="0"/>
    <x v="4"/>
    <x v="6"/>
    <s v="Dyson V8 Vacuum Cleaner"/>
    <n v="33605.1"/>
    <n v="1"/>
    <n v="7237.52"/>
    <x v="6"/>
    <x v="0"/>
  </r>
  <r>
    <d v="2023-07-26T00:00:00"/>
    <x v="7"/>
    <x v="8"/>
    <x v="0"/>
    <x v="2"/>
    <x v="8"/>
    <s v="OnePlus 43 inch 4K Smart TV"/>
    <n v="59754.55"/>
    <n v="2"/>
    <n v="9688.17"/>
    <x v="6"/>
    <x v="0"/>
  </r>
  <r>
    <d v="2023-07-27T00:00:00"/>
    <x v="13"/>
    <x v="14"/>
    <x v="0"/>
    <x v="4"/>
    <x v="6"/>
    <s v="Eureka Forbes Vacuum Cleaner"/>
    <n v="10580.26"/>
    <n v="1"/>
    <n v="1902.37"/>
    <x v="6"/>
    <x v="0"/>
  </r>
  <r>
    <d v="2023-07-27T00:00:00"/>
    <x v="9"/>
    <x v="1"/>
    <x v="0"/>
    <x v="0"/>
    <x v="0"/>
    <s v="JBL Bluetooth Earbuds"/>
    <n v="2986.92"/>
    <n v="1"/>
    <n v="434.69"/>
    <x v="6"/>
    <x v="0"/>
  </r>
  <r>
    <d v="2023-07-28T00:00:00"/>
    <x v="25"/>
    <x v="1"/>
    <x v="0"/>
    <x v="0"/>
    <x v="2"/>
    <s v="Samsung Galaxy S24"/>
    <n v="126484.84"/>
    <n v="2"/>
    <n v="17959.419999999998"/>
    <x v="6"/>
    <x v="0"/>
  </r>
  <r>
    <d v="2023-07-28T00:00:00"/>
    <x v="1"/>
    <x v="1"/>
    <x v="0"/>
    <x v="4"/>
    <x v="11"/>
    <s v="Philips Trimmer"/>
    <n v="8916.67"/>
    <n v="4"/>
    <n v="2116.8000000000002"/>
    <x v="6"/>
    <x v="0"/>
  </r>
  <r>
    <d v="2023-07-29T00:00:00"/>
    <x v="11"/>
    <x v="3"/>
    <x v="0"/>
    <x v="2"/>
    <x v="3"/>
    <s v="Sony Wireless Headphones"/>
    <n v="18137.060000000001"/>
    <n v="2"/>
    <n v="1638.31"/>
    <x v="6"/>
    <x v="0"/>
  </r>
  <r>
    <d v="2023-07-29T00:00:00"/>
    <x v="6"/>
    <x v="7"/>
    <x v="0"/>
    <x v="4"/>
    <x v="11"/>
    <s v="Braun Electric Shaver"/>
    <n v="11158.14"/>
    <n v="2"/>
    <n v="1913.95"/>
    <x v="6"/>
    <x v="0"/>
  </r>
  <r>
    <d v="2023-07-30T00:00:00"/>
    <x v="18"/>
    <x v="0"/>
    <x v="0"/>
    <x v="0"/>
    <x v="0"/>
    <s v="Samsung 25W Charger"/>
    <n v="1438.48"/>
    <n v="1"/>
    <n v="115.65"/>
    <x v="6"/>
    <x v="0"/>
  </r>
  <r>
    <d v="2023-07-30T00:00:00"/>
    <x v="24"/>
    <x v="6"/>
    <x v="0"/>
    <x v="4"/>
    <x v="6"/>
    <s v="Eureka Forbes Vacuum Cleaner"/>
    <n v="29817.14"/>
    <n v="3"/>
    <n v="5018.12"/>
    <x v="6"/>
    <x v="0"/>
  </r>
  <r>
    <d v="2023-08-01T00:00:00"/>
    <x v="8"/>
    <x v="8"/>
    <x v="0"/>
    <x v="1"/>
    <x v="1"/>
    <s v="Lenovo IdeaPad Slim 5"/>
    <n v="67573.39"/>
    <n v="1"/>
    <n v="-3486.09"/>
    <x v="7"/>
    <x v="0"/>
  </r>
  <r>
    <d v="2023-08-02T00:00:00"/>
    <x v="1"/>
    <x v="11"/>
    <x v="0"/>
    <x v="3"/>
    <x v="7"/>
    <s v="Philips Air Fryer"/>
    <n v="38664.32"/>
    <n v="5"/>
    <n v="5921.78"/>
    <x v="7"/>
    <x v="0"/>
  </r>
  <r>
    <d v="2023-08-04T00:00:00"/>
    <x v="4"/>
    <x v="2"/>
    <x v="0"/>
    <x v="0"/>
    <x v="2"/>
    <s v="Samsung Galaxy A55"/>
    <n v="75583.8"/>
    <n v="2"/>
    <n v="10122.25"/>
    <x v="7"/>
    <x v="0"/>
  </r>
  <r>
    <d v="2023-08-05T00:00:00"/>
    <x v="27"/>
    <x v="10"/>
    <x v="0"/>
    <x v="3"/>
    <x v="4"/>
    <s v="Samsung 8kg Front Load Washing Machine"/>
    <n v="36234.36"/>
    <n v="1"/>
    <n v="5727.02"/>
    <x v="7"/>
    <x v="0"/>
  </r>
  <r>
    <d v="2023-08-06T00:00:00"/>
    <x v="2"/>
    <x v="6"/>
    <x v="0"/>
    <x v="1"/>
    <x v="1"/>
    <s v="Lenovo IdeaPad Slim 5"/>
    <n v="187900.9"/>
    <n v="3"/>
    <n v="20577.28"/>
    <x v="7"/>
    <x v="0"/>
  </r>
  <r>
    <d v="2023-08-07T00:00:00"/>
    <x v="22"/>
    <x v="12"/>
    <x v="0"/>
    <x v="2"/>
    <x v="8"/>
    <s v="OnePlus 43 inch 4K Smart TV"/>
    <n v="26989.11"/>
    <n v="1"/>
    <n v="4635.3"/>
    <x v="7"/>
    <x v="0"/>
  </r>
  <r>
    <d v="2023-08-08T00:00:00"/>
    <x v="0"/>
    <x v="3"/>
    <x v="0"/>
    <x v="2"/>
    <x v="3"/>
    <s v="Sony Bluetooth Soundbar"/>
    <n v="21384.89"/>
    <n v="1"/>
    <n v="3376.41"/>
    <x v="7"/>
    <x v="0"/>
  </r>
  <r>
    <d v="2023-08-10T00:00:00"/>
    <x v="13"/>
    <x v="11"/>
    <x v="0"/>
    <x v="0"/>
    <x v="0"/>
    <s v="boAt Wireless Earphones"/>
    <n v="2970.37"/>
    <n v="2"/>
    <n v="414.69"/>
    <x v="7"/>
    <x v="0"/>
  </r>
  <r>
    <d v="2023-08-10T00:00:00"/>
    <x v="10"/>
    <x v="7"/>
    <x v="0"/>
    <x v="0"/>
    <x v="2"/>
    <s v="Nothing Phone 2"/>
    <n v="41400.129999999997"/>
    <n v="1"/>
    <n v="2944.52"/>
    <x v="7"/>
    <x v="0"/>
  </r>
  <r>
    <d v="2023-08-10T00:00:00"/>
    <x v="20"/>
    <x v="2"/>
    <x v="0"/>
    <x v="3"/>
    <x v="7"/>
    <s v="Bajaj Mixer Grinder"/>
    <n v="4940.99"/>
    <n v="1"/>
    <n v="598.30999999999995"/>
    <x v="7"/>
    <x v="0"/>
  </r>
  <r>
    <d v="2023-08-11T00:00:00"/>
    <x v="17"/>
    <x v="5"/>
    <x v="0"/>
    <x v="3"/>
    <x v="10"/>
    <s v="LG 1.5 Ton 5 Star Split AC"/>
    <n v="39524.639999999999"/>
    <n v="1"/>
    <n v="4004.49"/>
    <x v="7"/>
    <x v="0"/>
  </r>
  <r>
    <d v="2023-08-12T00:00:00"/>
    <x v="8"/>
    <x v="6"/>
    <x v="0"/>
    <x v="2"/>
    <x v="8"/>
    <s v="OnePlus 43 inch 4K Smart TV"/>
    <n v="29134.3"/>
    <n v="1"/>
    <n v="3961.82"/>
    <x v="7"/>
    <x v="0"/>
  </r>
  <r>
    <d v="2023-08-12T00:00:00"/>
    <x v="11"/>
    <x v="3"/>
    <x v="0"/>
    <x v="2"/>
    <x v="3"/>
    <s v="Sony Wireless Headphones"/>
    <n v="9772.89"/>
    <n v="1"/>
    <n v="1131.98"/>
    <x v="7"/>
    <x v="0"/>
  </r>
  <r>
    <d v="2023-08-13T00:00:00"/>
    <x v="11"/>
    <x v="4"/>
    <x v="0"/>
    <x v="2"/>
    <x v="3"/>
    <s v="Sony Bluetooth Soundbar"/>
    <n v="22309.57"/>
    <n v="1"/>
    <n v="2828.96"/>
    <x v="7"/>
    <x v="0"/>
  </r>
  <r>
    <d v="2023-08-13T00:00:00"/>
    <x v="27"/>
    <x v="5"/>
    <x v="0"/>
    <x v="1"/>
    <x v="1"/>
    <s v="Apple MacBook Air M2"/>
    <n v="82584.47"/>
    <n v="1"/>
    <n v="12246.48"/>
    <x v="7"/>
    <x v="0"/>
  </r>
  <r>
    <d v="2023-08-14T00:00:00"/>
    <x v="6"/>
    <x v="5"/>
    <x v="0"/>
    <x v="1"/>
    <x v="1"/>
    <s v="Apple MacBook Air M2"/>
    <n v="165773.39000000001"/>
    <n v="2"/>
    <n v="11954.21"/>
    <x v="7"/>
    <x v="0"/>
  </r>
  <r>
    <d v="2023-08-15T00:00:00"/>
    <x v="5"/>
    <x v="14"/>
    <x v="0"/>
    <x v="4"/>
    <x v="11"/>
    <s v="Braun Electric Shaver"/>
    <n v="10286.18"/>
    <n v="2"/>
    <n v="1488.57"/>
    <x v="7"/>
    <x v="0"/>
  </r>
  <r>
    <d v="2023-08-15T00:00:00"/>
    <x v="24"/>
    <x v="0"/>
    <x v="0"/>
    <x v="2"/>
    <x v="8"/>
    <s v="TCL 50 inch 4K Smart TV"/>
    <n v="80531.929999999993"/>
    <n v="2"/>
    <n v="8196.16"/>
    <x v="7"/>
    <x v="0"/>
  </r>
  <r>
    <d v="2023-08-16T00:00:00"/>
    <x v="20"/>
    <x v="6"/>
    <x v="0"/>
    <x v="2"/>
    <x v="3"/>
    <s v="boAt Home Theatre System"/>
    <n v="21558.14"/>
    <n v="2"/>
    <n v="1903.74"/>
    <x v="7"/>
    <x v="0"/>
  </r>
  <r>
    <d v="2023-08-17T00:00:00"/>
    <x v="21"/>
    <x v="13"/>
    <x v="0"/>
    <x v="1"/>
    <x v="1"/>
    <s v="Dell Inspiron 15 Laptop"/>
    <n v="57901.69"/>
    <n v="1"/>
    <n v="8341.7099999999991"/>
    <x v="7"/>
    <x v="0"/>
  </r>
  <r>
    <d v="2023-08-17T00:00:00"/>
    <x v="6"/>
    <x v="9"/>
    <x v="0"/>
    <x v="4"/>
    <x v="11"/>
    <s v="Braun Electric Shaver"/>
    <n v="5126.68"/>
    <n v="1"/>
    <n v="700.18"/>
    <x v="7"/>
    <x v="0"/>
  </r>
  <r>
    <d v="2023-08-17T00:00:00"/>
    <x v="13"/>
    <x v="2"/>
    <x v="0"/>
    <x v="3"/>
    <x v="4"/>
    <s v="IFB 7kg Front Load Washing Machine"/>
    <n v="85356.26"/>
    <n v="3"/>
    <n v="-5362.01"/>
    <x v="7"/>
    <x v="0"/>
  </r>
  <r>
    <d v="2023-08-17T00:00:00"/>
    <x v="0"/>
    <x v="11"/>
    <x v="0"/>
    <x v="3"/>
    <x v="4"/>
    <s v="LG 7kg Fully Automatic Washing Machine"/>
    <n v="74345.990000000005"/>
    <n v="3"/>
    <n v="8104.47"/>
    <x v="7"/>
    <x v="0"/>
  </r>
  <r>
    <d v="2023-08-19T00:00:00"/>
    <x v="13"/>
    <x v="11"/>
    <x v="0"/>
    <x v="2"/>
    <x v="8"/>
    <s v="Sony 55 inch Bravia 4K TV"/>
    <n v="74376.179999999993"/>
    <n v="1"/>
    <n v="6777.74"/>
    <x v="7"/>
    <x v="0"/>
  </r>
  <r>
    <d v="2023-08-19T00:00:00"/>
    <x v="18"/>
    <x v="9"/>
    <x v="0"/>
    <x v="4"/>
    <x v="11"/>
    <s v="Braun Electric Shaver"/>
    <n v="21361.1"/>
    <n v="4"/>
    <n v="5105.58"/>
    <x v="7"/>
    <x v="0"/>
  </r>
  <r>
    <d v="2023-08-23T00:00:00"/>
    <x v="24"/>
    <x v="14"/>
    <x v="0"/>
    <x v="3"/>
    <x v="10"/>
    <s v="Daikin 1.5 Ton Inverter AC"/>
    <n v="44525.87"/>
    <n v="1"/>
    <n v="7558.31"/>
    <x v="7"/>
    <x v="0"/>
  </r>
  <r>
    <d v="2023-08-24T00:00:00"/>
    <x v="11"/>
    <x v="0"/>
    <x v="0"/>
    <x v="3"/>
    <x v="4"/>
    <s v="IFB 7kg Front Load Washing Machine"/>
    <n v="55163.82"/>
    <n v="2"/>
    <n v="-1315.53"/>
    <x v="7"/>
    <x v="0"/>
  </r>
  <r>
    <d v="2023-08-25T00:00:00"/>
    <x v="0"/>
    <x v="13"/>
    <x v="0"/>
    <x v="4"/>
    <x v="11"/>
    <s v="Philips Hair Dryer"/>
    <n v="5983.74"/>
    <n v="3"/>
    <n v="636.89"/>
    <x v="7"/>
    <x v="0"/>
  </r>
  <r>
    <d v="2023-08-25T00:00:00"/>
    <x v="19"/>
    <x v="4"/>
    <x v="0"/>
    <x v="2"/>
    <x v="3"/>
    <s v="JBL 5.1 Soundbar"/>
    <n v="32955.74"/>
    <n v="1"/>
    <n v="4494.3999999999996"/>
    <x v="7"/>
    <x v="0"/>
  </r>
  <r>
    <d v="2023-08-27T00:00:00"/>
    <x v="20"/>
    <x v="0"/>
    <x v="0"/>
    <x v="0"/>
    <x v="2"/>
    <s v="Nothing Phone 2"/>
    <n v="114796.76"/>
    <n v="3"/>
    <n v="17058.36"/>
    <x v="7"/>
    <x v="0"/>
  </r>
  <r>
    <d v="2023-08-28T00:00:00"/>
    <x v="2"/>
    <x v="11"/>
    <x v="0"/>
    <x v="3"/>
    <x v="4"/>
    <s v="Samsung 8kg Front Load Washing Machine"/>
    <n v="37640.75"/>
    <n v="1"/>
    <n v="5758.21"/>
    <x v="7"/>
    <x v="0"/>
  </r>
  <r>
    <d v="2023-08-29T00:00:00"/>
    <x v="15"/>
    <x v="9"/>
    <x v="0"/>
    <x v="2"/>
    <x v="3"/>
    <s v="Sony Bluetooth Soundbar"/>
    <n v="22187.87"/>
    <n v="1"/>
    <n v="2915.62"/>
    <x v="7"/>
    <x v="0"/>
  </r>
  <r>
    <d v="2023-08-30T00:00:00"/>
    <x v="19"/>
    <x v="11"/>
    <x v="0"/>
    <x v="3"/>
    <x v="4"/>
    <s v="IFB 7kg Front Load Washing Machine"/>
    <n v="88907.36"/>
    <n v="3"/>
    <n v="8249.7099999999991"/>
    <x v="7"/>
    <x v="0"/>
  </r>
  <r>
    <d v="2023-08-31T00:00:00"/>
    <x v="21"/>
    <x v="8"/>
    <x v="0"/>
    <x v="0"/>
    <x v="2"/>
    <s v="Samsung Galaxy A55"/>
    <n v="185089.89"/>
    <n v="5"/>
    <n v="16665.73"/>
    <x v="7"/>
    <x v="0"/>
  </r>
  <r>
    <d v="2023-09-01T00:00:00"/>
    <x v="6"/>
    <x v="7"/>
    <x v="0"/>
    <x v="3"/>
    <x v="9"/>
    <s v="LG 260L Double Door Refrigerator"/>
    <n v="31270.35"/>
    <n v="1"/>
    <n v="4463.32"/>
    <x v="8"/>
    <x v="0"/>
  </r>
  <r>
    <d v="2023-09-02T00:00:00"/>
    <x v="16"/>
    <x v="1"/>
    <x v="0"/>
    <x v="4"/>
    <x v="11"/>
    <s v="Philips Trimmer"/>
    <n v="2472.6799999999998"/>
    <n v="1"/>
    <n v="357.93"/>
    <x v="8"/>
    <x v="0"/>
  </r>
  <r>
    <d v="2023-09-02T00:00:00"/>
    <x v="10"/>
    <x v="14"/>
    <x v="0"/>
    <x v="1"/>
    <x v="5"/>
    <s v="Dell 27 inch Monitor"/>
    <n v="33614.019999999997"/>
    <n v="2"/>
    <n v="2393.9899999999998"/>
    <x v="8"/>
    <x v="0"/>
  </r>
  <r>
    <d v="2023-09-02T00:00:00"/>
    <x v="9"/>
    <x v="7"/>
    <x v="0"/>
    <x v="2"/>
    <x v="8"/>
    <s v="OnePlus 43 inch 4K Smart TV"/>
    <n v="86744.34"/>
    <n v="3"/>
    <n v="-3774.89"/>
    <x v="8"/>
    <x v="0"/>
  </r>
  <r>
    <d v="2023-09-03T00:00:00"/>
    <x v="23"/>
    <x v="14"/>
    <x v="0"/>
    <x v="0"/>
    <x v="2"/>
    <s v="Apple iPhone 15"/>
    <n v="116880.34"/>
    <n v="2"/>
    <n v="16871.560000000001"/>
    <x v="8"/>
    <x v="0"/>
  </r>
  <r>
    <d v="2023-09-04T00:00:00"/>
    <x v="3"/>
    <x v="5"/>
    <x v="0"/>
    <x v="2"/>
    <x v="8"/>
    <s v="TCL 50 inch 4K Smart TV"/>
    <n v="169642.27"/>
    <n v="4"/>
    <n v="22843.67"/>
    <x v="8"/>
    <x v="0"/>
  </r>
  <r>
    <d v="2023-09-06T00:00:00"/>
    <x v="25"/>
    <x v="10"/>
    <x v="0"/>
    <x v="4"/>
    <x v="11"/>
    <s v="Philips Hair Dryer"/>
    <n v="1701.98"/>
    <n v="1"/>
    <n v="203.26"/>
    <x v="8"/>
    <x v="0"/>
  </r>
  <r>
    <d v="2023-09-06T00:00:00"/>
    <x v="23"/>
    <x v="2"/>
    <x v="0"/>
    <x v="4"/>
    <x v="11"/>
    <s v="Braun Electric Shaver"/>
    <n v="5432.69"/>
    <n v="1"/>
    <n v="878.7"/>
    <x v="8"/>
    <x v="0"/>
  </r>
  <r>
    <d v="2023-09-06T00:00:00"/>
    <x v="5"/>
    <x v="14"/>
    <x v="0"/>
    <x v="3"/>
    <x v="9"/>
    <s v="LG 260L Double Door Refrigerator"/>
    <n v="90148.49"/>
    <n v="3"/>
    <n v="13985.62"/>
    <x v="8"/>
    <x v="0"/>
  </r>
  <r>
    <d v="2023-09-07T00:00:00"/>
    <x v="24"/>
    <x v="4"/>
    <x v="0"/>
    <x v="4"/>
    <x v="6"/>
    <s v="Dyson V8 Vacuum Cleaner"/>
    <n v="86933.05"/>
    <n v="3"/>
    <n v="18485.98"/>
    <x v="8"/>
    <x v="0"/>
  </r>
  <r>
    <d v="2023-09-07T00:00:00"/>
    <x v="18"/>
    <x v="7"/>
    <x v="0"/>
    <x v="2"/>
    <x v="3"/>
    <s v="Sony Wireless Headphones"/>
    <n v="8262.3799999999992"/>
    <n v="1"/>
    <n v="1427.33"/>
    <x v="8"/>
    <x v="0"/>
  </r>
  <r>
    <d v="2023-09-09T00:00:00"/>
    <x v="23"/>
    <x v="14"/>
    <x v="0"/>
    <x v="3"/>
    <x v="7"/>
    <s v="Philips Air Fryer"/>
    <n v="7688.33"/>
    <n v="1"/>
    <n v="929.97"/>
    <x v="8"/>
    <x v="0"/>
  </r>
  <r>
    <d v="2023-09-09T00:00:00"/>
    <x v="25"/>
    <x v="9"/>
    <x v="0"/>
    <x v="4"/>
    <x v="6"/>
    <s v="Dyson V8 Vacuum Cleaner"/>
    <n v="31810.54"/>
    <n v="1"/>
    <n v="6752.99"/>
    <x v="8"/>
    <x v="0"/>
  </r>
  <r>
    <d v="2023-09-10T00:00:00"/>
    <x v="8"/>
    <x v="9"/>
    <x v="0"/>
    <x v="4"/>
    <x v="6"/>
    <s v="Eureka Forbes Vacuum Cleaner"/>
    <n v="33840.629999999997"/>
    <n v="3"/>
    <n v="4444.3900000000003"/>
    <x v="8"/>
    <x v="0"/>
  </r>
  <r>
    <d v="2023-09-11T00:00:00"/>
    <x v="20"/>
    <x v="5"/>
    <x v="0"/>
    <x v="2"/>
    <x v="8"/>
    <s v="LG 55 inch OLED Smart TV"/>
    <n v="198926.78"/>
    <n v="2"/>
    <n v="18809.66"/>
    <x v="8"/>
    <x v="0"/>
  </r>
  <r>
    <d v="2023-09-12T00:00:00"/>
    <x v="9"/>
    <x v="2"/>
    <x v="0"/>
    <x v="4"/>
    <x v="11"/>
    <s v="Philips Hair Dryer"/>
    <n v="4963.8500000000004"/>
    <n v="3"/>
    <n v="1032.3699999999999"/>
    <x v="8"/>
    <x v="0"/>
  </r>
  <r>
    <d v="2023-09-12T00:00:00"/>
    <x v="7"/>
    <x v="9"/>
    <x v="0"/>
    <x v="1"/>
    <x v="1"/>
    <s v="Dell Inspiron 15 Laptop"/>
    <n v="52018.76"/>
    <n v="1"/>
    <n v="4379.72"/>
    <x v="8"/>
    <x v="0"/>
  </r>
  <r>
    <d v="2023-09-13T00:00:00"/>
    <x v="13"/>
    <x v="2"/>
    <x v="0"/>
    <x v="1"/>
    <x v="5"/>
    <s v="Dell 27 inch Monitor"/>
    <n v="16606.8"/>
    <n v="1"/>
    <n v="2083.1799999999998"/>
    <x v="8"/>
    <x v="0"/>
  </r>
  <r>
    <d v="2023-09-13T00:00:00"/>
    <x v="28"/>
    <x v="9"/>
    <x v="0"/>
    <x v="4"/>
    <x v="11"/>
    <s v="Philips Hair Dryer"/>
    <n v="5867.08"/>
    <n v="3"/>
    <n v="988.46"/>
    <x v="8"/>
    <x v="0"/>
  </r>
  <r>
    <d v="2023-09-14T00:00:00"/>
    <x v="11"/>
    <x v="11"/>
    <x v="0"/>
    <x v="2"/>
    <x v="8"/>
    <s v="Samsung 55 inch 4K Smart TV"/>
    <n v="135237.51"/>
    <n v="2"/>
    <n v="11181.64"/>
    <x v="8"/>
    <x v="0"/>
  </r>
  <r>
    <d v="2023-09-14T00:00:00"/>
    <x v="13"/>
    <x v="14"/>
    <x v="0"/>
    <x v="3"/>
    <x v="9"/>
    <s v="LG 260L Double Door Refrigerator"/>
    <n v="28105.8"/>
    <n v="1"/>
    <n v="5540.17"/>
    <x v="8"/>
    <x v="0"/>
  </r>
  <r>
    <d v="2023-09-15T00:00:00"/>
    <x v="11"/>
    <x v="4"/>
    <x v="0"/>
    <x v="3"/>
    <x v="4"/>
    <s v="Samsung 8kg Front Load Washing Machine"/>
    <n v="71247.23"/>
    <n v="2"/>
    <n v="13944.76"/>
    <x v="8"/>
    <x v="0"/>
  </r>
  <r>
    <d v="2023-09-15T00:00:00"/>
    <x v="2"/>
    <x v="5"/>
    <x v="0"/>
    <x v="3"/>
    <x v="7"/>
    <s v="Philips Air Fryer"/>
    <n v="24565.17"/>
    <n v="3"/>
    <n v="4273.01"/>
    <x v="8"/>
    <x v="0"/>
  </r>
  <r>
    <d v="2023-09-16T00:00:00"/>
    <x v="10"/>
    <x v="1"/>
    <x v="0"/>
    <x v="1"/>
    <x v="5"/>
    <s v="Dell 27 inch Monitor"/>
    <n v="33735.61"/>
    <n v="2"/>
    <n v="2988.72"/>
    <x v="8"/>
    <x v="0"/>
  </r>
  <r>
    <d v="2023-09-16T00:00:00"/>
    <x v="11"/>
    <x v="12"/>
    <x v="0"/>
    <x v="4"/>
    <x v="6"/>
    <s v="Eureka Forbes Vacuum Cleaner"/>
    <n v="42473.83"/>
    <n v="4"/>
    <n v="6448.42"/>
    <x v="8"/>
    <x v="0"/>
  </r>
  <r>
    <d v="2023-09-16T00:00:00"/>
    <x v="25"/>
    <x v="8"/>
    <x v="0"/>
    <x v="1"/>
    <x v="1"/>
    <s v="HP Pavilion 15 Laptop"/>
    <n v="59933.27"/>
    <n v="1"/>
    <n v="5771.91"/>
    <x v="8"/>
    <x v="0"/>
  </r>
  <r>
    <d v="2023-09-18T00:00:00"/>
    <x v="18"/>
    <x v="10"/>
    <x v="0"/>
    <x v="0"/>
    <x v="0"/>
    <s v="JBL Bluetooth Earbuds"/>
    <n v="10574.83"/>
    <n v="4"/>
    <n v="826.46"/>
    <x v="8"/>
    <x v="0"/>
  </r>
  <r>
    <d v="2023-09-19T00:00:00"/>
    <x v="8"/>
    <x v="2"/>
    <x v="0"/>
    <x v="1"/>
    <x v="1"/>
    <s v="Apple MacBook Air M2"/>
    <n v="89757.38"/>
    <n v="1"/>
    <n v="11228.6"/>
    <x v="8"/>
    <x v="0"/>
  </r>
  <r>
    <d v="2023-09-21T00:00:00"/>
    <x v="8"/>
    <x v="13"/>
    <x v="0"/>
    <x v="2"/>
    <x v="8"/>
    <s v="Samsung 55 inch 4K Smart TV"/>
    <n v="58623.69"/>
    <n v="1"/>
    <n v="7553.88"/>
    <x v="8"/>
    <x v="0"/>
  </r>
  <r>
    <d v="2023-09-22T00:00:00"/>
    <x v="27"/>
    <x v="1"/>
    <x v="0"/>
    <x v="0"/>
    <x v="2"/>
    <s v="Samsung Galaxy A55"/>
    <n v="38813.5"/>
    <n v="1"/>
    <n v="3455.93"/>
    <x v="8"/>
    <x v="0"/>
  </r>
  <r>
    <d v="2023-09-23T00:00:00"/>
    <x v="15"/>
    <x v="0"/>
    <x v="0"/>
    <x v="3"/>
    <x v="10"/>
    <s v="LG 1.5 Ton 5 Star Split AC"/>
    <n v="44843.64"/>
    <n v="1"/>
    <n v="5334.29"/>
    <x v="8"/>
    <x v="0"/>
  </r>
  <r>
    <d v="2023-09-24T00:00:00"/>
    <x v="18"/>
    <x v="0"/>
    <x v="0"/>
    <x v="2"/>
    <x v="8"/>
    <s v="Samsung 55 inch 4K Smart TV"/>
    <n v="65476.79"/>
    <n v="1"/>
    <n v="10400.540000000001"/>
    <x v="8"/>
    <x v="0"/>
  </r>
  <r>
    <d v="2023-09-24T00:00:00"/>
    <x v="28"/>
    <x v="12"/>
    <x v="0"/>
    <x v="0"/>
    <x v="2"/>
    <s v="Apple iPhone 15"/>
    <n v="181113.67"/>
    <n v="3"/>
    <n v="11559.86"/>
    <x v="8"/>
    <x v="0"/>
  </r>
  <r>
    <d v="2023-09-24T00:00:00"/>
    <x v="0"/>
    <x v="2"/>
    <x v="0"/>
    <x v="1"/>
    <x v="5"/>
    <s v="Dell 27 inch Monitor"/>
    <n v="51704.63"/>
    <n v="3"/>
    <n v="7652.39"/>
    <x v="8"/>
    <x v="0"/>
  </r>
  <r>
    <d v="2023-09-25T00:00:00"/>
    <x v="12"/>
    <x v="2"/>
    <x v="0"/>
    <x v="3"/>
    <x v="9"/>
    <s v="Samsung 253L Refrigerator"/>
    <n v="31625.3"/>
    <n v="1"/>
    <n v="-2238.54"/>
    <x v="8"/>
    <x v="0"/>
  </r>
  <r>
    <d v="2023-09-28T00:00:00"/>
    <x v="12"/>
    <x v="3"/>
    <x v="0"/>
    <x v="2"/>
    <x v="3"/>
    <s v="Sony Bluetooth Soundbar"/>
    <n v="49058.52"/>
    <n v="2"/>
    <n v="5461.94"/>
    <x v="8"/>
    <x v="0"/>
  </r>
  <r>
    <d v="2023-09-28T00:00:00"/>
    <x v="9"/>
    <x v="11"/>
    <x v="0"/>
    <x v="1"/>
    <x v="1"/>
    <s v="Dell Inspiron 15 Laptop"/>
    <n v="52444.23"/>
    <n v="1"/>
    <n v="-2019.67"/>
    <x v="8"/>
    <x v="0"/>
  </r>
  <r>
    <d v="2023-09-29T00:00:00"/>
    <x v="0"/>
    <x v="9"/>
    <x v="0"/>
    <x v="1"/>
    <x v="1"/>
    <s v="ASUS Vivobook 15"/>
    <n v="98549.05"/>
    <n v="2"/>
    <n v="9546.6200000000008"/>
    <x v="8"/>
    <x v="0"/>
  </r>
  <r>
    <d v="2023-09-30T00:00:00"/>
    <x v="17"/>
    <x v="9"/>
    <x v="0"/>
    <x v="1"/>
    <x v="5"/>
    <s v="Logitech Wireless Keyboard"/>
    <n v="2225.27"/>
    <n v="1"/>
    <n v="285.95999999999998"/>
    <x v="8"/>
    <x v="0"/>
  </r>
  <r>
    <d v="2023-10-01T00:00:00"/>
    <x v="4"/>
    <x v="8"/>
    <x v="0"/>
    <x v="4"/>
    <x v="6"/>
    <s v="Dyson V8 Vacuum Cleaner"/>
    <n v="60919.74"/>
    <n v="2"/>
    <n v="10397.11"/>
    <x v="9"/>
    <x v="0"/>
  </r>
  <r>
    <d v="2023-10-01T00:00:00"/>
    <x v="15"/>
    <x v="9"/>
    <x v="0"/>
    <x v="4"/>
    <x v="6"/>
    <s v="Dyson V8 Vacuum Cleaner"/>
    <n v="32379.42"/>
    <n v="1"/>
    <n v="4062.47"/>
    <x v="9"/>
    <x v="0"/>
  </r>
  <r>
    <d v="2023-10-01T00:00:00"/>
    <x v="20"/>
    <x v="3"/>
    <x v="0"/>
    <x v="0"/>
    <x v="0"/>
    <s v="JBL Bluetooth Earbuds"/>
    <n v="7593.3"/>
    <n v="3"/>
    <n v="1015.31"/>
    <x v="9"/>
    <x v="0"/>
  </r>
  <r>
    <d v="2023-10-04T00:00:00"/>
    <x v="12"/>
    <x v="1"/>
    <x v="0"/>
    <x v="2"/>
    <x v="3"/>
    <s v="Sony Wireless Headphones"/>
    <n v="19274.75"/>
    <n v="2"/>
    <n v="2729.3"/>
    <x v="9"/>
    <x v="0"/>
  </r>
  <r>
    <d v="2023-10-05T00:00:00"/>
    <x v="9"/>
    <x v="12"/>
    <x v="0"/>
    <x v="1"/>
    <x v="5"/>
    <s v="Logitech Wireless Keyboard"/>
    <n v="2233.46"/>
    <n v="1"/>
    <n v="315.51"/>
    <x v="9"/>
    <x v="0"/>
  </r>
  <r>
    <d v="2023-10-05T00:00:00"/>
    <x v="16"/>
    <x v="9"/>
    <x v="0"/>
    <x v="0"/>
    <x v="0"/>
    <s v="JBL Bluetooth Earbuds"/>
    <n v="2506.63"/>
    <n v="1"/>
    <n v="230.71"/>
    <x v="9"/>
    <x v="0"/>
  </r>
  <r>
    <d v="2023-10-05T00:00:00"/>
    <x v="5"/>
    <x v="1"/>
    <x v="0"/>
    <x v="3"/>
    <x v="9"/>
    <s v="Samsung 253L Refrigerator"/>
    <n v="31124.26"/>
    <n v="1"/>
    <n v="2740.36"/>
    <x v="9"/>
    <x v="0"/>
  </r>
  <r>
    <d v="2023-10-06T00:00:00"/>
    <x v="12"/>
    <x v="6"/>
    <x v="0"/>
    <x v="1"/>
    <x v="5"/>
    <s v="TP-Link Wi-Fi Router"/>
    <n v="5909.2"/>
    <n v="2"/>
    <n v="705.39"/>
    <x v="9"/>
    <x v="0"/>
  </r>
  <r>
    <d v="2023-10-07T00:00:00"/>
    <x v="16"/>
    <x v="0"/>
    <x v="0"/>
    <x v="3"/>
    <x v="9"/>
    <s v="Whirlpool 265L Frost Free Refrigerator"/>
    <n v="99512.54"/>
    <n v="4"/>
    <n v="-3993.49"/>
    <x v="9"/>
    <x v="0"/>
  </r>
  <r>
    <d v="2023-10-07T00:00:00"/>
    <x v="21"/>
    <x v="0"/>
    <x v="0"/>
    <x v="1"/>
    <x v="1"/>
    <s v="HP Pavilion 15 Laptop"/>
    <n v="237226.09"/>
    <n v="4"/>
    <n v="17078.11"/>
    <x v="9"/>
    <x v="0"/>
  </r>
  <r>
    <d v="2023-10-08T00:00:00"/>
    <x v="10"/>
    <x v="3"/>
    <x v="0"/>
    <x v="0"/>
    <x v="0"/>
    <s v="boAt Wireless Earphones"/>
    <n v="1680.85"/>
    <n v="1"/>
    <n v="120.73"/>
    <x v="9"/>
    <x v="0"/>
  </r>
  <r>
    <d v="2023-10-08T00:00:00"/>
    <x v="9"/>
    <x v="6"/>
    <x v="0"/>
    <x v="2"/>
    <x v="8"/>
    <s v="Samsung 55 inch 4K Smart TV"/>
    <n v="139766.47"/>
    <n v="2"/>
    <n v="20266.419999999998"/>
    <x v="9"/>
    <x v="0"/>
  </r>
  <r>
    <d v="2023-10-08T00:00:00"/>
    <x v="27"/>
    <x v="7"/>
    <x v="0"/>
    <x v="0"/>
    <x v="2"/>
    <s v="OnePlus 12"/>
    <n v="63755.73"/>
    <n v="1"/>
    <n v="4965.18"/>
    <x v="9"/>
    <x v="0"/>
  </r>
  <r>
    <d v="2023-10-08T00:00:00"/>
    <x v="26"/>
    <x v="9"/>
    <x v="0"/>
    <x v="3"/>
    <x v="10"/>
    <s v="Voltas 1.5 Ton Split AC"/>
    <n v="66430.86"/>
    <n v="2"/>
    <n v="7721.87"/>
    <x v="9"/>
    <x v="0"/>
  </r>
  <r>
    <d v="2023-10-09T00:00:00"/>
    <x v="13"/>
    <x v="6"/>
    <x v="0"/>
    <x v="0"/>
    <x v="2"/>
    <s v="Google Pixel 8"/>
    <n v="58810.64"/>
    <n v="1"/>
    <n v="3600.37"/>
    <x v="9"/>
    <x v="0"/>
  </r>
  <r>
    <d v="2023-10-10T00:00:00"/>
    <x v="4"/>
    <x v="3"/>
    <x v="0"/>
    <x v="3"/>
    <x v="7"/>
    <s v="Morphy Richards OTG"/>
    <n v="20192.240000000002"/>
    <n v="3"/>
    <n v="1923.58"/>
    <x v="9"/>
    <x v="0"/>
  </r>
  <r>
    <d v="2023-10-11T00:00:00"/>
    <x v="23"/>
    <x v="0"/>
    <x v="0"/>
    <x v="0"/>
    <x v="0"/>
    <s v="JBL Bluetooth Earbuds"/>
    <n v="5887.24"/>
    <n v="2"/>
    <n v="801.43"/>
    <x v="9"/>
    <x v="0"/>
  </r>
  <r>
    <d v="2023-10-11T00:00:00"/>
    <x v="23"/>
    <x v="13"/>
    <x v="0"/>
    <x v="3"/>
    <x v="4"/>
    <s v="Samsung 8kg Front Load Washing Machine"/>
    <n v="69846.34"/>
    <n v="2"/>
    <n v="5599.14"/>
    <x v="9"/>
    <x v="0"/>
  </r>
  <r>
    <d v="2023-10-11T00:00:00"/>
    <x v="17"/>
    <x v="14"/>
    <x v="0"/>
    <x v="4"/>
    <x v="11"/>
    <s v="Braun Electric Shaver"/>
    <n v="4984.8900000000003"/>
    <n v="1"/>
    <n v="903.35"/>
    <x v="9"/>
    <x v="0"/>
  </r>
  <r>
    <d v="2023-10-12T00:00:00"/>
    <x v="22"/>
    <x v="13"/>
    <x v="0"/>
    <x v="3"/>
    <x v="7"/>
    <s v="Philips Air Fryer"/>
    <n v="35872.870000000003"/>
    <n v="4"/>
    <n v="3798.17"/>
    <x v="9"/>
    <x v="0"/>
  </r>
  <r>
    <d v="2023-10-14T00:00:00"/>
    <x v="4"/>
    <x v="13"/>
    <x v="0"/>
    <x v="0"/>
    <x v="0"/>
    <s v="Apple 20W USB-C Power Adapter"/>
    <n v="1915.47"/>
    <n v="1"/>
    <n v="128.03"/>
    <x v="9"/>
    <x v="0"/>
  </r>
  <r>
    <d v="2023-10-14T00:00:00"/>
    <x v="29"/>
    <x v="1"/>
    <x v="0"/>
    <x v="2"/>
    <x v="3"/>
    <s v="Sony Bluetooth Soundbar"/>
    <n v="41954.26"/>
    <n v="2"/>
    <n v="6920.72"/>
    <x v="9"/>
    <x v="0"/>
  </r>
  <r>
    <d v="2023-10-14T00:00:00"/>
    <x v="13"/>
    <x v="7"/>
    <x v="0"/>
    <x v="4"/>
    <x v="6"/>
    <s v="Dyson V8 Vacuum Cleaner"/>
    <n v="34249.440000000002"/>
    <n v="1"/>
    <n v="8199.4599999999991"/>
    <x v="9"/>
    <x v="0"/>
  </r>
  <r>
    <d v="2023-10-15T00:00:00"/>
    <x v="0"/>
    <x v="3"/>
    <x v="0"/>
    <x v="4"/>
    <x v="11"/>
    <s v="Braun Electric Shaver"/>
    <n v="10744.5"/>
    <n v="2"/>
    <n v="2240.4"/>
    <x v="9"/>
    <x v="0"/>
  </r>
  <r>
    <d v="2023-10-16T00:00:00"/>
    <x v="22"/>
    <x v="14"/>
    <x v="0"/>
    <x v="3"/>
    <x v="10"/>
    <s v="LG 1.5 Ton 5 Star Split AC"/>
    <n v="134631.85"/>
    <n v="3"/>
    <n v="19439.310000000001"/>
    <x v="9"/>
    <x v="0"/>
  </r>
  <r>
    <d v="2023-10-16T00:00:00"/>
    <x v="22"/>
    <x v="13"/>
    <x v="0"/>
    <x v="2"/>
    <x v="3"/>
    <s v="Sony Wireless Headphones"/>
    <n v="28141.119999999999"/>
    <n v="3"/>
    <n v="3265.26"/>
    <x v="9"/>
    <x v="0"/>
  </r>
  <r>
    <d v="2023-10-17T00:00:00"/>
    <x v="19"/>
    <x v="12"/>
    <x v="0"/>
    <x v="3"/>
    <x v="4"/>
    <s v="IFB 7kg Front Load Washing Machine"/>
    <n v="30920.39"/>
    <n v="1"/>
    <n v="4831.63"/>
    <x v="9"/>
    <x v="0"/>
  </r>
  <r>
    <d v="2023-10-17T00:00:00"/>
    <x v="1"/>
    <x v="13"/>
    <x v="0"/>
    <x v="0"/>
    <x v="0"/>
    <s v="Portronics Power Bank 20000mAh"/>
    <n v="9048.14"/>
    <n v="4"/>
    <n v="750.91"/>
    <x v="9"/>
    <x v="0"/>
  </r>
  <r>
    <d v="2023-10-18T00:00:00"/>
    <x v="3"/>
    <x v="14"/>
    <x v="0"/>
    <x v="3"/>
    <x v="7"/>
    <s v="Philips Air Fryer"/>
    <n v="7644.3"/>
    <n v="1"/>
    <n v="859.49"/>
    <x v="9"/>
    <x v="0"/>
  </r>
  <r>
    <d v="2023-10-19T00:00:00"/>
    <x v="24"/>
    <x v="14"/>
    <x v="0"/>
    <x v="3"/>
    <x v="10"/>
    <s v="LG 1.5 Ton 5 Star Split AC"/>
    <n v="88518.16"/>
    <n v="2"/>
    <n v="9552.42"/>
    <x v="9"/>
    <x v="0"/>
  </r>
  <r>
    <d v="2023-10-19T00:00:00"/>
    <x v="14"/>
    <x v="7"/>
    <x v="0"/>
    <x v="3"/>
    <x v="9"/>
    <s v="Whirlpool 265L Frost Free Refrigerator"/>
    <n v="58039.12"/>
    <n v="2"/>
    <n v="8720.59"/>
    <x v="9"/>
    <x v="0"/>
  </r>
  <r>
    <d v="2023-10-20T00:00:00"/>
    <x v="14"/>
    <x v="3"/>
    <x v="0"/>
    <x v="3"/>
    <x v="4"/>
    <s v="IFB 7kg Front Load Washing Machine"/>
    <n v="28712.27"/>
    <n v="1"/>
    <n v="3988.57"/>
    <x v="9"/>
    <x v="0"/>
  </r>
  <r>
    <d v="2023-10-21T00:00:00"/>
    <x v="9"/>
    <x v="13"/>
    <x v="0"/>
    <x v="0"/>
    <x v="0"/>
    <s v="JBL Bluetooth Earbuds"/>
    <n v="2941.77"/>
    <n v="1"/>
    <n v="330.49"/>
    <x v="9"/>
    <x v="0"/>
  </r>
  <r>
    <d v="2023-10-22T00:00:00"/>
    <x v="13"/>
    <x v="2"/>
    <x v="0"/>
    <x v="3"/>
    <x v="7"/>
    <s v="Bajaj Mixer Grinder"/>
    <n v="4421.1000000000004"/>
    <n v="1"/>
    <n v="574.30999999999995"/>
    <x v="9"/>
    <x v="0"/>
  </r>
  <r>
    <d v="2023-10-23T00:00:00"/>
    <x v="27"/>
    <x v="7"/>
    <x v="0"/>
    <x v="2"/>
    <x v="8"/>
    <s v="TCL 50 inch 4K Smart TV"/>
    <n v="122817.60000000001"/>
    <n v="3"/>
    <n v="17480.13"/>
    <x v="9"/>
    <x v="0"/>
  </r>
  <r>
    <d v="2023-10-23T00:00:00"/>
    <x v="25"/>
    <x v="7"/>
    <x v="0"/>
    <x v="4"/>
    <x v="6"/>
    <s v="Eureka Forbes Vacuum Cleaner"/>
    <n v="11513.93"/>
    <n v="1"/>
    <n v="2355.5100000000002"/>
    <x v="9"/>
    <x v="0"/>
  </r>
  <r>
    <d v="2023-10-23T00:00:00"/>
    <x v="2"/>
    <x v="11"/>
    <x v="0"/>
    <x v="0"/>
    <x v="0"/>
    <s v="Apple 20W USB-C Power Adapter"/>
    <n v="1719.85"/>
    <n v="1"/>
    <n v="256.89"/>
    <x v="9"/>
    <x v="0"/>
  </r>
  <r>
    <d v="2023-10-24T00:00:00"/>
    <x v="16"/>
    <x v="8"/>
    <x v="0"/>
    <x v="1"/>
    <x v="5"/>
    <s v="Logitech Wireless Keyboard"/>
    <n v="4183.62"/>
    <n v="2"/>
    <n v="307.42"/>
    <x v="9"/>
    <x v="0"/>
  </r>
  <r>
    <d v="2023-10-24T00:00:00"/>
    <x v="17"/>
    <x v="4"/>
    <x v="0"/>
    <x v="1"/>
    <x v="1"/>
    <s v="Dell Inspiron 15 Laptop"/>
    <n v="147223.56"/>
    <n v="3"/>
    <n v="17658.669999999998"/>
    <x v="9"/>
    <x v="0"/>
  </r>
  <r>
    <d v="2023-10-24T00:00:00"/>
    <x v="10"/>
    <x v="8"/>
    <x v="0"/>
    <x v="3"/>
    <x v="10"/>
    <s v="Daikin 1.5 Ton Inverter AC"/>
    <n v="218951.56"/>
    <n v="5"/>
    <n v="23929.67"/>
    <x v="9"/>
    <x v="0"/>
  </r>
  <r>
    <d v="2023-10-25T00:00:00"/>
    <x v="10"/>
    <x v="2"/>
    <x v="0"/>
    <x v="4"/>
    <x v="11"/>
    <s v="Philips Trimmer"/>
    <n v="2259.2600000000002"/>
    <n v="1"/>
    <n v="453.48"/>
    <x v="9"/>
    <x v="0"/>
  </r>
  <r>
    <d v="2023-10-25T00:00:00"/>
    <x v="10"/>
    <x v="14"/>
    <x v="0"/>
    <x v="3"/>
    <x v="4"/>
    <s v="LG 7kg Fully Automatic Washing Machine"/>
    <n v="26571.75"/>
    <n v="1"/>
    <n v="-574.67999999999995"/>
    <x v="9"/>
    <x v="0"/>
  </r>
  <r>
    <d v="2023-10-26T00:00:00"/>
    <x v="13"/>
    <x v="11"/>
    <x v="0"/>
    <x v="1"/>
    <x v="5"/>
    <s v="Dell 27 inch Monitor"/>
    <n v="16441.36"/>
    <n v="1"/>
    <n v="2501.88"/>
    <x v="9"/>
    <x v="0"/>
  </r>
  <r>
    <d v="2023-10-26T00:00:00"/>
    <x v="11"/>
    <x v="8"/>
    <x v="0"/>
    <x v="1"/>
    <x v="5"/>
    <s v="HP 24 inch Monitor"/>
    <n v="11972.56"/>
    <n v="1"/>
    <n v="1540.2"/>
    <x v="9"/>
    <x v="0"/>
  </r>
  <r>
    <d v="2023-10-27T00:00:00"/>
    <x v="13"/>
    <x v="13"/>
    <x v="0"/>
    <x v="3"/>
    <x v="10"/>
    <s v="LG 1.5 Ton 5 Star Split AC"/>
    <n v="41040.980000000003"/>
    <n v="1"/>
    <n v="3592.86"/>
    <x v="9"/>
    <x v="0"/>
  </r>
  <r>
    <d v="2023-10-28T00:00:00"/>
    <x v="1"/>
    <x v="12"/>
    <x v="0"/>
    <x v="3"/>
    <x v="9"/>
    <s v="LG 260L Double Door Refrigerator"/>
    <n v="27713.85"/>
    <n v="1"/>
    <n v="3800.96"/>
    <x v="9"/>
    <x v="0"/>
  </r>
  <r>
    <d v="2023-10-29T00:00:00"/>
    <x v="4"/>
    <x v="5"/>
    <x v="0"/>
    <x v="3"/>
    <x v="10"/>
    <s v="Voltas 1.5 Ton Split AC"/>
    <n v="35628.410000000003"/>
    <n v="1"/>
    <n v="3021.64"/>
    <x v="9"/>
    <x v="0"/>
  </r>
  <r>
    <d v="2023-10-30T00:00:00"/>
    <x v="25"/>
    <x v="5"/>
    <x v="0"/>
    <x v="1"/>
    <x v="5"/>
    <s v="Logitech Wireless Keyboard"/>
    <n v="2248.7399999999998"/>
    <n v="1"/>
    <n v="281.55"/>
    <x v="9"/>
    <x v="0"/>
  </r>
  <r>
    <d v="2023-10-30T00:00:00"/>
    <x v="1"/>
    <x v="7"/>
    <x v="0"/>
    <x v="3"/>
    <x v="10"/>
    <s v="Daikin 1.5 Ton Inverter AC"/>
    <n v="47428.66"/>
    <n v="1"/>
    <n v="5794.01"/>
    <x v="9"/>
    <x v="0"/>
  </r>
  <r>
    <d v="2023-10-30T00:00:00"/>
    <x v="9"/>
    <x v="12"/>
    <x v="0"/>
    <x v="2"/>
    <x v="8"/>
    <s v="Samsung 55 inch 4K Smart TV"/>
    <n v="64020.02"/>
    <n v="1"/>
    <n v="11171.9"/>
    <x v="9"/>
    <x v="0"/>
  </r>
  <r>
    <d v="2023-10-31T00:00:00"/>
    <x v="21"/>
    <x v="0"/>
    <x v="0"/>
    <x v="3"/>
    <x v="9"/>
    <s v="Whirlpool 265L Frost Free Refrigerator"/>
    <n v="26856.14"/>
    <n v="1"/>
    <n v="2258.33"/>
    <x v="9"/>
    <x v="0"/>
  </r>
  <r>
    <d v="2023-10-31T00:00:00"/>
    <x v="24"/>
    <x v="8"/>
    <x v="0"/>
    <x v="2"/>
    <x v="8"/>
    <s v="TCL 50 inch 4K Smart TV"/>
    <n v="42055.31"/>
    <n v="1"/>
    <n v="4472.0600000000004"/>
    <x v="9"/>
    <x v="0"/>
  </r>
  <r>
    <d v="2023-10-31T00:00:00"/>
    <x v="19"/>
    <x v="0"/>
    <x v="0"/>
    <x v="0"/>
    <x v="2"/>
    <s v="OnePlus 12"/>
    <n v="113295.26"/>
    <n v="2"/>
    <n v="9924.6200000000008"/>
    <x v="9"/>
    <x v="0"/>
  </r>
  <r>
    <d v="2023-11-01T00:00:00"/>
    <x v="16"/>
    <x v="12"/>
    <x v="0"/>
    <x v="2"/>
    <x v="3"/>
    <s v="JBL 5.1 Soundbar"/>
    <n v="31775.32"/>
    <n v="1"/>
    <n v="3802.82"/>
    <x v="10"/>
    <x v="0"/>
  </r>
  <r>
    <d v="2023-11-03T00:00:00"/>
    <x v="12"/>
    <x v="6"/>
    <x v="0"/>
    <x v="0"/>
    <x v="2"/>
    <s v="Google Pixel 8"/>
    <n v="98494.22"/>
    <n v="2"/>
    <n v="13439.05"/>
    <x v="10"/>
    <x v="0"/>
  </r>
  <r>
    <d v="2023-11-04T00:00:00"/>
    <x v="17"/>
    <x v="3"/>
    <x v="0"/>
    <x v="4"/>
    <x v="11"/>
    <s v="Philips Trimmer"/>
    <n v="2203.89"/>
    <n v="1"/>
    <n v="424.69"/>
    <x v="10"/>
    <x v="0"/>
  </r>
  <r>
    <d v="2023-11-04T00:00:00"/>
    <x v="5"/>
    <x v="2"/>
    <x v="0"/>
    <x v="0"/>
    <x v="0"/>
    <s v="Samsung 25W Charger"/>
    <n v="1386.69"/>
    <n v="1"/>
    <n v="173.09"/>
    <x v="10"/>
    <x v="0"/>
  </r>
  <r>
    <d v="2023-11-04T00:00:00"/>
    <x v="5"/>
    <x v="7"/>
    <x v="0"/>
    <x v="2"/>
    <x v="8"/>
    <s v="Samsung 55 inch 4K Smart TV"/>
    <n v="66090.63"/>
    <n v="1"/>
    <n v="10367.18"/>
    <x v="10"/>
    <x v="0"/>
  </r>
  <r>
    <d v="2023-11-04T00:00:00"/>
    <x v="9"/>
    <x v="6"/>
    <x v="0"/>
    <x v="0"/>
    <x v="2"/>
    <s v="Samsung Galaxy S24"/>
    <n v="123057.41"/>
    <n v="2"/>
    <n v="14364.39"/>
    <x v="10"/>
    <x v="0"/>
  </r>
  <r>
    <d v="2023-11-05T00:00:00"/>
    <x v="9"/>
    <x v="1"/>
    <x v="0"/>
    <x v="3"/>
    <x v="10"/>
    <s v="LG 1.5 Ton 5 Star Split AC"/>
    <n v="41995.44"/>
    <n v="1"/>
    <n v="3607.25"/>
    <x v="10"/>
    <x v="0"/>
  </r>
  <r>
    <d v="2023-11-07T00:00:00"/>
    <x v="16"/>
    <x v="4"/>
    <x v="0"/>
    <x v="4"/>
    <x v="6"/>
    <s v="Dyson V8 Vacuum Cleaner"/>
    <n v="60070.45"/>
    <n v="2"/>
    <n v="8347.85"/>
    <x v="10"/>
    <x v="0"/>
  </r>
  <r>
    <d v="2023-11-07T00:00:00"/>
    <x v="7"/>
    <x v="13"/>
    <x v="0"/>
    <x v="4"/>
    <x v="6"/>
    <s v="Eureka Forbes Vacuum Cleaner"/>
    <n v="30429.18"/>
    <n v="3"/>
    <n v="6386.11"/>
    <x v="10"/>
    <x v="0"/>
  </r>
  <r>
    <d v="2023-11-08T00:00:00"/>
    <x v="12"/>
    <x v="11"/>
    <x v="0"/>
    <x v="2"/>
    <x v="3"/>
    <s v="Sony Bluetooth Soundbar"/>
    <n v="69028.240000000005"/>
    <n v="3"/>
    <n v="9152.81"/>
    <x v="10"/>
    <x v="0"/>
  </r>
  <r>
    <d v="2023-11-08T00:00:00"/>
    <x v="5"/>
    <x v="12"/>
    <x v="0"/>
    <x v="0"/>
    <x v="0"/>
    <s v="Samsung 25W Charger"/>
    <n v="2658.74"/>
    <n v="2"/>
    <n v="326.99"/>
    <x v="10"/>
    <x v="0"/>
  </r>
  <r>
    <d v="2023-11-09T00:00:00"/>
    <x v="2"/>
    <x v="5"/>
    <x v="0"/>
    <x v="4"/>
    <x v="11"/>
    <s v="Philips Hair Dryer"/>
    <n v="3623.82"/>
    <n v="2"/>
    <n v="612.09"/>
    <x v="10"/>
    <x v="0"/>
  </r>
  <r>
    <d v="2023-11-09T00:00:00"/>
    <x v="13"/>
    <x v="13"/>
    <x v="0"/>
    <x v="3"/>
    <x v="7"/>
    <s v="Morphy Richards OTG"/>
    <n v="6892.23"/>
    <n v="1"/>
    <n v="752.05"/>
    <x v="10"/>
    <x v="0"/>
  </r>
  <r>
    <d v="2023-11-09T00:00:00"/>
    <x v="13"/>
    <x v="1"/>
    <x v="0"/>
    <x v="2"/>
    <x v="8"/>
    <s v="Sony 55 inch Bravia 4K TV"/>
    <n v="215309.41"/>
    <n v="3"/>
    <n v="38632.04"/>
    <x v="10"/>
    <x v="0"/>
  </r>
  <r>
    <d v="2023-11-09T00:00:00"/>
    <x v="26"/>
    <x v="6"/>
    <x v="0"/>
    <x v="2"/>
    <x v="8"/>
    <s v="Sony 55 inch Bravia 4K TV"/>
    <n v="84588.81"/>
    <n v="1"/>
    <n v="11858.69"/>
    <x v="10"/>
    <x v="0"/>
  </r>
  <r>
    <d v="2023-11-10T00:00:00"/>
    <x v="26"/>
    <x v="13"/>
    <x v="0"/>
    <x v="0"/>
    <x v="0"/>
    <s v="boAt Wireless Earphones"/>
    <n v="3168.95"/>
    <n v="2"/>
    <n v="267.14"/>
    <x v="10"/>
    <x v="0"/>
  </r>
  <r>
    <d v="2023-11-10T00:00:00"/>
    <x v="21"/>
    <x v="5"/>
    <x v="0"/>
    <x v="4"/>
    <x v="11"/>
    <s v="Braun Electric Shaver"/>
    <n v="5197.41"/>
    <n v="1"/>
    <n v="614.73"/>
    <x v="10"/>
    <x v="0"/>
  </r>
  <r>
    <d v="2023-11-11T00:00:00"/>
    <x v="17"/>
    <x v="5"/>
    <x v="0"/>
    <x v="4"/>
    <x v="6"/>
    <s v="Dyson V8 Vacuum Cleaner"/>
    <n v="32529.7"/>
    <n v="1"/>
    <n v="5687.12"/>
    <x v="10"/>
    <x v="0"/>
  </r>
  <r>
    <d v="2023-11-12T00:00:00"/>
    <x v="13"/>
    <x v="12"/>
    <x v="0"/>
    <x v="1"/>
    <x v="5"/>
    <s v="Logitech Wireless Keyboard"/>
    <n v="2074.84"/>
    <n v="1"/>
    <n v="237.51"/>
    <x v="10"/>
    <x v="0"/>
  </r>
  <r>
    <d v="2023-11-13T00:00:00"/>
    <x v="20"/>
    <x v="2"/>
    <x v="0"/>
    <x v="2"/>
    <x v="8"/>
    <s v="LG 55 inch OLED Smart TV"/>
    <n v="298631.67"/>
    <n v="3"/>
    <n v="45886.68"/>
    <x v="10"/>
    <x v="0"/>
  </r>
  <r>
    <d v="2023-11-13T00:00:00"/>
    <x v="6"/>
    <x v="10"/>
    <x v="0"/>
    <x v="4"/>
    <x v="11"/>
    <s v="Philips Trimmer"/>
    <n v="4206.6099999999997"/>
    <n v="2"/>
    <n v="525.19000000000005"/>
    <x v="10"/>
    <x v="0"/>
  </r>
  <r>
    <d v="2023-11-15T00:00:00"/>
    <x v="15"/>
    <x v="0"/>
    <x v="0"/>
    <x v="4"/>
    <x v="11"/>
    <s v="Braun Electric Shaver"/>
    <n v="5256.63"/>
    <n v="1"/>
    <n v="1153.3499999999999"/>
    <x v="10"/>
    <x v="0"/>
  </r>
  <r>
    <d v="2023-11-16T00:00:00"/>
    <x v="21"/>
    <x v="13"/>
    <x v="0"/>
    <x v="4"/>
    <x v="6"/>
    <s v="Philips Air Purifier"/>
    <n v="27422.59"/>
    <n v="2"/>
    <n v="3854.95"/>
    <x v="10"/>
    <x v="0"/>
  </r>
  <r>
    <d v="2023-11-17T00:00:00"/>
    <x v="26"/>
    <x v="6"/>
    <x v="0"/>
    <x v="3"/>
    <x v="4"/>
    <s v="LG 7kg Fully Automatic Washing Machine"/>
    <n v="56340.1"/>
    <n v="2"/>
    <n v="10975.32"/>
    <x v="10"/>
    <x v="0"/>
  </r>
  <r>
    <d v="2023-11-20T00:00:00"/>
    <x v="14"/>
    <x v="8"/>
    <x v="0"/>
    <x v="0"/>
    <x v="0"/>
    <s v="Samsung 25W Charger"/>
    <n v="6268.12"/>
    <n v="5"/>
    <n v="873.73"/>
    <x v="10"/>
    <x v="0"/>
  </r>
  <r>
    <d v="2023-11-20T00:00:00"/>
    <x v="21"/>
    <x v="2"/>
    <x v="0"/>
    <x v="3"/>
    <x v="9"/>
    <s v="LG 260L Double Door Refrigerator"/>
    <n v="27490.41"/>
    <n v="1"/>
    <n v="4530.67"/>
    <x v="10"/>
    <x v="0"/>
  </r>
  <r>
    <d v="2023-11-20T00:00:00"/>
    <x v="21"/>
    <x v="9"/>
    <x v="0"/>
    <x v="1"/>
    <x v="1"/>
    <s v="HP Pavilion 15 Laptop"/>
    <n v="64844.03"/>
    <n v="1"/>
    <n v="9928.06"/>
    <x v="10"/>
    <x v="0"/>
  </r>
  <r>
    <d v="2023-11-21T00:00:00"/>
    <x v="5"/>
    <x v="7"/>
    <x v="0"/>
    <x v="4"/>
    <x v="11"/>
    <s v="Philips Hair Dryer"/>
    <n v="1957.99"/>
    <n v="1"/>
    <n v="257.94"/>
    <x v="10"/>
    <x v="0"/>
  </r>
  <r>
    <d v="2023-11-23T00:00:00"/>
    <x v="21"/>
    <x v="1"/>
    <x v="0"/>
    <x v="3"/>
    <x v="10"/>
    <s v="Daikin 1.5 Ton Inverter AC"/>
    <n v="82157.91"/>
    <n v="2"/>
    <n v="14042.9"/>
    <x v="10"/>
    <x v="0"/>
  </r>
  <r>
    <d v="2023-11-24T00:00:00"/>
    <x v="12"/>
    <x v="4"/>
    <x v="0"/>
    <x v="0"/>
    <x v="0"/>
    <s v="Apple 20W USB-C Power Adapter"/>
    <n v="1882.68"/>
    <n v="1"/>
    <n v="193.73"/>
    <x v="10"/>
    <x v="0"/>
  </r>
  <r>
    <d v="2023-11-26T00:00:00"/>
    <x v="2"/>
    <x v="4"/>
    <x v="0"/>
    <x v="1"/>
    <x v="1"/>
    <s v="HP Pavilion 15 Laptop"/>
    <n v="123074.77"/>
    <n v="2"/>
    <n v="-8243.77"/>
    <x v="10"/>
    <x v="0"/>
  </r>
  <r>
    <d v="2023-11-26T00:00:00"/>
    <x v="11"/>
    <x v="4"/>
    <x v="0"/>
    <x v="4"/>
    <x v="11"/>
    <s v="Braun Electric Shaver"/>
    <n v="5819.38"/>
    <n v="1"/>
    <n v="1333.47"/>
    <x v="10"/>
    <x v="0"/>
  </r>
  <r>
    <d v="2023-11-26T00:00:00"/>
    <x v="1"/>
    <x v="12"/>
    <x v="0"/>
    <x v="1"/>
    <x v="5"/>
    <s v="Logitech Wireless Keyboard"/>
    <n v="4193.92"/>
    <n v="2"/>
    <n v="376.85"/>
    <x v="10"/>
    <x v="0"/>
  </r>
  <r>
    <d v="2023-11-27T00:00:00"/>
    <x v="18"/>
    <x v="6"/>
    <x v="0"/>
    <x v="4"/>
    <x v="11"/>
    <s v="Braun Electric Shaver"/>
    <n v="5977.97"/>
    <n v="1"/>
    <n v="1375.37"/>
    <x v="10"/>
    <x v="0"/>
  </r>
  <r>
    <d v="2023-11-27T00:00:00"/>
    <x v="21"/>
    <x v="3"/>
    <x v="0"/>
    <x v="0"/>
    <x v="0"/>
    <s v="boAt Wireless Earphones"/>
    <n v="2967.1"/>
    <n v="2"/>
    <n v="199.48"/>
    <x v="10"/>
    <x v="0"/>
  </r>
  <r>
    <d v="2023-11-28T00:00:00"/>
    <x v="6"/>
    <x v="14"/>
    <x v="0"/>
    <x v="1"/>
    <x v="1"/>
    <s v="ASUS Vivobook 15"/>
    <n v="53015.47"/>
    <n v="1"/>
    <n v="6922.49"/>
    <x v="10"/>
    <x v="0"/>
  </r>
  <r>
    <d v="2023-11-29T00:00:00"/>
    <x v="13"/>
    <x v="8"/>
    <x v="0"/>
    <x v="1"/>
    <x v="1"/>
    <s v="HP Pavilion 15 Laptop"/>
    <n v="111478.88"/>
    <n v="2"/>
    <n v="14133.08"/>
    <x v="10"/>
    <x v="0"/>
  </r>
  <r>
    <d v="2023-11-29T00:00:00"/>
    <x v="18"/>
    <x v="0"/>
    <x v="0"/>
    <x v="0"/>
    <x v="2"/>
    <s v="Google Pixel 8"/>
    <n v="206796.57"/>
    <n v="4"/>
    <n v="30047.75"/>
    <x v="10"/>
    <x v="0"/>
  </r>
  <r>
    <d v="2023-11-30T00:00:00"/>
    <x v="18"/>
    <x v="3"/>
    <x v="0"/>
    <x v="0"/>
    <x v="2"/>
    <s v="Samsung Galaxy A55"/>
    <n v="33449.42"/>
    <n v="1"/>
    <n v="2572.16"/>
    <x v="10"/>
    <x v="0"/>
  </r>
  <r>
    <d v="2023-11-30T00:00:00"/>
    <x v="2"/>
    <x v="8"/>
    <x v="0"/>
    <x v="1"/>
    <x v="1"/>
    <s v="Lenovo IdeaPad Slim 5"/>
    <n v="67488.81"/>
    <n v="1"/>
    <n v="6634.27"/>
    <x v="10"/>
    <x v="0"/>
  </r>
  <r>
    <d v="2023-12-02T00:00:00"/>
    <x v="2"/>
    <x v="3"/>
    <x v="0"/>
    <x v="4"/>
    <x v="11"/>
    <s v="Philips Trimmer"/>
    <n v="4181.1000000000004"/>
    <n v="2"/>
    <n v="637.79999999999995"/>
    <x v="11"/>
    <x v="0"/>
  </r>
  <r>
    <d v="2023-12-02T00:00:00"/>
    <x v="19"/>
    <x v="9"/>
    <x v="0"/>
    <x v="1"/>
    <x v="1"/>
    <s v="Apple MacBook Air M2"/>
    <n v="292956.59999999998"/>
    <n v="3"/>
    <n v="30266.73"/>
    <x v="11"/>
    <x v="0"/>
  </r>
  <r>
    <d v="2023-12-04T00:00:00"/>
    <x v="6"/>
    <x v="2"/>
    <x v="0"/>
    <x v="3"/>
    <x v="4"/>
    <s v="LG 7kg Fully Automatic Washing Machine"/>
    <n v="27917.4"/>
    <n v="1"/>
    <n v="2869.86"/>
    <x v="11"/>
    <x v="0"/>
  </r>
  <r>
    <d v="2023-12-04T00:00:00"/>
    <x v="17"/>
    <x v="13"/>
    <x v="0"/>
    <x v="3"/>
    <x v="4"/>
    <s v="IFB 7kg Front Load Washing Machine"/>
    <n v="84613.34"/>
    <n v="3"/>
    <n v="-1726.4"/>
    <x v="11"/>
    <x v="0"/>
  </r>
  <r>
    <d v="2023-12-06T00:00:00"/>
    <x v="13"/>
    <x v="8"/>
    <x v="0"/>
    <x v="0"/>
    <x v="0"/>
    <s v="JBL Bluetooth Earbuds"/>
    <n v="5741.55"/>
    <n v="2"/>
    <n v="574.03"/>
    <x v="11"/>
    <x v="0"/>
  </r>
  <r>
    <d v="2023-12-07T00:00:00"/>
    <x v="24"/>
    <x v="4"/>
    <x v="0"/>
    <x v="3"/>
    <x v="9"/>
    <s v="Samsung 253L Refrigerator"/>
    <n v="28527.35"/>
    <n v="1"/>
    <n v="4986.17"/>
    <x v="11"/>
    <x v="0"/>
  </r>
  <r>
    <d v="2023-12-08T00:00:00"/>
    <x v="6"/>
    <x v="10"/>
    <x v="0"/>
    <x v="4"/>
    <x v="6"/>
    <s v="Dyson V8 Vacuum Cleaner"/>
    <n v="174212.85"/>
    <n v="5"/>
    <n v="41161.269999999997"/>
    <x v="11"/>
    <x v="0"/>
  </r>
  <r>
    <d v="2023-12-09T00:00:00"/>
    <x v="28"/>
    <x v="5"/>
    <x v="0"/>
    <x v="0"/>
    <x v="2"/>
    <s v="OnePlus 12"/>
    <n v="62368.37"/>
    <n v="1"/>
    <n v="5362.45"/>
    <x v="11"/>
    <x v="0"/>
  </r>
  <r>
    <d v="2023-12-09T00:00:00"/>
    <x v="19"/>
    <x v="12"/>
    <x v="0"/>
    <x v="4"/>
    <x v="6"/>
    <s v="Dyson V8 Vacuum Cleaner"/>
    <n v="67725.259999999995"/>
    <n v="2"/>
    <n v="13528"/>
    <x v="11"/>
    <x v="0"/>
  </r>
  <r>
    <d v="2023-12-09T00:00:00"/>
    <x v="29"/>
    <x v="3"/>
    <x v="0"/>
    <x v="3"/>
    <x v="4"/>
    <s v="IFB 7kg Front Load Washing Machine"/>
    <n v="28459.119999999999"/>
    <n v="1"/>
    <n v="3428.97"/>
    <x v="11"/>
    <x v="0"/>
  </r>
  <r>
    <d v="2023-12-11T00:00:00"/>
    <x v="4"/>
    <x v="14"/>
    <x v="0"/>
    <x v="4"/>
    <x v="6"/>
    <s v="Philips Air Purifier"/>
    <n v="14987.3"/>
    <n v="1"/>
    <n v="2473.67"/>
    <x v="11"/>
    <x v="0"/>
  </r>
  <r>
    <d v="2023-12-12T00:00:00"/>
    <x v="28"/>
    <x v="10"/>
    <x v="0"/>
    <x v="2"/>
    <x v="3"/>
    <s v="JBL 5.1 Soundbar"/>
    <n v="57501.23"/>
    <n v="2"/>
    <n v="5306"/>
    <x v="11"/>
    <x v="0"/>
  </r>
  <r>
    <d v="2023-12-13T00:00:00"/>
    <x v="3"/>
    <x v="5"/>
    <x v="0"/>
    <x v="1"/>
    <x v="1"/>
    <s v="HP Pavilion 15 Laptop"/>
    <n v="123007.3"/>
    <n v="2"/>
    <n v="9825.14"/>
    <x v="11"/>
    <x v="0"/>
  </r>
  <r>
    <d v="2023-12-14T00:00:00"/>
    <x v="8"/>
    <x v="11"/>
    <x v="0"/>
    <x v="1"/>
    <x v="1"/>
    <s v="HP Pavilion 15 Laptop"/>
    <n v="319870.48"/>
    <n v="5"/>
    <n v="31217.34"/>
    <x v="11"/>
    <x v="0"/>
  </r>
  <r>
    <d v="2023-12-15T00:00:00"/>
    <x v="8"/>
    <x v="12"/>
    <x v="0"/>
    <x v="1"/>
    <x v="5"/>
    <s v="Logitech Wireless Keyboard"/>
    <n v="4484.0200000000004"/>
    <n v="2"/>
    <n v="349.13"/>
    <x v="11"/>
    <x v="0"/>
  </r>
  <r>
    <d v="2023-12-16T00:00:00"/>
    <x v="22"/>
    <x v="11"/>
    <x v="0"/>
    <x v="4"/>
    <x v="6"/>
    <s v="Dyson V8 Vacuum Cleaner"/>
    <n v="67689.55"/>
    <n v="2"/>
    <n v="15240.87"/>
    <x v="11"/>
    <x v="0"/>
  </r>
  <r>
    <d v="2023-12-17T00:00:00"/>
    <x v="28"/>
    <x v="8"/>
    <x v="0"/>
    <x v="3"/>
    <x v="10"/>
    <s v="Voltas 1.5 Ton Split AC"/>
    <n v="160776.99"/>
    <n v="5"/>
    <n v="30125.58"/>
    <x v="11"/>
    <x v="0"/>
  </r>
  <r>
    <d v="2023-12-17T00:00:00"/>
    <x v="22"/>
    <x v="10"/>
    <x v="0"/>
    <x v="2"/>
    <x v="3"/>
    <s v="JBL 5.1 Soundbar"/>
    <n v="92915.26"/>
    <n v="3"/>
    <n v="13115.25"/>
    <x v="11"/>
    <x v="0"/>
  </r>
  <r>
    <d v="2023-12-17T00:00:00"/>
    <x v="21"/>
    <x v="1"/>
    <x v="0"/>
    <x v="3"/>
    <x v="9"/>
    <s v="Samsung 253L Refrigerator"/>
    <n v="27922.93"/>
    <n v="1"/>
    <n v="2447.5300000000002"/>
    <x v="11"/>
    <x v="0"/>
  </r>
  <r>
    <d v="2023-12-19T00:00:00"/>
    <x v="2"/>
    <x v="0"/>
    <x v="0"/>
    <x v="0"/>
    <x v="2"/>
    <s v="Samsung Galaxy S24"/>
    <n v="207317.01"/>
    <n v="3"/>
    <n v="25950.3"/>
    <x v="11"/>
    <x v="0"/>
  </r>
  <r>
    <d v="2023-12-19T00:00:00"/>
    <x v="8"/>
    <x v="2"/>
    <x v="0"/>
    <x v="0"/>
    <x v="0"/>
    <s v="Portronics Power Bank 20000mAh"/>
    <n v="4121.53"/>
    <n v="2"/>
    <n v="399.49"/>
    <x v="11"/>
    <x v="0"/>
  </r>
  <r>
    <d v="2023-12-20T00:00:00"/>
    <x v="11"/>
    <x v="5"/>
    <x v="0"/>
    <x v="2"/>
    <x v="8"/>
    <s v="Samsung 55 inch 4K Smart TV"/>
    <n v="64040.02"/>
    <n v="1"/>
    <n v="6857.98"/>
    <x v="11"/>
    <x v="0"/>
  </r>
  <r>
    <d v="2023-12-21T00:00:00"/>
    <x v="18"/>
    <x v="9"/>
    <x v="0"/>
    <x v="3"/>
    <x v="10"/>
    <s v="LG 1.5 Ton 5 Star Split AC"/>
    <n v="38171.440000000002"/>
    <n v="1"/>
    <n v="5890.97"/>
    <x v="11"/>
    <x v="0"/>
  </r>
  <r>
    <d v="2023-12-22T00:00:00"/>
    <x v="5"/>
    <x v="14"/>
    <x v="0"/>
    <x v="4"/>
    <x v="6"/>
    <s v="Philips Air Purifier"/>
    <n v="25047.8"/>
    <n v="2"/>
    <n v="2603.69"/>
    <x v="11"/>
    <x v="0"/>
  </r>
  <r>
    <d v="2023-12-22T00:00:00"/>
    <x v="10"/>
    <x v="10"/>
    <x v="0"/>
    <x v="0"/>
    <x v="2"/>
    <s v="Apple iPhone 15"/>
    <n v="260228.68"/>
    <n v="4"/>
    <n v="23852.28"/>
    <x v="11"/>
    <x v="0"/>
  </r>
  <r>
    <d v="2023-12-23T00:00:00"/>
    <x v="21"/>
    <x v="12"/>
    <x v="0"/>
    <x v="3"/>
    <x v="4"/>
    <s v="LG 7kg Fully Automatic Washing Machine"/>
    <n v="24795.11"/>
    <n v="1"/>
    <n v="-1689.19"/>
    <x v="11"/>
    <x v="0"/>
  </r>
  <r>
    <d v="2023-12-23T00:00:00"/>
    <x v="0"/>
    <x v="2"/>
    <x v="0"/>
    <x v="1"/>
    <x v="1"/>
    <s v="Lenovo IdeaPad Slim 5"/>
    <n v="194939.51999999999"/>
    <n v="3"/>
    <n v="17466.34"/>
    <x v="11"/>
    <x v="0"/>
  </r>
  <r>
    <d v="2023-12-23T00:00:00"/>
    <x v="17"/>
    <x v="3"/>
    <x v="0"/>
    <x v="3"/>
    <x v="7"/>
    <s v="Bajaj Mixer Grinder"/>
    <n v="22413.51"/>
    <n v="5"/>
    <n v="2330.29"/>
    <x v="11"/>
    <x v="0"/>
  </r>
  <r>
    <d v="2023-12-24T00:00:00"/>
    <x v="22"/>
    <x v="0"/>
    <x v="0"/>
    <x v="1"/>
    <x v="5"/>
    <s v="TP-Link Wi-Fi Router"/>
    <n v="5202.82"/>
    <n v="2"/>
    <n v="827.06"/>
    <x v="11"/>
    <x v="0"/>
  </r>
  <r>
    <d v="2023-12-24T00:00:00"/>
    <x v="6"/>
    <x v="13"/>
    <x v="0"/>
    <x v="0"/>
    <x v="2"/>
    <s v="Nothing Phone 2"/>
    <n v="74603.509999999995"/>
    <n v="2"/>
    <n v="8687.3700000000008"/>
    <x v="11"/>
    <x v="0"/>
  </r>
  <r>
    <d v="2023-12-25T00:00:00"/>
    <x v="10"/>
    <x v="4"/>
    <x v="0"/>
    <x v="3"/>
    <x v="7"/>
    <s v="Philips Air Fryer"/>
    <n v="37369"/>
    <n v="5"/>
    <n v="6000.01"/>
    <x v="11"/>
    <x v="0"/>
  </r>
  <r>
    <d v="2023-12-25T00:00:00"/>
    <x v="27"/>
    <x v="14"/>
    <x v="0"/>
    <x v="2"/>
    <x v="3"/>
    <s v="Sony Wireless Headphones"/>
    <n v="8804.84"/>
    <n v="1"/>
    <n v="1319.42"/>
    <x v="11"/>
    <x v="0"/>
  </r>
  <r>
    <d v="2023-12-26T00:00:00"/>
    <x v="6"/>
    <x v="7"/>
    <x v="0"/>
    <x v="3"/>
    <x v="7"/>
    <s v="Prestige Induction Cooktop"/>
    <n v="2637.72"/>
    <n v="1"/>
    <n v="269.51"/>
    <x v="11"/>
    <x v="0"/>
  </r>
  <r>
    <d v="2023-12-26T00:00:00"/>
    <x v="28"/>
    <x v="5"/>
    <x v="0"/>
    <x v="2"/>
    <x v="8"/>
    <s v="LG 55 inch OLED Smart TV"/>
    <n v="89732.77"/>
    <n v="1"/>
    <n v="9224.2199999999993"/>
    <x v="11"/>
    <x v="0"/>
  </r>
  <r>
    <d v="2023-12-26T00:00:00"/>
    <x v="15"/>
    <x v="12"/>
    <x v="0"/>
    <x v="3"/>
    <x v="10"/>
    <s v="Daikin 1.5 Ton Inverter AC"/>
    <n v="44931.73"/>
    <n v="1"/>
    <n v="6187.16"/>
    <x v="11"/>
    <x v="0"/>
  </r>
  <r>
    <d v="2023-12-27T00:00:00"/>
    <x v="2"/>
    <x v="12"/>
    <x v="0"/>
    <x v="0"/>
    <x v="2"/>
    <s v="Nothing Phone 2"/>
    <n v="116253.77"/>
    <n v="3"/>
    <n v="10939.71"/>
    <x v="11"/>
    <x v="0"/>
  </r>
  <r>
    <d v="2023-12-27T00:00:00"/>
    <x v="26"/>
    <x v="5"/>
    <x v="0"/>
    <x v="3"/>
    <x v="4"/>
    <s v="IFB 7kg Front Load Washing Machine"/>
    <n v="30204.04"/>
    <n v="1"/>
    <n v="5624.91"/>
    <x v="11"/>
    <x v="0"/>
  </r>
  <r>
    <d v="2023-12-29T00:00:00"/>
    <x v="17"/>
    <x v="4"/>
    <x v="0"/>
    <x v="0"/>
    <x v="2"/>
    <s v="Google Pixel 8"/>
    <n v="51778.25"/>
    <n v="1"/>
    <n v="3892.4"/>
    <x v="11"/>
    <x v="0"/>
  </r>
  <r>
    <d v="2023-12-29T00:00:00"/>
    <x v="23"/>
    <x v="7"/>
    <x v="0"/>
    <x v="2"/>
    <x v="8"/>
    <s v="TCL 50 inch 4K Smart TV"/>
    <n v="126197.56"/>
    <n v="3"/>
    <n v="15691.13"/>
    <x v="11"/>
    <x v="0"/>
  </r>
  <r>
    <d v="2023-12-30T00:00:00"/>
    <x v="14"/>
    <x v="13"/>
    <x v="0"/>
    <x v="4"/>
    <x v="6"/>
    <s v="Eureka Forbes Vacuum Cleaner"/>
    <n v="11352.58"/>
    <n v="1"/>
    <n v="1721.05"/>
    <x v="11"/>
    <x v="0"/>
  </r>
  <r>
    <d v="2023-12-31T00:00:00"/>
    <x v="19"/>
    <x v="1"/>
    <x v="0"/>
    <x v="1"/>
    <x v="1"/>
    <s v="Lenovo IdeaPad Slim 5"/>
    <n v="121715"/>
    <n v="2"/>
    <n v="19993.8"/>
    <x v="11"/>
    <x v="0"/>
  </r>
  <r>
    <d v="2023-12-31T00:00:00"/>
    <x v="22"/>
    <x v="14"/>
    <x v="0"/>
    <x v="1"/>
    <x v="5"/>
    <s v="HP 24 inch Monitor"/>
    <n v="23973.13"/>
    <n v="2"/>
    <n v="3114.52"/>
    <x v="11"/>
    <x v="0"/>
  </r>
  <r>
    <d v="2024-01-01T00:00:00"/>
    <x v="8"/>
    <x v="5"/>
    <x v="0"/>
    <x v="4"/>
    <x v="11"/>
    <s v="Philips Hair Dryer"/>
    <n v="8207.16"/>
    <n v="5"/>
    <n v="1376.73"/>
    <x v="0"/>
    <x v="1"/>
  </r>
  <r>
    <d v="2024-01-03T00:00:00"/>
    <x v="5"/>
    <x v="12"/>
    <x v="0"/>
    <x v="4"/>
    <x v="11"/>
    <s v="Philips Trimmer"/>
    <n v="7029.7"/>
    <n v="3"/>
    <n v="1424.03"/>
    <x v="0"/>
    <x v="1"/>
  </r>
  <r>
    <d v="2024-01-04T00:00:00"/>
    <x v="21"/>
    <x v="1"/>
    <x v="0"/>
    <x v="3"/>
    <x v="10"/>
    <s v="LG 1.5 Ton 5 Star Split AC"/>
    <n v="40332.879999999997"/>
    <n v="1"/>
    <n v="6385.37"/>
    <x v="0"/>
    <x v="1"/>
  </r>
  <r>
    <d v="2024-01-04T00:00:00"/>
    <x v="29"/>
    <x v="0"/>
    <x v="0"/>
    <x v="2"/>
    <x v="3"/>
    <s v="Sony Wireless Headphones"/>
    <n v="17714.169999999998"/>
    <n v="2"/>
    <n v="2476.16"/>
    <x v="0"/>
    <x v="1"/>
  </r>
  <r>
    <d v="2024-01-04T00:00:00"/>
    <x v="27"/>
    <x v="9"/>
    <x v="0"/>
    <x v="1"/>
    <x v="5"/>
    <s v="Dell 27 inch Monitor"/>
    <n v="34694.07"/>
    <n v="2"/>
    <n v="3334.17"/>
    <x v="0"/>
    <x v="1"/>
  </r>
  <r>
    <d v="2024-01-05T00:00:00"/>
    <x v="18"/>
    <x v="12"/>
    <x v="0"/>
    <x v="4"/>
    <x v="6"/>
    <s v="Philips Air Purifier"/>
    <n v="12296.03"/>
    <n v="1"/>
    <n v="1992.22"/>
    <x v="0"/>
    <x v="1"/>
  </r>
  <r>
    <d v="2024-01-05T00:00:00"/>
    <x v="29"/>
    <x v="11"/>
    <x v="0"/>
    <x v="4"/>
    <x v="11"/>
    <s v="Braun Electric Shaver"/>
    <n v="10570.9"/>
    <n v="2"/>
    <n v="2276.41"/>
    <x v="0"/>
    <x v="1"/>
  </r>
  <r>
    <d v="2024-01-06T00:00:00"/>
    <x v="7"/>
    <x v="2"/>
    <x v="0"/>
    <x v="2"/>
    <x v="8"/>
    <s v="Samsung 55 inch 4K Smart TV"/>
    <n v="133602.51"/>
    <n v="2"/>
    <n v="16815.78"/>
    <x v="0"/>
    <x v="1"/>
  </r>
  <r>
    <d v="2024-01-07T00:00:00"/>
    <x v="23"/>
    <x v="9"/>
    <x v="0"/>
    <x v="4"/>
    <x v="6"/>
    <s v="Eureka Forbes Vacuum Cleaner"/>
    <n v="10631.46"/>
    <n v="1"/>
    <n v="1108.78"/>
    <x v="0"/>
    <x v="1"/>
  </r>
  <r>
    <d v="2024-01-09T00:00:00"/>
    <x v="4"/>
    <x v="9"/>
    <x v="0"/>
    <x v="0"/>
    <x v="0"/>
    <s v="Apple 20W USB-C Power Adapter"/>
    <n v="1983.24"/>
    <n v="1"/>
    <n v="-149.41"/>
    <x v="0"/>
    <x v="1"/>
  </r>
  <r>
    <d v="2024-01-09T00:00:00"/>
    <x v="12"/>
    <x v="13"/>
    <x v="0"/>
    <x v="2"/>
    <x v="3"/>
    <s v="Sony Wireless Headphones"/>
    <n v="9383.4"/>
    <n v="1"/>
    <n v="1483.89"/>
    <x v="0"/>
    <x v="1"/>
  </r>
  <r>
    <d v="2024-01-10T00:00:00"/>
    <x v="8"/>
    <x v="2"/>
    <x v="0"/>
    <x v="1"/>
    <x v="1"/>
    <s v="Dell Inspiron 15 Laptop"/>
    <n v="51087.83"/>
    <n v="1"/>
    <n v="5144.9799999999996"/>
    <x v="0"/>
    <x v="1"/>
  </r>
  <r>
    <d v="2024-01-10T00:00:00"/>
    <x v="22"/>
    <x v="2"/>
    <x v="0"/>
    <x v="4"/>
    <x v="6"/>
    <s v="Dyson V8 Vacuum Cleaner"/>
    <n v="31358.05"/>
    <n v="1"/>
    <n v="3373.52"/>
    <x v="0"/>
    <x v="1"/>
  </r>
  <r>
    <d v="2024-01-10T00:00:00"/>
    <x v="1"/>
    <x v="2"/>
    <x v="0"/>
    <x v="2"/>
    <x v="8"/>
    <s v="TCL 50 inch 4K Smart TV"/>
    <n v="35411.379999999997"/>
    <n v="1"/>
    <n v="3774.02"/>
    <x v="0"/>
    <x v="1"/>
  </r>
  <r>
    <d v="2024-01-11T00:00:00"/>
    <x v="9"/>
    <x v="6"/>
    <x v="0"/>
    <x v="3"/>
    <x v="9"/>
    <s v="LG 260L Double Door Refrigerator"/>
    <n v="57736.19"/>
    <n v="2"/>
    <n v="8109.5"/>
    <x v="0"/>
    <x v="1"/>
  </r>
  <r>
    <d v="2024-01-14T00:00:00"/>
    <x v="29"/>
    <x v="3"/>
    <x v="0"/>
    <x v="2"/>
    <x v="3"/>
    <s v="boAt Home Theatre System"/>
    <n v="10808.5"/>
    <n v="1"/>
    <n v="1555.11"/>
    <x v="0"/>
    <x v="1"/>
  </r>
  <r>
    <d v="2024-01-15T00:00:00"/>
    <x v="26"/>
    <x v="14"/>
    <x v="0"/>
    <x v="3"/>
    <x v="10"/>
    <s v="Voltas 1.5 Ton Split AC"/>
    <n v="67309.42"/>
    <n v="2"/>
    <n v="10205.11"/>
    <x v="0"/>
    <x v="1"/>
  </r>
  <r>
    <d v="2024-01-16T00:00:00"/>
    <x v="28"/>
    <x v="5"/>
    <x v="0"/>
    <x v="0"/>
    <x v="2"/>
    <s v="Google Pixel 8"/>
    <n v="50384.06"/>
    <n v="1"/>
    <n v="4139.5200000000004"/>
    <x v="0"/>
    <x v="1"/>
  </r>
  <r>
    <d v="2024-01-16T00:00:00"/>
    <x v="15"/>
    <x v="1"/>
    <x v="0"/>
    <x v="0"/>
    <x v="0"/>
    <s v="Samsung 25W Charger"/>
    <n v="2850.85"/>
    <n v="2"/>
    <n v="-111.19"/>
    <x v="0"/>
    <x v="1"/>
  </r>
  <r>
    <d v="2024-01-16T00:00:00"/>
    <x v="29"/>
    <x v="14"/>
    <x v="0"/>
    <x v="1"/>
    <x v="1"/>
    <s v="Dell Inspiron 15 Laptop"/>
    <n v="105850.93"/>
    <n v="2"/>
    <n v="-3885.17"/>
    <x v="0"/>
    <x v="1"/>
  </r>
  <r>
    <d v="2024-01-18T00:00:00"/>
    <x v="16"/>
    <x v="10"/>
    <x v="0"/>
    <x v="2"/>
    <x v="3"/>
    <s v="Sony Bluetooth Soundbar"/>
    <n v="21109.69"/>
    <n v="1"/>
    <n v="2802.77"/>
    <x v="0"/>
    <x v="1"/>
  </r>
  <r>
    <d v="2024-01-18T00:00:00"/>
    <x v="5"/>
    <x v="13"/>
    <x v="0"/>
    <x v="4"/>
    <x v="11"/>
    <s v="Philips Trimmer"/>
    <n v="2373.4499999999998"/>
    <n v="1"/>
    <n v="325.14999999999998"/>
    <x v="0"/>
    <x v="1"/>
  </r>
  <r>
    <d v="2024-01-19T00:00:00"/>
    <x v="20"/>
    <x v="10"/>
    <x v="0"/>
    <x v="1"/>
    <x v="1"/>
    <s v="ASUS Vivobook 15"/>
    <n v="95092.21"/>
    <n v="2"/>
    <n v="10831.09"/>
    <x v="0"/>
    <x v="1"/>
  </r>
  <r>
    <d v="2024-01-20T00:00:00"/>
    <x v="28"/>
    <x v="9"/>
    <x v="0"/>
    <x v="0"/>
    <x v="0"/>
    <s v="Samsung 25W Charger"/>
    <n v="1324.93"/>
    <n v="1"/>
    <n v="127.49"/>
    <x v="0"/>
    <x v="1"/>
  </r>
  <r>
    <d v="2024-01-20T00:00:00"/>
    <x v="27"/>
    <x v="13"/>
    <x v="0"/>
    <x v="4"/>
    <x v="11"/>
    <s v="Braun Electric Shaver"/>
    <n v="5623.13"/>
    <n v="1"/>
    <n v="1312.06"/>
    <x v="0"/>
    <x v="1"/>
  </r>
  <r>
    <d v="2024-01-21T00:00:00"/>
    <x v="17"/>
    <x v="5"/>
    <x v="0"/>
    <x v="3"/>
    <x v="4"/>
    <s v="LG 7kg Fully Automatic Washing Machine"/>
    <n v="24758.21"/>
    <n v="1"/>
    <n v="4468.49"/>
    <x v="0"/>
    <x v="1"/>
  </r>
  <r>
    <d v="2024-01-22T00:00:00"/>
    <x v="20"/>
    <x v="2"/>
    <x v="0"/>
    <x v="0"/>
    <x v="2"/>
    <s v="Nothing Phone 2"/>
    <n v="38794.1"/>
    <n v="1"/>
    <n v="-947.57"/>
    <x v="0"/>
    <x v="1"/>
  </r>
  <r>
    <d v="2024-01-23T00:00:00"/>
    <x v="27"/>
    <x v="9"/>
    <x v="0"/>
    <x v="3"/>
    <x v="4"/>
    <s v="LG 7kg Fully Automatic Washing Machine"/>
    <n v="27623.88"/>
    <n v="1"/>
    <n v="4257.4399999999996"/>
    <x v="0"/>
    <x v="1"/>
  </r>
  <r>
    <d v="2024-01-23T00:00:00"/>
    <x v="1"/>
    <x v="3"/>
    <x v="0"/>
    <x v="0"/>
    <x v="2"/>
    <s v="Samsung Galaxy S24"/>
    <n v="194367.82"/>
    <n v="3"/>
    <n v="15645.52"/>
    <x v="0"/>
    <x v="1"/>
  </r>
  <r>
    <d v="2024-01-24T00:00:00"/>
    <x v="25"/>
    <x v="6"/>
    <x v="0"/>
    <x v="3"/>
    <x v="10"/>
    <s v="Voltas 1.5 Ton Split AC"/>
    <n v="34129.730000000003"/>
    <n v="1"/>
    <n v="2901.57"/>
    <x v="0"/>
    <x v="1"/>
  </r>
  <r>
    <d v="2024-01-25T00:00:00"/>
    <x v="12"/>
    <x v="13"/>
    <x v="0"/>
    <x v="2"/>
    <x v="8"/>
    <s v="LG 55 inch OLED Smart TV"/>
    <n v="288805.07"/>
    <n v="3"/>
    <n v="28960.41"/>
    <x v="0"/>
    <x v="1"/>
  </r>
  <r>
    <d v="2024-01-25T00:00:00"/>
    <x v="13"/>
    <x v="7"/>
    <x v="0"/>
    <x v="0"/>
    <x v="2"/>
    <s v="Samsung Galaxy A55"/>
    <n v="38503.370000000003"/>
    <n v="1"/>
    <n v="3155.53"/>
    <x v="0"/>
    <x v="1"/>
  </r>
  <r>
    <d v="2024-01-26T00:00:00"/>
    <x v="1"/>
    <x v="10"/>
    <x v="0"/>
    <x v="0"/>
    <x v="0"/>
    <s v="Apple 20W USB-C Power Adapter"/>
    <n v="6790.65"/>
    <n v="4"/>
    <n v="767.3"/>
    <x v="0"/>
    <x v="1"/>
  </r>
  <r>
    <d v="2024-01-27T00:00:00"/>
    <x v="9"/>
    <x v="10"/>
    <x v="0"/>
    <x v="2"/>
    <x v="8"/>
    <s v="LG 55 inch OLED Smart TV"/>
    <n v="90522.9"/>
    <n v="1"/>
    <n v="7292.66"/>
    <x v="0"/>
    <x v="1"/>
  </r>
  <r>
    <d v="2024-01-27T00:00:00"/>
    <x v="13"/>
    <x v="6"/>
    <x v="0"/>
    <x v="2"/>
    <x v="3"/>
    <s v="Sony Bluetooth Soundbar"/>
    <n v="23698.67"/>
    <n v="1"/>
    <n v="2557"/>
    <x v="0"/>
    <x v="1"/>
  </r>
  <r>
    <d v="2024-01-29T00:00:00"/>
    <x v="1"/>
    <x v="3"/>
    <x v="0"/>
    <x v="0"/>
    <x v="2"/>
    <s v="OnePlus 12"/>
    <n v="274959.68"/>
    <n v="5"/>
    <n v="37939.910000000003"/>
    <x v="0"/>
    <x v="1"/>
  </r>
  <r>
    <d v="2024-01-29T00:00:00"/>
    <x v="8"/>
    <x v="4"/>
    <x v="0"/>
    <x v="0"/>
    <x v="2"/>
    <s v="Apple iPhone 15"/>
    <n v="178353.81"/>
    <n v="3"/>
    <n v="13396.06"/>
    <x v="0"/>
    <x v="1"/>
  </r>
  <r>
    <d v="2024-01-30T00:00:00"/>
    <x v="12"/>
    <x v="7"/>
    <x v="0"/>
    <x v="2"/>
    <x v="3"/>
    <s v="JBL 5.1 Soundbar"/>
    <n v="30382.46"/>
    <n v="1"/>
    <n v="4228.67"/>
    <x v="0"/>
    <x v="1"/>
  </r>
  <r>
    <d v="2024-01-31T00:00:00"/>
    <x v="21"/>
    <x v="13"/>
    <x v="0"/>
    <x v="4"/>
    <x v="11"/>
    <s v="Philips Trimmer"/>
    <n v="2142.41"/>
    <n v="1"/>
    <n v="407.22"/>
    <x v="0"/>
    <x v="1"/>
  </r>
  <r>
    <d v="2024-02-02T00:00:00"/>
    <x v="2"/>
    <x v="14"/>
    <x v="0"/>
    <x v="1"/>
    <x v="1"/>
    <s v="Lenovo IdeaPad Slim 5"/>
    <n v="61453.15"/>
    <n v="1"/>
    <n v="5987.45"/>
    <x v="1"/>
    <x v="1"/>
  </r>
  <r>
    <d v="2024-02-02T00:00:00"/>
    <x v="29"/>
    <x v="6"/>
    <x v="0"/>
    <x v="1"/>
    <x v="5"/>
    <s v="Logitech Wireless Mouse"/>
    <n v="1459.49"/>
    <n v="1"/>
    <n v="130.96"/>
    <x v="1"/>
    <x v="1"/>
  </r>
  <r>
    <d v="2024-02-03T00:00:00"/>
    <x v="1"/>
    <x v="13"/>
    <x v="0"/>
    <x v="3"/>
    <x v="7"/>
    <s v="Morphy Richards OTG"/>
    <n v="6613.44"/>
    <n v="1"/>
    <n v="533.48"/>
    <x v="1"/>
    <x v="1"/>
  </r>
  <r>
    <d v="2024-02-03T00:00:00"/>
    <x v="23"/>
    <x v="13"/>
    <x v="0"/>
    <x v="4"/>
    <x v="6"/>
    <s v="Dyson V8 Vacuum Cleaner"/>
    <n v="60356.65"/>
    <n v="2"/>
    <n v="9485"/>
    <x v="1"/>
    <x v="1"/>
  </r>
  <r>
    <d v="2024-02-04T00:00:00"/>
    <x v="19"/>
    <x v="10"/>
    <x v="0"/>
    <x v="2"/>
    <x v="3"/>
    <s v="Sony Bluetooth Soundbar"/>
    <n v="42497.79"/>
    <n v="2"/>
    <n v="3450.66"/>
    <x v="1"/>
    <x v="1"/>
  </r>
  <r>
    <d v="2024-02-04T00:00:00"/>
    <x v="21"/>
    <x v="8"/>
    <x v="0"/>
    <x v="0"/>
    <x v="0"/>
    <s v="Samsung 25W Charger"/>
    <n v="1243.24"/>
    <n v="1"/>
    <n v="122.32"/>
    <x v="1"/>
    <x v="1"/>
  </r>
  <r>
    <d v="2024-02-05T00:00:00"/>
    <x v="14"/>
    <x v="3"/>
    <x v="0"/>
    <x v="2"/>
    <x v="3"/>
    <s v="Sony Bluetooth Soundbar"/>
    <n v="93982.48"/>
    <n v="4"/>
    <n v="13347.32"/>
    <x v="1"/>
    <x v="1"/>
  </r>
  <r>
    <d v="2024-02-06T00:00:00"/>
    <x v="18"/>
    <x v="5"/>
    <x v="0"/>
    <x v="3"/>
    <x v="9"/>
    <s v="Whirlpool 265L Frost Free Refrigerator"/>
    <n v="55800.45"/>
    <n v="2"/>
    <n v="6989.97"/>
    <x v="1"/>
    <x v="1"/>
  </r>
  <r>
    <d v="2024-02-08T00:00:00"/>
    <x v="5"/>
    <x v="10"/>
    <x v="0"/>
    <x v="1"/>
    <x v="1"/>
    <s v="HP Pavilion 15 Laptop"/>
    <n v="59936.97"/>
    <n v="1"/>
    <n v="4339.58"/>
    <x v="1"/>
    <x v="1"/>
  </r>
  <r>
    <d v="2024-02-10T00:00:00"/>
    <x v="27"/>
    <x v="3"/>
    <x v="0"/>
    <x v="4"/>
    <x v="11"/>
    <s v="Braun Electric Shaver"/>
    <n v="5712.16"/>
    <n v="1"/>
    <n v="-374.06"/>
    <x v="1"/>
    <x v="1"/>
  </r>
  <r>
    <d v="2024-02-10T00:00:00"/>
    <x v="11"/>
    <x v="12"/>
    <x v="0"/>
    <x v="1"/>
    <x v="5"/>
    <s v="Logitech Wireless Mouse"/>
    <n v="4391.32"/>
    <n v="3"/>
    <n v="716.34"/>
    <x v="1"/>
    <x v="1"/>
  </r>
  <r>
    <d v="2024-02-11T00:00:00"/>
    <x v="28"/>
    <x v="5"/>
    <x v="0"/>
    <x v="2"/>
    <x v="8"/>
    <s v="Sony 55 inch Bravia 4K TV"/>
    <n v="227414.35"/>
    <n v="3"/>
    <n v="20946.11"/>
    <x v="1"/>
    <x v="1"/>
  </r>
  <r>
    <d v="2024-02-11T00:00:00"/>
    <x v="28"/>
    <x v="3"/>
    <x v="0"/>
    <x v="4"/>
    <x v="6"/>
    <s v="Dyson V8 Vacuum Cleaner"/>
    <n v="32847.58"/>
    <n v="1"/>
    <n v="4911.76"/>
    <x v="1"/>
    <x v="1"/>
  </r>
  <r>
    <d v="2024-02-12T00:00:00"/>
    <x v="11"/>
    <x v="11"/>
    <x v="0"/>
    <x v="0"/>
    <x v="2"/>
    <s v="Google Pixel 8"/>
    <n v="103398.91"/>
    <n v="2"/>
    <n v="10441.99"/>
    <x v="1"/>
    <x v="1"/>
  </r>
  <r>
    <d v="2024-02-13T00:00:00"/>
    <x v="15"/>
    <x v="9"/>
    <x v="0"/>
    <x v="3"/>
    <x v="4"/>
    <s v="Samsung 8kg Front Load Washing Machine"/>
    <n v="37849.730000000003"/>
    <n v="1"/>
    <n v="7238.92"/>
    <x v="1"/>
    <x v="1"/>
  </r>
  <r>
    <d v="2024-02-14T00:00:00"/>
    <x v="24"/>
    <x v="1"/>
    <x v="0"/>
    <x v="2"/>
    <x v="8"/>
    <s v="TCL 50 inch 4K Smart TV"/>
    <n v="165470.79999999999"/>
    <n v="4"/>
    <n v="26437.03"/>
    <x v="1"/>
    <x v="1"/>
  </r>
  <r>
    <d v="2024-02-14T00:00:00"/>
    <x v="17"/>
    <x v="9"/>
    <x v="0"/>
    <x v="1"/>
    <x v="1"/>
    <s v="HP Pavilion 15 Laptop"/>
    <n v="59595.03"/>
    <n v="1"/>
    <n v="5632.01"/>
    <x v="1"/>
    <x v="1"/>
  </r>
  <r>
    <d v="2024-02-15T00:00:00"/>
    <x v="17"/>
    <x v="12"/>
    <x v="0"/>
    <x v="4"/>
    <x v="6"/>
    <s v="Eureka Forbes Vacuum Cleaner"/>
    <n v="10453.280000000001"/>
    <n v="1"/>
    <n v="2185.2800000000002"/>
    <x v="1"/>
    <x v="1"/>
  </r>
  <r>
    <d v="2024-02-16T00:00:00"/>
    <x v="1"/>
    <x v="0"/>
    <x v="0"/>
    <x v="3"/>
    <x v="10"/>
    <s v="Daikin 1.5 Ton Inverter AC"/>
    <n v="137782.31"/>
    <n v="3"/>
    <n v="15121.43"/>
    <x v="1"/>
    <x v="1"/>
  </r>
  <r>
    <d v="2024-02-16T00:00:00"/>
    <x v="4"/>
    <x v="13"/>
    <x v="0"/>
    <x v="4"/>
    <x v="6"/>
    <s v="Eureka Forbes Vacuum Cleaner"/>
    <n v="9957.59"/>
    <n v="1"/>
    <n v="1088.5999999999999"/>
    <x v="1"/>
    <x v="1"/>
  </r>
  <r>
    <d v="2024-02-16T00:00:00"/>
    <x v="7"/>
    <x v="3"/>
    <x v="0"/>
    <x v="0"/>
    <x v="2"/>
    <s v="Samsung Galaxy A55"/>
    <n v="108769.11"/>
    <n v="3"/>
    <n v="8946.1"/>
    <x v="1"/>
    <x v="1"/>
  </r>
  <r>
    <d v="2024-02-18T00:00:00"/>
    <x v="20"/>
    <x v="14"/>
    <x v="0"/>
    <x v="1"/>
    <x v="1"/>
    <s v="Dell Inspiron 15 Laptop"/>
    <n v="54512.49"/>
    <n v="1"/>
    <n v="9208.74"/>
    <x v="1"/>
    <x v="1"/>
  </r>
  <r>
    <d v="2024-02-19T00:00:00"/>
    <x v="24"/>
    <x v="1"/>
    <x v="0"/>
    <x v="2"/>
    <x v="8"/>
    <s v="Sony 55 inch Bravia 4K TV"/>
    <n v="234691.9"/>
    <n v="3"/>
    <n v="34741.33"/>
    <x v="1"/>
    <x v="1"/>
  </r>
  <r>
    <d v="2024-02-19T00:00:00"/>
    <x v="28"/>
    <x v="5"/>
    <x v="0"/>
    <x v="2"/>
    <x v="8"/>
    <s v="LG 55 inch OLED Smart TV"/>
    <n v="95257.600000000006"/>
    <n v="1"/>
    <n v="8595.2999999999993"/>
    <x v="1"/>
    <x v="1"/>
  </r>
  <r>
    <d v="2024-02-20T00:00:00"/>
    <x v="27"/>
    <x v="10"/>
    <x v="0"/>
    <x v="3"/>
    <x v="10"/>
    <s v="LG 1.5 Ton 5 Star Split AC"/>
    <n v="201628.52"/>
    <n v="5"/>
    <n v="19453.02"/>
    <x v="1"/>
    <x v="1"/>
  </r>
  <r>
    <d v="2024-02-20T00:00:00"/>
    <x v="14"/>
    <x v="7"/>
    <x v="0"/>
    <x v="2"/>
    <x v="3"/>
    <s v="JBL 5.1 Soundbar"/>
    <n v="29392.73"/>
    <n v="1"/>
    <n v="4030.83"/>
    <x v="1"/>
    <x v="1"/>
  </r>
  <r>
    <d v="2024-02-23T00:00:00"/>
    <x v="0"/>
    <x v="1"/>
    <x v="0"/>
    <x v="0"/>
    <x v="0"/>
    <s v="boAt Wireless Earphones"/>
    <n v="1565.31"/>
    <n v="1"/>
    <n v="128.41999999999999"/>
    <x v="1"/>
    <x v="1"/>
  </r>
  <r>
    <d v="2024-02-26T00:00:00"/>
    <x v="0"/>
    <x v="7"/>
    <x v="0"/>
    <x v="4"/>
    <x v="6"/>
    <s v="Eureka Forbes Vacuum Cleaner"/>
    <n v="32064.91"/>
    <n v="3"/>
    <n v="-2255.39"/>
    <x v="1"/>
    <x v="1"/>
  </r>
  <r>
    <d v="2024-02-26T00:00:00"/>
    <x v="1"/>
    <x v="3"/>
    <x v="0"/>
    <x v="0"/>
    <x v="0"/>
    <s v="Apple 20W USB-C Power Adapter"/>
    <n v="1757.74"/>
    <n v="1"/>
    <n v="179.52"/>
    <x v="1"/>
    <x v="1"/>
  </r>
  <r>
    <d v="2024-02-26T00:00:00"/>
    <x v="12"/>
    <x v="13"/>
    <x v="0"/>
    <x v="1"/>
    <x v="1"/>
    <s v="ASUS Vivobook 15"/>
    <n v="91343.13"/>
    <n v="2"/>
    <n v="13520.69"/>
    <x v="1"/>
    <x v="1"/>
  </r>
  <r>
    <d v="2024-02-27T00:00:00"/>
    <x v="25"/>
    <x v="8"/>
    <x v="0"/>
    <x v="2"/>
    <x v="3"/>
    <s v="boAt Home Theatre System"/>
    <n v="11525.38"/>
    <n v="1"/>
    <n v="1911.16"/>
    <x v="1"/>
    <x v="1"/>
  </r>
  <r>
    <d v="2024-02-27T00:00:00"/>
    <x v="13"/>
    <x v="3"/>
    <x v="0"/>
    <x v="2"/>
    <x v="3"/>
    <s v="Sony Bluetooth Soundbar"/>
    <n v="84177.72"/>
    <n v="4"/>
    <n v="12448.21"/>
    <x v="1"/>
    <x v="1"/>
  </r>
  <r>
    <d v="2024-02-28T00:00:00"/>
    <x v="15"/>
    <x v="4"/>
    <x v="0"/>
    <x v="3"/>
    <x v="9"/>
    <s v="Whirlpool 265L Frost Free Refrigerator"/>
    <n v="25069.46"/>
    <n v="1"/>
    <n v="3953.07"/>
    <x v="1"/>
    <x v="1"/>
  </r>
  <r>
    <d v="2024-02-28T00:00:00"/>
    <x v="10"/>
    <x v="9"/>
    <x v="0"/>
    <x v="4"/>
    <x v="11"/>
    <s v="Philips Hair Dryer"/>
    <n v="1745.28"/>
    <n v="1"/>
    <n v="302.51"/>
    <x v="1"/>
    <x v="1"/>
  </r>
  <r>
    <d v="2024-02-28T00:00:00"/>
    <x v="18"/>
    <x v="7"/>
    <x v="0"/>
    <x v="4"/>
    <x v="11"/>
    <s v="Philips Hair Dryer"/>
    <n v="3969.4"/>
    <n v="2"/>
    <n v="891.89"/>
    <x v="1"/>
    <x v="1"/>
  </r>
  <r>
    <d v="2024-02-29T00:00:00"/>
    <x v="4"/>
    <x v="4"/>
    <x v="0"/>
    <x v="0"/>
    <x v="0"/>
    <s v="Apple 20W USB-C Power Adapter"/>
    <n v="3343.12"/>
    <n v="2"/>
    <n v="-123.05"/>
    <x v="1"/>
    <x v="1"/>
  </r>
  <r>
    <d v="2024-03-01T00:00:00"/>
    <x v="10"/>
    <x v="14"/>
    <x v="0"/>
    <x v="1"/>
    <x v="1"/>
    <s v="Dell Inspiron 15 Laptop"/>
    <n v="53128.84"/>
    <n v="1"/>
    <n v="4550.66"/>
    <x v="2"/>
    <x v="1"/>
  </r>
  <r>
    <d v="2024-03-01T00:00:00"/>
    <x v="23"/>
    <x v="8"/>
    <x v="0"/>
    <x v="4"/>
    <x v="11"/>
    <s v="Philips Hair Dryer"/>
    <n v="1777.18"/>
    <n v="1"/>
    <n v="295.52999999999997"/>
    <x v="2"/>
    <x v="1"/>
  </r>
  <r>
    <d v="2024-03-02T00:00:00"/>
    <x v="12"/>
    <x v="12"/>
    <x v="0"/>
    <x v="1"/>
    <x v="5"/>
    <s v="Logitech Wireless Mouse"/>
    <n v="2975.23"/>
    <n v="2"/>
    <n v="487.17"/>
    <x v="2"/>
    <x v="1"/>
  </r>
  <r>
    <d v="2024-03-02T00:00:00"/>
    <x v="24"/>
    <x v="4"/>
    <x v="0"/>
    <x v="1"/>
    <x v="5"/>
    <s v="Logitech Wireless Keyboard"/>
    <n v="9491.3700000000008"/>
    <n v="4"/>
    <n v="693.98"/>
    <x v="2"/>
    <x v="1"/>
  </r>
  <r>
    <d v="2024-03-04T00:00:00"/>
    <x v="21"/>
    <x v="14"/>
    <x v="0"/>
    <x v="3"/>
    <x v="9"/>
    <s v="Samsung 253L Refrigerator"/>
    <n v="58290.77"/>
    <n v="2"/>
    <n v="8522.94"/>
    <x v="2"/>
    <x v="1"/>
  </r>
  <r>
    <d v="2024-03-05T00:00:00"/>
    <x v="22"/>
    <x v="13"/>
    <x v="0"/>
    <x v="2"/>
    <x v="3"/>
    <s v="boAt Home Theatre System"/>
    <n v="35462.239999999998"/>
    <n v="3"/>
    <n v="-1280.08"/>
    <x v="2"/>
    <x v="1"/>
  </r>
  <r>
    <d v="2024-03-05T00:00:00"/>
    <x v="20"/>
    <x v="13"/>
    <x v="0"/>
    <x v="3"/>
    <x v="10"/>
    <s v="LG 1.5 Ton 5 Star Split AC"/>
    <n v="191893.58"/>
    <n v="5"/>
    <n v="15387.84"/>
    <x v="2"/>
    <x v="1"/>
  </r>
  <r>
    <d v="2024-03-05T00:00:00"/>
    <x v="26"/>
    <x v="6"/>
    <x v="0"/>
    <x v="2"/>
    <x v="8"/>
    <s v="Sony 55 inch Bravia 4K TV"/>
    <n v="152366.20000000001"/>
    <n v="2"/>
    <n v="22524.57"/>
    <x v="2"/>
    <x v="1"/>
  </r>
  <r>
    <d v="2024-03-07T00:00:00"/>
    <x v="27"/>
    <x v="13"/>
    <x v="0"/>
    <x v="1"/>
    <x v="5"/>
    <s v="Dell 27 inch Monitor"/>
    <n v="18375.099999999999"/>
    <n v="1"/>
    <n v="1527.23"/>
    <x v="2"/>
    <x v="1"/>
  </r>
  <r>
    <d v="2024-03-07T00:00:00"/>
    <x v="27"/>
    <x v="1"/>
    <x v="0"/>
    <x v="1"/>
    <x v="5"/>
    <s v="Logitech Wireless Keyboard"/>
    <n v="2424.5100000000002"/>
    <n v="1"/>
    <n v="239.5"/>
    <x v="2"/>
    <x v="1"/>
  </r>
  <r>
    <d v="2024-03-09T00:00:00"/>
    <x v="4"/>
    <x v="14"/>
    <x v="0"/>
    <x v="2"/>
    <x v="8"/>
    <s v="TCL 50 inch 4K Smart TV"/>
    <n v="37703.839999999997"/>
    <n v="1"/>
    <n v="3777.62"/>
    <x v="2"/>
    <x v="1"/>
  </r>
  <r>
    <d v="2024-03-10T00:00:00"/>
    <x v="21"/>
    <x v="4"/>
    <x v="0"/>
    <x v="2"/>
    <x v="3"/>
    <s v="boAt Home Theatre System"/>
    <n v="36836.6"/>
    <n v="3"/>
    <n v="4813.3999999999996"/>
    <x v="2"/>
    <x v="1"/>
  </r>
  <r>
    <d v="2024-03-10T00:00:00"/>
    <x v="1"/>
    <x v="12"/>
    <x v="0"/>
    <x v="3"/>
    <x v="10"/>
    <s v="LG 1.5 Ton 5 Star Split AC"/>
    <n v="44514.21"/>
    <n v="1"/>
    <n v="5339.19"/>
    <x v="2"/>
    <x v="1"/>
  </r>
  <r>
    <d v="2024-03-10T00:00:00"/>
    <x v="24"/>
    <x v="11"/>
    <x v="0"/>
    <x v="4"/>
    <x v="11"/>
    <s v="Philips Trimmer"/>
    <n v="9553.09"/>
    <n v="4"/>
    <n v="1621.5"/>
    <x v="2"/>
    <x v="1"/>
  </r>
  <r>
    <d v="2024-03-11T00:00:00"/>
    <x v="24"/>
    <x v="7"/>
    <x v="0"/>
    <x v="4"/>
    <x v="6"/>
    <s v="Eureka Forbes Vacuum Cleaner"/>
    <n v="10845.46"/>
    <n v="1"/>
    <n v="1190.73"/>
    <x v="2"/>
    <x v="1"/>
  </r>
  <r>
    <d v="2024-03-11T00:00:00"/>
    <x v="1"/>
    <x v="13"/>
    <x v="0"/>
    <x v="3"/>
    <x v="9"/>
    <s v="Samsung 253L Refrigerator"/>
    <n v="28851.31"/>
    <n v="1"/>
    <n v="5592.08"/>
    <x v="2"/>
    <x v="1"/>
  </r>
  <r>
    <d v="2024-03-12T00:00:00"/>
    <x v="10"/>
    <x v="13"/>
    <x v="0"/>
    <x v="2"/>
    <x v="3"/>
    <s v="Sony Wireless Headphones"/>
    <n v="29502.35"/>
    <n v="3"/>
    <n v="2656.58"/>
    <x v="2"/>
    <x v="1"/>
  </r>
  <r>
    <d v="2024-03-12T00:00:00"/>
    <x v="22"/>
    <x v="11"/>
    <x v="0"/>
    <x v="4"/>
    <x v="11"/>
    <s v="Philips Trimmer"/>
    <n v="2375.8000000000002"/>
    <n v="1"/>
    <n v="489.55"/>
    <x v="2"/>
    <x v="1"/>
  </r>
  <r>
    <d v="2024-03-12T00:00:00"/>
    <x v="0"/>
    <x v="8"/>
    <x v="0"/>
    <x v="1"/>
    <x v="5"/>
    <s v="Logitech Wireless Mouse"/>
    <n v="1276.1099999999999"/>
    <n v="1"/>
    <n v="-44.73"/>
    <x v="2"/>
    <x v="1"/>
  </r>
  <r>
    <d v="2024-03-13T00:00:00"/>
    <x v="23"/>
    <x v="12"/>
    <x v="0"/>
    <x v="0"/>
    <x v="2"/>
    <s v="Google Pixel 8"/>
    <n v="55782.52"/>
    <n v="1"/>
    <n v="7998.47"/>
    <x v="2"/>
    <x v="1"/>
  </r>
  <r>
    <d v="2024-03-13T00:00:00"/>
    <x v="17"/>
    <x v="5"/>
    <x v="0"/>
    <x v="0"/>
    <x v="0"/>
    <s v="Apple 20W USB-C Power Adapter"/>
    <n v="7475.71"/>
    <n v="4"/>
    <n v="737.93"/>
    <x v="2"/>
    <x v="1"/>
  </r>
  <r>
    <d v="2024-03-13T00:00:00"/>
    <x v="9"/>
    <x v="9"/>
    <x v="0"/>
    <x v="3"/>
    <x v="9"/>
    <s v="Whirlpool 265L Frost Free Refrigerator"/>
    <n v="56737.62"/>
    <n v="2"/>
    <n v="10209.74"/>
    <x v="2"/>
    <x v="1"/>
  </r>
  <r>
    <d v="2024-03-14T00:00:00"/>
    <x v="20"/>
    <x v="1"/>
    <x v="0"/>
    <x v="3"/>
    <x v="10"/>
    <s v="Voltas 1.5 Ton Split AC"/>
    <n v="71808.67"/>
    <n v="2"/>
    <n v="13997.64"/>
    <x v="2"/>
    <x v="1"/>
  </r>
  <r>
    <d v="2024-03-14T00:00:00"/>
    <x v="2"/>
    <x v="0"/>
    <x v="0"/>
    <x v="0"/>
    <x v="0"/>
    <s v="Portronics Power Bank 20000mAh"/>
    <n v="2397.39"/>
    <n v="1"/>
    <n v="304.13"/>
    <x v="2"/>
    <x v="1"/>
  </r>
  <r>
    <d v="2024-03-14T00:00:00"/>
    <x v="5"/>
    <x v="4"/>
    <x v="0"/>
    <x v="1"/>
    <x v="1"/>
    <s v="ASUS Vivobook 15"/>
    <n v="100277.91"/>
    <n v="2"/>
    <n v="14931.03"/>
    <x v="2"/>
    <x v="1"/>
  </r>
  <r>
    <d v="2024-03-15T00:00:00"/>
    <x v="20"/>
    <x v="9"/>
    <x v="0"/>
    <x v="1"/>
    <x v="5"/>
    <s v="Dell 27 inch Monitor"/>
    <n v="56614.68"/>
    <n v="3"/>
    <n v="7468.48"/>
    <x v="2"/>
    <x v="1"/>
  </r>
  <r>
    <d v="2024-03-16T00:00:00"/>
    <x v="22"/>
    <x v="10"/>
    <x v="0"/>
    <x v="0"/>
    <x v="2"/>
    <s v="Google Pixel 8"/>
    <n v="50846.21"/>
    <n v="1"/>
    <n v="5813.52"/>
    <x v="2"/>
    <x v="1"/>
  </r>
  <r>
    <d v="2024-03-16T00:00:00"/>
    <x v="27"/>
    <x v="8"/>
    <x v="0"/>
    <x v="2"/>
    <x v="3"/>
    <s v="boAt Home Theatre System"/>
    <n v="36198.129999999997"/>
    <n v="3"/>
    <n v="5536.91"/>
    <x v="2"/>
    <x v="1"/>
  </r>
  <r>
    <d v="2024-03-16T00:00:00"/>
    <x v="9"/>
    <x v="12"/>
    <x v="0"/>
    <x v="3"/>
    <x v="10"/>
    <s v="LG 1.5 Ton 5 Star Split AC"/>
    <n v="39146.370000000003"/>
    <n v="1"/>
    <n v="6780.94"/>
    <x v="2"/>
    <x v="1"/>
  </r>
  <r>
    <d v="2024-03-16T00:00:00"/>
    <x v="8"/>
    <x v="10"/>
    <x v="0"/>
    <x v="1"/>
    <x v="1"/>
    <s v="Lenovo IdeaPad Slim 5"/>
    <n v="64091.040000000001"/>
    <n v="1"/>
    <n v="4556.24"/>
    <x v="2"/>
    <x v="1"/>
  </r>
  <r>
    <d v="2024-03-16T00:00:00"/>
    <x v="6"/>
    <x v="1"/>
    <x v="0"/>
    <x v="3"/>
    <x v="10"/>
    <s v="LG 1.5 Ton 5 Star Split AC"/>
    <n v="43690.9"/>
    <n v="1"/>
    <n v="7285.1"/>
    <x v="2"/>
    <x v="1"/>
  </r>
  <r>
    <d v="2024-03-17T00:00:00"/>
    <x v="25"/>
    <x v="0"/>
    <x v="0"/>
    <x v="3"/>
    <x v="9"/>
    <s v="Samsung 253L Refrigerator"/>
    <n v="60988.39"/>
    <n v="2"/>
    <n v="7516.01"/>
    <x v="2"/>
    <x v="1"/>
  </r>
  <r>
    <d v="2024-03-18T00:00:00"/>
    <x v="25"/>
    <x v="7"/>
    <x v="0"/>
    <x v="2"/>
    <x v="3"/>
    <s v="JBL 5.1 Soundbar"/>
    <n v="93709.17"/>
    <n v="3"/>
    <n v="10095.049999999999"/>
    <x v="2"/>
    <x v="1"/>
  </r>
  <r>
    <d v="2024-03-18T00:00:00"/>
    <x v="19"/>
    <x v="0"/>
    <x v="0"/>
    <x v="2"/>
    <x v="8"/>
    <s v="Sony 55 inch Bravia 4K TV"/>
    <n v="219273.62"/>
    <n v="3"/>
    <n v="37569.33"/>
    <x v="2"/>
    <x v="1"/>
  </r>
  <r>
    <d v="2024-03-18T00:00:00"/>
    <x v="20"/>
    <x v="5"/>
    <x v="0"/>
    <x v="3"/>
    <x v="4"/>
    <s v="Samsung 8kg Front Load Washing Machine"/>
    <n v="36695.089999999997"/>
    <n v="1"/>
    <n v="3790.55"/>
    <x v="2"/>
    <x v="1"/>
  </r>
  <r>
    <d v="2024-03-18T00:00:00"/>
    <x v="23"/>
    <x v="10"/>
    <x v="0"/>
    <x v="0"/>
    <x v="2"/>
    <s v="Apple iPhone 15"/>
    <n v="67134.97"/>
    <n v="1"/>
    <n v="8425.23"/>
    <x v="2"/>
    <x v="1"/>
  </r>
  <r>
    <d v="2024-03-20T00:00:00"/>
    <x v="6"/>
    <x v="4"/>
    <x v="0"/>
    <x v="0"/>
    <x v="2"/>
    <s v="Apple iPhone 15"/>
    <n v="204796.52"/>
    <n v="3"/>
    <n v="24386.25"/>
    <x v="2"/>
    <x v="1"/>
  </r>
  <r>
    <d v="2024-03-21T00:00:00"/>
    <x v="26"/>
    <x v="14"/>
    <x v="0"/>
    <x v="4"/>
    <x v="6"/>
    <s v="Philips Air Purifier"/>
    <n v="13175.8"/>
    <n v="1"/>
    <n v="3127.76"/>
    <x v="2"/>
    <x v="1"/>
  </r>
  <r>
    <d v="2024-03-23T00:00:00"/>
    <x v="19"/>
    <x v="8"/>
    <x v="0"/>
    <x v="1"/>
    <x v="1"/>
    <s v="Apple MacBook Air M2"/>
    <n v="166362.82999999999"/>
    <n v="2"/>
    <n v="26830.19"/>
    <x v="2"/>
    <x v="1"/>
  </r>
  <r>
    <d v="2024-03-24T00:00:00"/>
    <x v="17"/>
    <x v="4"/>
    <x v="0"/>
    <x v="0"/>
    <x v="0"/>
    <s v="boAt Wireless Earphones"/>
    <n v="1613.61"/>
    <n v="1"/>
    <n v="121"/>
    <x v="2"/>
    <x v="1"/>
  </r>
  <r>
    <d v="2024-03-25T00:00:00"/>
    <x v="8"/>
    <x v="10"/>
    <x v="0"/>
    <x v="0"/>
    <x v="2"/>
    <s v="Apple iPhone 15"/>
    <n v="194557.63"/>
    <n v="3"/>
    <n v="12832.43"/>
    <x v="2"/>
    <x v="1"/>
  </r>
  <r>
    <d v="2024-03-25T00:00:00"/>
    <x v="25"/>
    <x v="12"/>
    <x v="0"/>
    <x v="4"/>
    <x v="11"/>
    <s v="Braun Electric Shaver"/>
    <n v="17407.79"/>
    <n v="3"/>
    <n v="3348.4"/>
    <x v="2"/>
    <x v="1"/>
  </r>
  <r>
    <d v="2024-03-25T00:00:00"/>
    <x v="1"/>
    <x v="3"/>
    <x v="0"/>
    <x v="2"/>
    <x v="3"/>
    <s v="Sony Bluetooth Soundbar"/>
    <n v="21163.85"/>
    <n v="1"/>
    <n v="2460.08"/>
    <x v="2"/>
    <x v="1"/>
  </r>
  <r>
    <d v="2024-03-26T00:00:00"/>
    <x v="28"/>
    <x v="4"/>
    <x v="0"/>
    <x v="1"/>
    <x v="5"/>
    <s v="Logitech Wireless Keyboard"/>
    <n v="2400.69"/>
    <n v="1"/>
    <n v="240.44"/>
    <x v="2"/>
    <x v="1"/>
  </r>
  <r>
    <d v="2024-03-26T00:00:00"/>
    <x v="8"/>
    <x v="14"/>
    <x v="0"/>
    <x v="1"/>
    <x v="5"/>
    <s v="Logitech Wireless Mouse"/>
    <n v="2897.03"/>
    <n v="2"/>
    <n v="346.7"/>
    <x v="2"/>
    <x v="1"/>
  </r>
  <r>
    <d v="2024-03-28T00:00:00"/>
    <x v="14"/>
    <x v="10"/>
    <x v="0"/>
    <x v="3"/>
    <x v="7"/>
    <s v="Bajaj Mixer Grinder"/>
    <n v="4976.8999999999996"/>
    <n v="1"/>
    <n v="460.59"/>
    <x v="2"/>
    <x v="1"/>
  </r>
  <r>
    <d v="2024-03-28T00:00:00"/>
    <x v="10"/>
    <x v="5"/>
    <x v="0"/>
    <x v="0"/>
    <x v="0"/>
    <s v="Samsung 25W Charger"/>
    <n v="1478.01"/>
    <n v="1"/>
    <n v="134.81"/>
    <x v="2"/>
    <x v="1"/>
  </r>
  <r>
    <d v="2024-03-28T00:00:00"/>
    <x v="11"/>
    <x v="11"/>
    <x v="0"/>
    <x v="3"/>
    <x v="7"/>
    <s v="Philips Air Fryer"/>
    <n v="8529.6"/>
    <n v="1"/>
    <n v="1085.98"/>
    <x v="2"/>
    <x v="1"/>
  </r>
  <r>
    <d v="2024-03-29T00:00:00"/>
    <x v="10"/>
    <x v="3"/>
    <x v="0"/>
    <x v="3"/>
    <x v="10"/>
    <s v="Voltas 1.5 Ton Split AC"/>
    <n v="38009.019999999997"/>
    <n v="1"/>
    <n v="7356.7"/>
    <x v="2"/>
    <x v="1"/>
  </r>
  <r>
    <d v="2024-03-30T00:00:00"/>
    <x v="25"/>
    <x v="8"/>
    <x v="0"/>
    <x v="1"/>
    <x v="1"/>
    <s v="ASUS Vivobook 15"/>
    <n v="50021.03"/>
    <n v="1"/>
    <n v="4680.8599999999997"/>
    <x v="2"/>
    <x v="1"/>
  </r>
  <r>
    <d v="2024-03-31T00:00:00"/>
    <x v="26"/>
    <x v="7"/>
    <x v="0"/>
    <x v="3"/>
    <x v="10"/>
    <s v="Daikin 1.5 Ton Inverter AC"/>
    <n v="126448.98"/>
    <n v="3"/>
    <n v="13498.53"/>
    <x v="2"/>
    <x v="1"/>
  </r>
  <r>
    <d v="2024-03-31T00:00:00"/>
    <x v="11"/>
    <x v="14"/>
    <x v="0"/>
    <x v="3"/>
    <x v="10"/>
    <s v="Voltas 1.5 Ton Split AC"/>
    <n v="68930.94"/>
    <n v="2"/>
    <n v="10331.290000000001"/>
    <x v="2"/>
    <x v="1"/>
  </r>
  <r>
    <d v="2024-04-02T00:00:00"/>
    <x v="29"/>
    <x v="4"/>
    <x v="0"/>
    <x v="2"/>
    <x v="3"/>
    <s v="boAt Home Theatre System"/>
    <n v="21615.37"/>
    <n v="2"/>
    <n v="3470.6"/>
    <x v="3"/>
    <x v="1"/>
  </r>
  <r>
    <d v="2024-04-02T00:00:00"/>
    <x v="10"/>
    <x v="11"/>
    <x v="0"/>
    <x v="1"/>
    <x v="5"/>
    <s v="TP-Link Wi-Fi Router"/>
    <n v="5840.24"/>
    <n v="2"/>
    <n v="568.11"/>
    <x v="3"/>
    <x v="1"/>
  </r>
  <r>
    <d v="2024-04-03T00:00:00"/>
    <x v="3"/>
    <x v="1"/>
    <x v="0"/>
    <x v="2"/>
    <x v="3"/>
    <s v="Sony Bluetooth Soundbar"/>
    <n v="41504.980000000003"/>
    <n v="2"/>
    <n v="4473.2299999999996"/>
    <x v="3"/>
    <x v="1"/>
  </r>
  <r>
    <d v="2024-04-03T00:00:00"/>
    <x v="29"/>
    <x v="9"/>
    <x v="0"/>
    <x v="1"/>
    <x v="5"/>
    <s v="TP-Link Wi-Fi Router"/>
    <n v="7499.78"/>
    <n v="3"/>
    <n v="1024.8"/>
    <x v="3"/>
    <x v="1"/>
  </r>
  <r>
    <d v="2024-04-03T00:00:00"/>
    <x v="14"/>
    <x v="0"/>
    <x v="0"/>
    <x v="4"/>
    <x v="11"/>
    <s v="Philips Trimmer"/>
    <n v="4550.76"/>
    <n v="2"/>
    <n v="732.97"/>
    <x v="3"/>
    <x v="1"/>
  </r>
  <r>
    <d v="2024-04-04T00:00:00"/>
    <x v="10"/>
    <x v="3"/>
    <x v="0"/>
    <x v="0"/>
    <x v="2"/>
    <s v="Samsung Galaxy S24"/>
    <n v="74723.87"/>
    <n v="1"/>
    <n v="5508.23"/>
    <x v="3"/>
    <x v="1"/>
  </r>
  <r>
    <d v="2024-04-04T00:00:00"/>
    <x v="21"/>
    <x v="11"/>
    <x v="0"/>
    <x v="4"/>
    <x v="11"/>
    <s v="Philips Hair Dryer"/>
    <n v="9638.2999999999993"/>
    <n v="5"/>
    <n v="1910.09"/>
    <x v="3"/>
    <x v="1"/>
  </r>
  <r>
    <d v="2024-04-04T00:00:00"/>
    <x v="26"/>
    <x v="12"/>
    <x v="0"/>
    <x v="2"/>
    <x v="3"/>
    <s v="Sony Bluetooth Soundbar"/>
    <n v="49698.36"/>
    <n v="2"/>
    <n v="7767.84"/>
    <x v="3"/>
    <x v="1"/>
  </r>
  <r>
    <d v="2024-04-04T00:00:00"/>
    <x v="11"/>
    <x v="5"/>
    <x v="0"/>
    <x v="4"/>
    <x v="11"/>
    <s v="Braun Electric Shaver"/>
    <n v="11115.19"/>
    <n v="2"/>
    <n v="1147.05"/>
    <x v="3"/>
    <x v="1"/>
  </r>
  <r>
    <d v="2024-04-05T00:00:00"/>
    <x v="1"/>
    <x v="13"/>
    <x v="0"/>
    <x v="0"/>
    <x v="2"/>
    <s v="Google Pixel 8"/>
    <n v="113537.51"/>
    <n v="2"/>
    <n v="15140.35"/>
    <x v="3"/>
    <x v="1"/>
  </r>
  <r>
    <d v="2024-04-07T00:00:00"/>
    <x v="2"/>
    <x v="4"/>
    <x v="0"/>
    <x v="0"/>
    <x v="2"/>
    <s v="Apple iPhone 15"/>
    <n v="65154.45"/>
    <n v="1"/>
    <n v="6700.51"/>
    <x v="3"/>
    <x v="1"/>
  </r>
  <r>
    <d v="2024-04-08T00:00:00"/>
    <x v="19"/>
    <x v="4"/>
    <x v="0"/>
    <x v="3"/>
    <x v="9"/>
    <s v="LG 260L Double Door Refrigerator"/>
    <n v="56275.69"/>
    <n v="2"/>
    <n v="11175.15"/>
    <x v="3"/>
    <x v="1"/>
  </r>
  <r>
    <d v="2024-04-09T00:00:00"/>
    <x v="12"/>
    <x v="10"/>
    <x v="0"/>
    <x v="1"/>
    <x v="1"/>
    <s v="Dell Inspiron 15 Laptop"/>
    <n v="54148.88"/>
    <n v="1"/>
    <n v="4691.26"/>
    <x v="3"/>
    <x v="1"/>
  </r>
  <r>
    <d v="2024-04-09T00:00:00"/>
    <x v="9"/>
    <x v="9"/>
    <x v="0"/>
    <x v="1"/>
    <x v="1"/>
    <s v="ASUS Vivobook 15"/>
    <n v="50855.27"/>
    <n v="1"/>
    <n v="7289.85"/>
    <x v="3"/>
    <x v="1"/>
  </r>
  <r>
    <d v="2024-04-10T00:00:00"/>
    <x v="18"/>
    <x v="11"/>
    <x v="0"/>
    <x v="3"/>
    <x v="7"/>
    <s v="Morphy Richards OTG"/>
    <n v="14361.85"/>
    <n v="2"/>
    <n v="1664"/>
    <x v="3"/>
    <x v="1"/>
  </r>
  <r>
    <d v="2024-04-10T00:00:00"/>
    <x v="4"/>
    <x v="3"/>
    <x v="0"/>
    <x v="3"/>
    <x v="10"/>
    <s v="Daikin 1.5 Ton Inverter AC"/>
    <n v="48588.82"/>
    <n v="1"/>
    <n v="3948.65"/>
    <x v="3"/>
    <x v="1"/>
  </r>
  <r>
    <d v="2024-04-10T00:00:00"/>
    <x v="27"/>
    <x v="14"/>
    <x v="0"/>
    <x v="4"/>
    <x v="11"/>
    <s v="Philips Trimmer"/>
    <n v="10448.91"/>
    <n v="5"/>
    <n v="1526.58"/>
    <x v="3"/>
    <x v="1"/>
  </r>
  <r>
    <d v="2024-04-11T00:00:00"/>
    <x v="13"/>
    <x v="11"/>
    <x v="0"/>
    <x v="4"/>
    <x v="6"/>
    <s v="Eureka Forbes Vacuum Cleaner"/>
    <n v="20882.75"/>
    <n v="2"/>
    <n v="4352.8999999999996"/>
    <x v="3"/>
    <x v="1"/>
  </r>
  <r>
    <d v="2024-04-11T00:00:00"/>
    <x v="7"/>
    <x v="14"/>
    <x v="0"/>
    <x v="3"/>
    <x v="4"/>
    <s v="Samsung 8kg Front Load Washing Machine"/>
    <n v="118382.16"/>
    <n v="3"/>
    <n v="-4795.7299999999996"/>
    <x v="3"/>
    <x v="1"/>
  </r>
  <r>
    <d v="2024-04-11T00:00:00"/>
    <x v="7"/>
    <x v="3"/>
    <x v="0"/>
    <x v="0"/>
    <x v="0"/>
    <s v="Apple 20W USB-C Power Adapter"/>
    <n v="3757.81"/>
    <n v="2"/>
    <n v="453.79"/>
    <x v="3"/>
    <x v="1"/>
  </r>
  <r>
    <d v="2024-04-11T00:00:00"/>
    <x v="0"/>
    <x v="13"/>
    <x v="0"/>
    <x v="2"/>
    <x v="3"/>
    <s v="JBL 5.1 Soundbar"/>
    <n v="60079.55"/>
    <n v="2"/>
    <n v="9358.1200000000008"/>
    <x v="3"/>
    <x v="1"/>
  </r>
  <r>
    <d v="2024-04-11T00:00:00"/>
    <x v="17"/>
    <x v="7"/>
    <x v="0"/>
    <x v="1"/>
    <x v="1"/>
    <s v="HP Pavilion 15 Laptop"/>
    <n v="122658.7"/>
    <n v="2"/>
    <n v="14684.61"/>
    <x v="3"/>
    <x v="1"/>
  </r>
  <r>
    <d v="2024-04-12T00:00:00"/>
    <x v="11"/>
    <x v="6"/>
    <x v="0"/>
    <x v="3"/>
    <x v="7"/>
    <s v="Morphy Richards OTG"/>
    <n v="18642.560000000001"/>
    <n v="3"/>
    <n v="2646.1"/>
    <x v="3"/>
    <x v="1"/>
  </r>
  <r>
    <d v="2024-04-12T00:00:00"/>
    <x v="16"/>
    <x v="2"/>
    <x v="0"/>
    <x v="3"/>
    <x v="9"/>
    <s v="LG 260L Double Door Refrigerator"/>
    <n v="31528.17"/>
    <n v="1"/>
    <n v="5051.57"/>
    <x v="3"/>
    <x v="1"/>
  </r>
  <r>
    <d v="2024-04-13T00:00:00"/>
    <x v="25"/>
    <x v="3"/>
    <x v="0"/>
    <x v="1"/>
    <x v="1"/>
    <s v="Apple MacBook Air M2"/>
    <n v="93134.78"/>
    <n v="1"/>
    <n v="7877.75"/>
    <x v="3"/>
    <x v="1"/>
  </r>
  <r>
    <d v="2024-04-13T00:00:00"/>
    <x v="2"/>
    <x v="4"/>
    <x v="0"/>
    <x v="0"/>
    <x v="0"/>
    <s v="boAt Wireless Earphones"/>
    <n v="4575.88"/>
    <n v="3"/>
    <n v="535.92999999999995"/>
    <x v="3"/>
    <x v="1"/>
  </r>
  <r>
    <d v="2024-04-15T00:00:00"/>
    <x v="26"/>
    <x v="2"/>
    <x v="0"/>
    <x v="4"/>
    <x v="6"/>
    <s v="Dyson V8 Vacuum Cleaner"/>
    <n v="34521.74"/>
    <n v="1"/>
    <n v="7925.57"/>
    <x v="3"/>
    <x v="1"/>
  </r>
  <r>
    <d v="2024-04-15T00:00:00"/>
    <x v="28"/>
    <x v="12"/>
    <x v="0"/>
    <x v="4"/>
    <x v="6"/>
    <s v="Eureka Forbes Vacuum Cleaner"/>
    <n v="20382.509999999998"/>
    <n v="2"/>
    <n v="2834.88"/>
    <x v="3"/>
    <x v="1"/>
  </r>
  <r>
    <d v="2024-04-15T00:00:00"/>
    <x v="5"/>
    <x v="11"/>
    <x v="0"/>
    <x v="3"/>
    <x v="10"/>
    <s v="LG 1.5 Ton 5 Star Split AC"/>
    <n v="82911.41"/>
    <n v="2"/>
    <n v="16534.54"/>
    <x v="3"/>
    <x v="1"/>
  </r>
  <r>
    <d v="2024-04-16T00:00:00"/>
    <x v="14"/>
    <x v="6"/>
    <x v="0"/>
    <x v="3"/>
    <x v="4"/>
    <s v="IFB 7kg Front Load Washing Machine"/>
    <n v="78924.38"/>
    <n v="3"/>
    <n v="15081.35"/>
    <x v="3"/>
    <x v="1"/>
  </r>
  <r>
    <d v="2024-04-16T00:00:00"/>
    <x v="10"/>
    <x v="6"/>
    <x v="0"/>
    <x v="2"/>
    <x v="8"/>
    <s v="Sony 55 inch Bravia 4K TV"/>
    <n v="145105.25"/>
    <n v="2"/>
    <n v="17091.32"/>
    <x v="3"/>
    <x v="1"/>
  </r>
  <r>
    <d v="2024-04-17T00:00:00"/>
    <x v="6"/>
    <x v="14"/>
    <x v="0"/>
    <x v="2"/>
    <x v="8"/>
    <s v="Sony 55 inch Bravia 4K TV"/>
    <n v="73060.06"/>
    <n v="1"/>
    <n v="6824.44"/>
    <x v="3"/>
    <x v="1"/>
  </r>
  <r>
    <d v="2024-04-19T00:00:00"/>
    <x v="4"/>
    <x v="12"/>
    <x v="0"/>
    <x v="2"/>
    <x v="8"/>
    <s v="TCL 50 inch 4K Smart TV"/>
    <n v="37283.94"/>
    <n v="1"/>
    <n v="6275.25"/>
    <x v="3"/>
    <x v="1"/>
  </r>
  <r>
    <d v="2024-04-19T00:00:00"/>
    <x v="0"/>
    <x v="9"/>
    <x v="0"/>
    <x v="4"/>
    <x v="6"/>
    <s v="Dyson V8 Vacuum Cleaner"/>
    <n v="30583.69"/>
    <n v="1"/>
    <n v="5906.48"/>
    <x v="3"/>
    <x v="1"/>
  </r>
  <r>
    <d v="2024-04-19T00:00:00"/>
    <x v="22"/>
    <x v="6"/>
    <x v="0"/>
    <x v="2"/>
    <x v="8"/>
    <s v="LG 55 inch OLED Smart TV"/>
    <n v="186154.38"/>
    <n v="2"/>
    <n v="33011.120000000003"/>
    <x v="3"/>
    <x v="1"/>
  </r>
  <r>
    <d v="2024-04-19T00:00:00"/>
    <x v="26"/>
    <x v="3"/>
    <x v="0"/>
    <x v="4"/>
    <x v="11"/>
    <s v="Philips Hair Dryer"/>
    <n v="1684.3"/>
    <n v="1"/>
    <n v="244.67"/>
    <x v="3"/>
    <x v="1"/>
  </r>
  <r>
    <d v="2024-04-20T00:00:00"/>
    <x v="18"/>
    <x v="13"/>
    <x v="0"/>
    <x v="0"/>
    <x v="2"/>
    <s v="Google Pixel 8"/>
    <n v="174301.54"/>
    <n v="3"/>
    <n v="24884.53"/>
    <x v="3"/>
    <x v="1"/>
  </r>
  <r>
    <d v="2024-04-21T00:00:00"/>
    <x v="29"/>
    <x v="12"/>
    <x v="0"/>
    <x v="1"/>
    <x v="1"/>
    <s v="ASUS Vivobook 15"/>
    <n v="97193.18"/>
    <n v="2"/>
    <n v="15220"/>
    <x v="3"/>
    <x v="1"/>
  </r>
  <r>
    <d v="2024-04-21T00:00:00"/>
    <x v="19"/>
    <x v="5"/>
    <x v="0"/>
    <x v="0"/>
    <x v="2"/>
    <s v="Apple iPhone 15"/>
    <n v="117233.44"/>
    <n v="2"/>
    <n v="10292.67"/>
    <x v="3"/>
    <x v="1"/>
  </r>
  <r>
    <d v="2024-04-21T00:00:00"/>
    <x v="3"/>
    <x v="6"/>
    <x v="0"/>
    <x v="3"/>
    <x v="10"/>
    <s v="Daikin 1.5 Ton Inverter AC"/>
    <n v="46949.79"/>
    <n v="1"/>
    <n v="4604.53"/>
    <x v="3"/>
    <x v="1"/>
  </r>
  <r>
    <d v="2024-04-23T00:00:00"/>
    <x v="20"/>
    <x v="2"/>
    <x v="0"/>
    <x v="0"/>
    <x v="0"/>
    <s v="Portronics Power Bank 20000mAh"/>
    <n v="8781.31"/>
    <n v="4"/>
    <n v="721.55"/>
    <x v="3"/>
    <x v="1"/>
  </r>
  <r>
    <d v="2024-04-25T00:00:00"/>
    <x v="10"/>
    <x v="0"/>
    <x v="0"/>
    <x v="4"/>
    <x v="11"/>
    <s v="Braun Electric Shaver"/>
    <n v="5669.75"/>
    <n v="1"/>
    <n v="-186.13"/>
    <x v="3"/>
    <x v="1"/>
  </r>
  <r>
    <d v="2024-04-26T00:00:00"/>
    <x v="25"/>
    <x v="7"/>
    <x v="0"/>
    <x v="4"/>
    <x v="6"/>
    <s v="Philips Air Purifier"/>
    <n v="25342.799999999999"/>
    <n v="2"/>
    <n v="4723.95"/>
    <x v="3"/>
    <x v="1"/>
  </r>
  <r>
    <d v="2024-04-26T00:00:00"/>
    <x v="19"/>
    <x v="8"/>
    <x v="0"/>
    <x v="2"/>
    <x v="3"/>
    <s v="Sony Wireless Headphones"/>
    <n v="9436.14"/>
    <n v="1"/>
    <n v="904.55"/>
    <x v="3"/>
    <x v="1"/>
  </r>
  <r>
    <d v="2024-04-28T00:00:00"/>
    <x v="20"/>
    <x v="12"/>
    <x v="0"/>
    <x v="2"/>
    <x v="8"/>
    <s v="Samsung 55 inch 4K Smart TV"/>
    <n v="57770.71"/>
    <n v="1"/>
    <n v="7160.54"/>
    <x v="3"/>
    <x v="1"/>
  </r>
  <r>
    <d v="2024-04-29T00:00:00"/>
    <x v="1"/>
    <x v="1"/>
    <x v="0"/>
    <x v="1"/>
    <x v="5"/>
    <s v="TP-Link Wi-Fi Router"/>
    <n v="5961.87"/>
    <n v="2"/>
    <n v="439.91"/>
    <x v="3"/>
    <x v="1"/>
  </r>
  <r>
    <d v="2024-04-29T00:00:00"/>
    <x v="28"/>
    <x v="6"/>
    <x v="0"/>
    <x v="4"/>
    <x v="6"/>
    <s v="Eureka Forbes Vacuum Cleaner"/>
    <n v="21497.21"/>
    <n v="2"/>
    <n v="2407.15"/>
    <x v="3"/>
    <x v="1"/>
  </r>
  <r>
    <d v="2024-05-02T00:00:00"/>
    <x v="20"/>
    <x v="13"/>
    <x v="0"/>
    <x v="4"/>
    <x v="6"/>
    <s v="Philips Air Purifier"/>
    <n v="43883.16"/>
    <n v="3"/>
    <n v="6339.16"/>
    <x v="4"/>
    <x v="1"/>
  </r>
  <r>
    <d v="2024-05-02T00:00:00"/>
    <x v="5"/>
    <x v="12"/>
    <x v="0"/>
    <x v="1"/>
    <x v="1"/>
    <s v="Apple MacBook Air M2"/>
    <n v="169106.59"/>
    <n v="2"/>
    <n v="15012.41"/>
    <x v="4"/>
    <x v="1"/>
  </r>
  <r>
    <d v="2024-05-04T00:00:00"/>
    <x v="23"/>
    <x v="6"/>
    <x v="0"/>
    <x v="4"/>
    <x v="11"/>
    <s v="Braun Electric Shaver"/>
    <n v="5827.07"/>
    <n v="1"/>
    <n v="1044.74"/>
    <x v="4"/>
    <x v="1"/>
  </r>
  <r>
    <d v="2024-05-04T00:00:00"/>
    <x v="17"/>
    <x v="13"/>
    <x v="0"/>
    <x v="0"/>
    <x v="0"/>
    <s v="Samsung 25W Charger"/>
    <n v="2729.5"/>
    <n v="2"/>
    <n v="299.24"/>
    <x v="4"/>
    <x v="1"/>
  </r>
  <r>
    <d v="2024-05-05T00:00:00"/>
    <x v="16"/>
    <x v="4"/>
    <x v="0"/>
    <x v="3"/>
    <x v="7"/>
    <s v="Philips Air Fryer"/>
    <n v="37923.86"/>
    <n v="5"/>
    <n v="-2690.24"/>
    <x v="4"/>
    <x v="1"/>
  </r>
  <r>
    <d v="2024-05-06T00:00:00"/>
    <x v="28"/>
    <x v="9"/>
    <x v="0"/>
    <x v="4"/>
    <x v="11"/>
    <s v="Philips Hair Dryer"/>
    <n v="3599.2"/>
    <n v="2"/>
    <n v="608.26"/>
    <x v="4"/>
    <x v="1"/>
  </r>
  <r>
    <d v="2024-05-07T00:00:00"/>
    <x v="11"/>
    <x v="13"/>
    <x v="0"/>
    <x v="1"/>
    <x v="5"/>
    <s v="Dell 27 inch Monitor"/>
    <n v="16152.16"/>
    <n v="1"/>
    <n v="1234.72"/>
    <x v="4"/>
    <x v="1"/>
  </r>
  <r>
    <d v="2024-05-10T00:00:00"/>
    <x v="4"/>
    <x v="9"/>
    <x v="0"/>
    <x v="3"/>
    <x v="9"/>
    <s v="Whirlpool 265L Frost Free Refrigerator"/>
    <n v="75846.92"/>
    <n v="3"/>
    <n v="14340.03"/>
    <x v="4"/>
    <x v="1"/>
  </r>
  <r>
    <d v="2024-05-11T00:00:00"/>
    <x v="3"/>
    <x v="5"/>
    <x v="0"/>
    <x v="0"/>
    <x v="2"/>
    <s v="Apple iPhone 15"/>
    <n v="64630.91"/>
    <n v="1"/>
    <n v="6279.95"/>
    <x v="4"/>
    <x v="1"/>
  </r>
  <r>
    <d v="2024-05-11T00:00:00"/>
    <x v="9"/>
    <x v="6"/>
    <x v="0"/>
    <x v="2"/>
    <x v="3"/>
    <s v="Sony Wireless Headphones"/>
    <n v="19086.03"/>
    <n v="2"/>
    <n v="2195.67"/>
    <x v="4"/>
    <x v="1"/>
  </r>
  <r>
    <d v="2024-05-12T00:00:00"/>
    <x v="15"/>
    <x v="14"/>
    <x v="0"/>
    <x v="1"/>
    <x v="1"/>
    <s v="ASUS Vivobook 15"/>
    <n v="162224.32000000001"/>
    <n v="3"/>
    <n v="23110.23"/>
    <x v="4"/>
    <x v="1"/>
  </r>
  <r>
    <d v="2024-05-12T00:00:00"/>
    <x v="24"/>
    <x v="1"/>
    <x v="0"/>
    <x v="2"/>
    <x v="3"/>
    <s v="JBL 5.1 Soundbar"/>
    <n v="33093.42"/>
    <n v="1"/>
    <n v="4279.3900000000003"/>
    <x v="4"/>
    <x v="1"/>
  </r>
  <r>
    <d v="2024-05-13T00:00:00"/>
    <x v="2"/>
    <x v="4"/>
    <x v="0"/>
    <x v="4"/>
    <x v="6"/>
    <s v="Dyson V8 Vacuum Cleaner"/>
    <n v="65649.89"/>
    <n v="2"/>
    <n v="15725.01"/>
    <x v="4"/>
    <x v="1"/>
  </r>
  <r>
    <d v="2024-05-13T00:00:00"/>
    <x v="6"/>
    <x v="3"/>
    <x v="0"/>
    <x v="0"/>
    <x v="2"/>
    <s v="OnePlus 12"/>
    <n v="125271"/>
    <n v="2"/>
    <n v="11752.59"/>
    <x v="4"/>
    <x v="1"/>
  </r>
  <r>
    <d v="2024-05-14T00:00:00"/>
    <x v="22"/>
    <x v="8"/>
    <x v="0"/>
    <x v="4"/>
    <x v="6"/>
    <s v="Dyson V8 Vacuum Cleaner"/>
    <n v="29630.53"/>
    <n v="1"/>
    <n v="3717.37"/>
    <x v="4"/>
    <x v="1"/>
  </r>
  <r>
    <d v="2024-05-14T00:00:00"/>
    <x v="1"/>
    <x v="6"/>
    <x v="0"/>
    <x v="0"/>
    <x v="0"/>
    <s v="Portronics Power Bank 20000mAh"/>
    <n v="2156.81"/>
    <n v="1"/>
    <n v="214.23"/>
    <x v="4"/>
    <x v="1"/>
  </r>
  <r>
    <d v="2024-05-15T00:00:00"/>
    <x v="19"/>
    <x v="12"/>
    <x v="0"/>
    <x v="4"/>
    <x v="11"/>
    <s v="Philips Hair Dryer"/>
    <n v="1779.69"/>
    <n v="1"/>
    <n v="273.27999999999997"/>
    <x v="4"/>
    <x v="1"/>
  </r>
  <r>
    <d v="2024-05-15T00:00:00"/>
    <x v="20"/>
    <x v="11"/>
    <x v="0"/>
    <x v="4"/>
    <x v="11"/>
    <s v="Braun Electric Shaver"/>
    <n v="5838.57"/>
    <n v="1"/>
    <n v="785.9"/>
    <x v="4"/>
    <x v="1"/>
  </r>
  <r>
    <d v="2024-05-15T00:00:00"/>
    <x v="2"/>
    <x v="9"/>
    <x v="0"/>
    <x v="4"/>
    <x v="6"/>
    <s v="Dyson V8 Vacuum Cleaner"/>
    <n v="61709.33"/>
    <n v="2"/>
    <n v="6830.78"/>
    <x v="4"/>
    <x v="1"/>
  </r>
  <r>
    <d v="2024-05-15T00:00:00"/>
    <x v="19"/>
    <x v="2"/>
    <x v="0"/>
    <x v="1"/>
    <x v="5"/>
    <s v="TP-Link Wi-Fi Router"/>
    <n v="5939.7"/>
    <n v="2"/>
    <n v="950.6"/>
    <x v="4"/>
    <x v="1"/>
  </r>
  <r>
    <d v="2024-05-17T00:00:00"/>
    <x v="11"/>
    <x v="11"/>
    <x v="0"/>
    <x v="3"/>
    <x v="9"/>
    <s v="LG 260L Double Door Refrigerator"/>
    <n v="58427.3"/>
    <n v="2"/>
    <n v="-1954.46"/>
    <x v="4"/>
    <x v="1"/>
  </r>
  <r>
    <d v="2024-05-18T00:00:00"/>
    <x v="19"/>
    <x v="1"/>
    <x v="0"/>
    <x v="3"/>
    <x v="9"/>
    <s v="Whirlpool 265L Frost Free Refrigerator"/>
    <n v="25859.51"/>
    <n v="1"/>
    <n v="5055.82"/>
    <x v="4"/>
    <x v="1"/>
  </r>
  <r>
    <d v="2024-05-19T00:00:00"/>
    <x v="0"/>
    <x v="3"/>
    <x v="0"/>
    <x v="1"/>
    <x v="5"/>
    <s v="HP 24 inch Monitor"/>
    <n v="21493.67"/>
    <n v="2"/>
    <n v="1746.42"/>
    <x v="4"/>
    <x v="1"/>
  </r>
  <r>
    <d v="2024-05-20T00:00:00"/>
    <x v="0"/>
    <x v="10"/>
    <x v="0"/>
    <x v="3"/>
    <x v="4"/>
    <s v="IFB 7kg Front Load Washing Machine"/>
    <n v="106913.67"/>
    <n v="4"/>
    <n v="20077.34"/>
    <x v="4"/>
    <x v="1"/>
  </r>
  <r>
    <d v="2024-05-20T00:00:00"/>
    <x v="4"/>
    <x v="1"/>
    <x v="0"/>
    <x v="4"/>
    <x v="11"/>
    <s v="Philips Hair Dryer"/>
    <n v="8584.11"/>
    <n v="5"/>
    <n v="1468.26"/>
    <x v="4"/>
    <x v="1"/>
  </r>
  <r>
    <d v="2024-05-21T00:00:00"/>
    <x v="28"/>
    <x v="0"/>
    <x v="0"/>
    <x v="0"/>
    <x v="2"/>
    <s v="Nothing Phone 2"/>
    <n v="88929.48"/>
    <n v="2"/>
    <n v="10459.530000000001"/>
    <x v="4"/>
    <x v="1"/>
  </r>
  <r>
    <d v="2024-05-23T00:00:00"/>
    <x v="23"/>
    <x v="2"/>
    <x v="0"/>
    <x v="2"/>
    <x v="3"/>
    <s v="boAt Home Theatre System"/>
    <n v="12626.17"/>
    <n v="1"/>
    <n v="2267.62"/>
    <x v="4"/>
    <x v="1"/>
  </r>
  <r>
    <d v="2024-05-24T00:00:00"/>
    <x v="0"/>
    <x v="13"/>
    <x v="0"/>
    <x v="1"/>
    <x v="5"/>
    <s v="Logitech Wireless Mouse"/>
    <n v="1363.19"/>
    <n v="1"/>
    <n v="137.15"/>
    <x v="4"/>
    <x v="1"/>
  </r>
  <r>
    <d v="2024-05-24T00:00:00"/>
    <x v="9"/>
    <x v="6"/>
    <x v="0"/>
    <x v="3"/>
    <x v="4"/>
    <s v="IFB 7kg Front Load Washing Machine"/>
    <n v="154215.41"/>
    <n v="5"/>
    <n v="25945.01"/>
    <x v="4"/>
    <x v="1"/>
  </r>
  <r>
    <d v="2024-05-24T00:00:00"/>
    <x v="2"/>
    <x v="0"/>
    <x v="0"/>
    <x v="4"/>
    <x v="6"/>
    <s v="Philips Air Purifier"/>
    <n v="12663"/>
    <n v="1"/>
    <n v="2119.33"/>
    <x v="4"/>
    <x v="1"/>
  </r>
  <r>
    <d v="2024-05-24T00:00:00"/>
    <x v="16"/>
    <x v="8"/>
    <x v="0"/>
    <x v="4"/>
    <x v="6"/>
    <s v="Philips Air Purifier"/>
    <n v="14482.91"/>
    <n v="1"/>
    <n v="3447.88"/>
    <x v="4"/>
    <x v="1"/>
  </r>
  <r>
    <d v="2024-05-24T00:00:00"/>
    <x v="17"/>
    <x v="0"/>
    <x v="0"/>
    <x v="4"/>
    <x v="6"/>
    <s v="Philips Air Purifier"/>
    <n v="12353.24"/>
    <n v="1"/>
    <n v="2870.86"/>
    <x v="4"/>
    <x v="1"/>
  </r>
  <r>
    <d v="2024-05-25T00:00:00"/>
    <x v="7"/>
    <x v="4"/>
    <x v="0"/>
    <x v="2"/>
    <x v="3"/>
    <s v="Sony Bluetooth Soundbar"/>
    <n v="73140.149999999994"/>
    <n v="3"/>
    <n v="8637.48"/>
    <x v="4"/>
    <x v="1"/>
  </r>
  <r>
    <d v="2024-05-26T00:00:00"/>
    <x v="0"/>
    <x v="0"/>
    <x v="0"/>
    <x v="1"/>
    <x v="1"/>
    <s v="Apple MacBook Air M2"/>
    <n v="83469.78"/>
    <n v="1"/>
    <n v="11971.79"/>
    <x v="4"/>
    <x v="1"/>
  </r>
  <r>
    <d v="2024-05-26T00:00:00"/>
    <x v="25"/>
    <x v="1"/>
    <x v="0"/>
    <x v="0"/>
    <x v="0"/>
    <s v="JBL Bluetooth Earbuds"/>
    <n v="5712.16"/>
    <n v="2"/>
    <n v="343.88"/>
    <x v="4"/>
    <x v="1"/>
  </r>
  <r>
    <d v="2024-05-27T00:00:00"/>
    <x v="1"/>
    <x v="8"/>
    <x v="0"/>
    <x v="3"/>
    <x v="7"/>
    <s v="Bajaj Mixer Grinder"/>
    <n v="12402.17"/>
    <n v="3"/>
    <n v="1675.06"/>
    <x v="4"/>
    <x v="1"/>
  </r>
  <r>
    <d v="2024-05-29T00:00:00"/>
    <x v="29"/>
    <x v="2"/>
    <x v="0"/>
    <x v="0"/>
    <x v="2"/>
    <s v="Nothing Phone 2"/>
    <n v="42757.94"/>
    <n v="1"/>
    <n v="2579.12"/>
    <x v="4"/>
    <x v="1"/>
  </r>
  <r>
    <d v="2024-05-29T00:00:00"/>
    <x v="9"/>
    <x v="13"/>
    <x v="0"/>
    <x v="1"/>
    <x v="1"/>
    <s v="Dell Inspiron 15 Laptop"/>
    <n v="232784.01"/>
    <n v="4"/>
    <n v="29688.25"/>
    <x v="4"/>
    <x v="1"/>
  </r>
  <r>
    <d v="2024-05-30T00:00:00"/>
    <x v="13"/>
    <x v="13"/>
    <x v="0"/>
    <x v="0"/>
    <x v="2"/>
    <s v="Samsung Galaxy S24"/>
    <n v="73709.039999999994"/>
    <n v="1"/>
    <n v="10637.06"/>
    <x v="4"/>
    <x v="1"/>
  </r>
  <r>
    <d v="2024-05-30T00:00:00"/>
    <x v="2"/>
    <x v="6"/>
    <x v="0"/>
    <x v="2"/>
    <x v="8"/>
    <s v="Samsung 55 inch 4K Smart TV"/>
    <n v="65653.41"/>
    <n v="1"/>
    <n v="10064.1"/>
    <x v="4"/>
    <x v="1"/>
  </r>
  <r>
    <d v="2024-05-31T00:00:00"/>
    <x v="25"/>
    <x v="10"/>
    <x v="0"/>
    <x v="1"/>
    <x v="5"/>
    <s v="Logitech Wireless Keyboard"/>
    <n v="2316.36"/>
    <n v="1"/>
    <n v="293.02"/>
    <x v="4"/>
    <x v="1"/>
  </r>
  <r>
    <d v="2024-06-02T00:00:00"/>
    <x v="12"/>
    <x v="4"/>
    <x v="0"/>
    <x v="1"/>
    <x v="1"/>
    <s v="Lenovo IdeaPad Slim 5"/>
    <n v="172261.15"/>
    <n v="3"/>
    <n v="15809.93"/>
    <x v="5"/>
    <x v="1"/>
  </r>
  <r>
    <d v="2024-06-02T00:00:00"/>
    <x v="15"/>
    <x v="4"/>
    <x v="0"/>
    <x v="0"/>
    <x v="2"/>
    <s v="Nothing Phone 2"/>
    <n v="147686.41"/>
    <n v="4"/>
    <n v="17264.78"/>
    <x v="5"/>
    <x v="1"/>
  </r>
  <r>
    <d v="2024-06-03T00:00:00"/>
    <x v="15"/>
    <x v="7"/>
    <x v="0"/>
    <x v="4"/>
    <x v="6"/>
    <s v="Philips Air Purifier"/>
    <n v="14246.48"/>
    <n v="1"/>
    <n v="2782.12"/>
    <x v="5"/>
    <x v="1"/>
  </r>
  <r>
    <d v="2024-06-03T00:00:00"/>
    <x v="16"/>
    <x v="7"/>
    <x v="0"/>
    <x v="1"/>
    <x v="5"/>
    <s v="Logitech Wireless Mouse"/>
    <n v="1287.54"/>
    <n v="1"/>
    <n v="131.91"/>
    <x v="5"/>
    <x v="1"/>
  </r>
  <r>
    <d v="2024-06-06T00:00:00"/>
    <x v="21"/>
    <x v="10"/>
    <x v="0"/>
    <x v="3"/>
    <x v="4"/>
    <s v="LG 7kg Fully Automatic Washing Machine"/>
    <n v="27306.45"/>
    <n v="1"/>
    <n v="2351.16"/>
    <x v="5"/>
    <x v="1"/>
  </r>
  <r>
    <d v="2024-06-08T00:00:00"/>
    <x v="3"/>
    <x v="10"/>
    <x v="0"/>
    <x v="2"/>
    <x v="8"/>
    <s v="Samsung 55 inch 4K Smart TV"/>
    <n v="269441.09999999998"/>
    <n v="4"/>
    <n v="34795.769999999997"/>
    <x v="5"/>
    <x v="1"/>
  </r>
  <r>
    <d v="2024-06-08T00:00:00"/>
    <x v="2"/>
    <x v="7"/>
    <x v="0"/>
    <x v="1"/>
    <x v="1"/>
    <s v="Lenovo IdeaPad Slim 5"/>
    <n v="63310.03"/>
    <n v="1"/>
    <n v="7964.83"/>
    <x v="5"/>
    <x v="1"/>
  </r>
  <r>
    <d v="2024-06-09T00:00:00"/>
    <x v="23"/>
    <x v="6"/>
    <x v="0"/>
    <x v="0"/>
    <x v="2"/>
    <s v="Apple iPhone 15"/>
    <n v="130651.39"/>
    <n v="2"/>
    <n v="14240.8"/>
    <x v="5"/>
    <x v="1"/>
  </r>
  <r>
    <d v="2024-06-11T00:00:00"/>
    <x v="16"/>
    <x v="11"/>
    <x v="0"/>
    <x v="3"/>
    <x v="9"/>
    <s v="Samsung 253L Refrigerator"/>
    <n v="79332.55"/>
    <n v="3"/>
    <n v="8240.67"/>
    <x v="5"/>
    <x v="1"/>
  </r>
  <r>
    <d v="2024-06-13T00:00:00"/>
    <x v="17"/>
    <x v="0"/>
    <x v="0"/>
    <x v="4"/>
    <x v="6"/>
    <s v="Philips Air Purifier"/>
    <n v="12431.94"/>
    <n v="1"/>
    <n v="1392.2"/>
    <x v="5"/>
    <x v="1"/>
  </r>
  <r>
    <d v="2024-06-13T00:00:00"/>
    <x v="0"/>
    <x v="7"/>
    <x v="0"/>
    <x v="1"/>
    <x v="5"/>
    <s v="TP-Link Wi-Fi Router"/>
    <n v="2966.64"/>
    <n v="1"/>
    <n v="318.31"/>
    <x v="5"/>
    <x v="1"/>
  </r>
  <r>
    <d v="2024-06-14T00:00:00"/>
    <x v="15"/>
    <x v="11"/>
    <x v="0"/>
    <x v="1"/>
    <x v="1"/>
    <s v="Apple MacBook Air M2"/>
    <n v="98025.25"/>
    <n v="1"/>
    <n v="11831.04"/>
    <x v="5"/>
    <x v="1"/>
  </r>
  <r>
    <d v="2024-06-14T00:00:00"/>
    <x v="15"/>
    <x v="5"/>
    <x v="0"/>
    <x v="0"/>
    <x v="2"/>
    <s v="Apple iPhone 15"/>
    <n v="129046.64"/>
    <n v="2"/>
    <n v="17104.59"/>
    <x v="5"/>
    <x v="1"/>
  </r>
  <r>
    <d v="2024-06-15T00:00:00"/>
    <x v="5"/>
    <x v="1"/>
    <x v="0"/>
    <x v="1"/>
    <x v="1"/>
    <s v="Lenovo IdeaPad Slim 5"/>
    <n v="60486.95"/>
    <n v="1"/>
    <n v="6447.45"/>
    <x v="5"/>
    <x v="1"/>
  </r>
  <r>
    <d v="2024-06-16T00:00:00"/>
    <x v="29"/>
    <x v="13"/>
    <x v="0"/>
    <x v="4"/>
    <x v="11"/>
    <s v="Braun Electric Shaver"/>
    <n v="15900.78"/>
    <n v="3"/>
    <n v="-694.17"/>
    <x v="5"/>
    <x v="1"/>
  </r>
  <r>
    <d v="2024-06-17T00:00:00"/>
    <x v="3"/>
    <x v="4"/>
    <x v="0"/>
    <x v="3"/>
    <x v="4"/>
    <s v="IFB 7kg Front Load Washing Machine"/>
    <n v="26287.279999999999"/>
    <n v="1"/>
    <n v="4654.62"/>
    <x v="5"/>
    <x v="1"/>
  </r>
  <r>
    <d v="2024-06-17T00:00:00"/>
    <x v="8"/>
    <x v="11"/>
    <x v="0"/>
    <x v="1"/>
    <x v="1"/>
    <s v="Dell Inspiron 15 Laptop"/>
    <n v="104422.97"/>
    <n v="2"/>
    <n v="13359.4"/>
    <x v="5"/>
    <x v="1"/>
  </r>
  <r>
    <d v="2024-06-17T00:00:00"/>
    <x v="18"/>
    <x v="1"/>
    <x v="0"/>
    <x v="1"/>
    <x v="1"/>
    <s v="Dell Inspiron 15 Laptop"/>
    <n v="174803.76"/>
    <n v="3"/>
    <n v="25974.1"/>
    <x v="5"/>
    <x v="1"/>
  </r>
  <r>
    <d v="2024-06-20T00:00:00"/>
    <x v="5"/>
    <x v="13"/>
    <x v="0"/>
    <x v="3"/>
    <x v="7"/>
    <s v="Philips Air Fryer"/>
    <n v="7468.19"/>
    <n v="1"/>
    <n v="1216.74"/>
    <x v="5"/>
    <x v="1"/>
  </r>
  <r>
    <d v="2024-06-20T00:00:00"/>
    <x v="24"/>
    <x v="12"/>
    <x v="0"/>
    <x v="1"/>
    <x v="1"/>
    <s v="Dell Inspiron 15 Laptop"/>
    <n v="52411.53"/>
    <n v="1"/>
    <n v="8612.1"/>
    <x v="5"/>
    <x v="1"/>
  </r>
  <r>
    <d v="2024-06-20T00:00:00"/>
    <x v="22"/>
    <x v="0"/>
    <x v="0"/>
    <x v="3"/>
    <x v="4"/>
    <s v="IFB 7kg Front Load Washing Machine"/>
    <n v="26712.73"/>
    <n v="1"/>
    <n v="3711.57"/>
    <x v="5"/>
    <x v="1"/>
  </r>
  <r>
    <d v="2024-06-20T00:00:00"/>
    <x v="20"/>
    <x v="3"/>
    <x v="0"/>
    <x v="0"/>
    <x v="2"/>
    <s v="Google Pixel 8"/>
    <n v="100882.07"/>
    <n v="2"/>
    <n v="9125.24"/>
    <x v="5"/>
    <x v="1"/>
  </r>
  <r>
    <d v="2024-06-22T00:00:00"/>
    <x v="25"/>
    <x v="1"/>
    <x v="0"/>
    <x v="2"/>
    <x v="3"/>
    <s v="Sony Wireless Headphones"/>
    <n v="9919.14"/>
    <n v="1"/>
    <n v="1285.8699999999999"/>
    <x v="5"/>
    <x v="1"/>
  </r>
  <r>
    <d v="2024-06-22T00:00:00"/>
    <x v="10"/>
    <x v="11"/>
    <x v="0"/>
    <x v="0"/>
    <x v="0"/>
    <s v="boAt Wireless Earphones"/>
    <n v="1690.67"/>
    <n v="1"/>
    <n v="217.8"/>
    <x v="5"/>
    <x v="1"/>
  </r>
  <r>
    <d v="2024-06-22T00:00:00"/>
    <x v="22"/>
    <x v="6"/>
    <x v="0"/>
    <x v="2"/>
    <x v="8"/>
    <s v="OnePlus 43 inch 4K Smart TV"/>
    <n v="81131.399999999994"/>
    <n v="3"/>
    <n v="9101.98"/>
    <x v="5"/>
    <x v="1"/>
  </r>
  <r>
    <d v="2024-06-23T00:00:00"/>
    <x v="19"/>
    <x v="6"/>
    <x v="0"/>
    <x v="2"/>
    <x v="8"/>
    <s v="Sony 55 inch Bravia 4K TV"/>
    <n v="231671.02"/>
    <n v="3"/>
    <n v="23141.88"/>
    <x v="5"/>
    <x v="1"/>
  </r>
  <r>
    <d v="2024-06-24T00:00:00"/>
    <x v="13"/>
    <x v="9"/>
    <x v="0"/>
    <x v="3"/>
    <x v="10"/>
    <s v="Daikin 1.5 Ton Inverter AC"/>
    <n v="221787.64"/>
    <n v="5"/>
    <n v="18020.02"/>
    <x v="5"/>
    <x v="1"/>
  </r>
  <r>
    <d v="2024-06-25T00:00:00"/>
    <x v="6"/>
    <x v="8"/>
    <x v="0"/>
    <x v="2"/>
    <x v="8"/>
    <s v="Sony 55 inch Bravia 4K TV"/>
    <n v="163099.88"/>
    <n v="2"/>
    <n v="28916.15"/>
    <x v="5"/>
    <x v="1"/>
  </r>
  <r>
    <d v="2024-06-27T00:00:00"/>
    <x v="8"/>
    <x v="0"/>
    <x v="0"/>
    <x v="1"/>
    <x v="1"/>
    <s v="HP Pavilion 15 Laptop"/>
    <n v="58301.32"/>
    <n v="1"/>
    <n v="8977.56"/>
    <x v="5"/>
    <x v="1"/>
  </r>
  <r>
    <d v="2024-06-27T00:00:00"/>
    <x v="10"/>
    <x v="3"/>
    <x v="0"/>
    <x v="1"/>
    <x v="1"/>
    <s v="Lenovo IdeaPad Slim 5"/>
    <n v="185143.08"/>
    <n v="3"/>
    <n v="24876.83"/>
    <x v="5"/>
    <x v="1"/>
  </r>
  <r>
    <d v="2024-06-28T00:00:00"/>
    <x v="20"/>
    <x v="8"/>
    <x v="0"/>
    <x v="3"/>
    <x v="10"/>
    <s v="Voltas 1.5 Ton Split AC"/>
    <n v="36387.760000000002"/>
    <n v="1"/>
    <n v="6797.9"/>
    <x v="5"/>
    <x v="1"/>
  </r>
  <r>
    <d v="2024-06-28T00:00:00"/>
    <x v="7"/>
    <x v="12"/>
    <x v="0"/>
    <x v="3"/>
    <x v="7"/>
    <s v="Bajaj Mixer Grinder"/>
    <n v="4311.18"/>
    <n v="1"/>
    <n v="801.07"/>
    <x v="5"/>
    <x v="1"/>
  </r>
  <r>
    <d v="2024-06-28T00:00:00"/>
    <x v="28"/>
    <x v="8"/>
    <x v="0"/>
    <x v="3"/>
    <x v="4"/>
    <s v="Samsung 8kg Front Load Washing Machine"/>
    <n v="74742.84"/>
    <n v="2"/>
    <n v="12955.26"/>
    <x v="5"/>
    <x v="1"/>
  </r>
  <r>
    <d v="2024-06-29T00:00:00"/>
    <x v="18"/>
    <x v="7"/>
    <x v="0"/>
    <x v="0"/>
    <x v="2"/>
    <s v="Samsung Galaxy A55"/>
    <n v="102773.79"/>
    <n v="3"/>
    <n v="9448.24"/>
    <x v="5"/>
    <x v="1"/>
  </r>
  <r>
    <d v="2024-06-29T00:00:00"/>
    <x v="2"/>
    <x v="13"/>
    <x v="0"/>
    <x v="3"/>
    <x v="7"/>
    <s v="Bajaj Mixer Grinder"/>
    <n v="4813.09"/>
    <n v="1"/>
    <n v="509.55"/>
    <x v="5"/>
    <x v="1"/>
  </r>
  <r>
    <d v="2024-06-30T00:00:00"/>
    <x v="21"/>
    <x v="8"/>
    <x v="0"/>
    <x v="4"/>
    <x v="6"/>
    <s v="Dyson V8 Vacuum Cleaner"/>
    <n v="29152.02"/>
    <n v="1"/>
    <n v="3258.3"/>
    <x v="5"/>
    <x v="1"/>
  </r>
  <r>
    <d v="2024-07-01T00:00:00"/>
    <x v="25"/>
    <x v="11"/>
    <x v="0"/>
    <x v="1"/>
    <x v="5"/>
    <s v="TP-Link Wi-Fi Router"/>
    <n v="5285.5"/>
    <n v="2"/>
    <n v="827.32"/>
    <x v="6"/>
    <x v="1"/>
  </r>
  <r>
    <d v="2024-07-02T00:00:00"/>
    <x v="20"/>
    <x v="4"/>
    <x v="0"/>
    <x v="4"/>
    <x v="6"/>
    <s v="Philips Air Purifier"/>
    <n v="29656.85"/>
    <n v="2"/>
    <n v="3798.77"/>
    <x v="6"/>
    <x v="1"/>
  </r>
  <r>
    <d v="2024-07-02T00:00:00"/>
    <x v="15"/>
    <x v="8"/>
    <x v="0"/>
    <x v="2"/>
    <x v="8"/>
    <s v="Sony 55 inch Bravia 4K TV"/>
    <n v="150033.46"/>
    <n v="2"/>
    <n v="19009.900000000001"/>
    <x v="6"/>
    <x v="1"/>
  </r>
  <r>
    <d v="2024-07-03T00:00:00"/>
    <x v="9"/>
    <x v="4"/>
    <x v="0"/>
    <x v="4"/>
    <x v="11"/>
    <s v="Philips Hair Dryer"/>
    <n v="1724.93"/>
    <n v="1"/>
    <n v="347.41"/>
    <x v="6"/>
    <x v="1"/>
  </r>
  <r>
    <d v="2024-07-04T00:00:00"/>
    <x v="24"/>
    <x v="11"/>
    <x v="0"/>
    <x v="2"/>
    <x v="8"/>
    <s v="Samsung 55 inch 4K Smart TV"/>
    <n v="119616.77"/>
    <n v="2"/>
    <n v="14521.32"/>
    <x v="6"/>
    <x v="1"/>
  </r>
  <r>
    <d v="2024-07-04T00:00:00"/>
    <x v="8"/>
    <x v="0"/>
    <x v="0"/>
    <x v="4"/>
    <x v="11"/>
    <s v="Philips Hair Dryer"/>
    <n v="1761.24"/>
    <n v="1"/>
    <n v="382.26"/>
    <x v="6"/>
    <x v="1"/>
  </r>
  <r>
    <d v="2024-07-05T00:00:00"/>
    <x v="13"/>
    <x v="12"/>
    <x v="0"/>
    <x v="4"/>
    <x v="11"/>
    <s v="Philips Hair Dryer"/>
    <n v="1670.33"/>
    <n v="1"/>
    <n v="262.25"/>
    <x v="6"/>
    <x v="1"/>
  </r>
  <r>
    <d v="2024-07-06T00:00:00"/>
    <x v="26"/>
    <x v="10"/>
    <x v="0"/>
    <x v="2"/>
    <x v="8"/>
    <s v="OnePlus 43 inch 4K Smart TV"/>
    <n v="29261.919999999998"/>
    <n v="1"/>
    <n v="4833.05"/>
    <x v="6"/>
    <x v="1"/>
  </r>
  <r>
    <d v="2024-07-06T00:00:00"/>
    <x v="23"/>
    <x v="3"/>
    <x v="0"/>
    <x v="0"/>
    <x v="2"/>
    <s v="Samsung Galaxy A55"/>
    <n v="69019.92"/>
    <n v="2"/>
    <n v="-4701.47"/>
    <x v="6"/>
    <x v="1"/>
  </r>
  <r>
    <d v="2024-07-08T00:00:00"/>
    <x v="12"/>
    <x v="4"/>
    <x v="0"/>
    <x v="2"/>
    <x v="3"/>
    <s v="Sony Wireless Headphones"/>
    <n v="16558.259999999998"/>
    <n v="2"/>
    <n v="1820.81"/>
    <x v="6"/>
    <x v="1"/>
  </r>
  <r>
    <d v="2024-07-09T00:00:00"/>
    <x v="19"/>
    <x v="10"/>
    <x v="0"/>
    <x v="4"/>
    <x v="6"/>
    <s v="Philips Air Purifier"/>
    <n v="29216.31"/>
    <n v="2"/>
    <n v="5061.88"/>
    <x v="6"/>
    <x v="1"/>
  </r>
  <r>
    <d v="2024-07-09T00:00:00"/>
    <x v="0"/>
    <x v="2"/>
    <x v="0"/>
    <x v="2"/>
    <x v="3"/>
    <s v="Sony Bluetooth Soundbar"/>
    <n v="20946.66"/>
    <n v="1"/>
    <n v="2596.63"/>
    <x v="6"/>
    <x v="1"/>
  </r>
  <r>
    <d v="2024-07-10T00:00:00"/>
    <x v="11"/>
    <x v="3"/>
    <x v="0"/>
    <x v="4"/>
    <x v="11"/>
    <s v="Philips Hair Dryer"/>
    <n v="1673.3"/>
    <n v="1"/>
    <n v="220.2"/>
    <x v="6"/>
    <x v="1"/>
  </r>
  <r>
    <d v="2024-07-10T00:00:00"/>
    <x v="2"/>
    <x v="4"/>
    <x v="0"/>
    <x v="4"/>
    <x v="6"/>
    <s v="Dyson V8 Vacuum Cleaner"/>
    <n v="34558.800000000003"/>
    <n v="1"/>
    <n v="4116.8999999999996"/>
    <x v="6"/>
    <x v="1"/>
  </r>
  <r>
    <d v="2024-07-10T00:00:00"/>
    <x v="26"/>
    <x v="9"/>
    <x v="0"/>
    <x v="0"/>
    <x v="2"/>
    <s v="Samsung Galaxy A55"/>
    <n v="34982.730000000003"/>
    <n v="1"/>
    <n v="4866.9399999999996"/>
    <x v="6"/>
    <x v="1"/>
  </r>
  <r>
    <d v="2024-07-11T00:00:00"/>
    <x v="3"/>
    <x v="12"/>
    <x v="0"/>
    <x v="1"/>
    <x v="1"/>
    <s v="ASUS Vivobook 15"/>
    <n v="53322.59"/>
    <n v="1"/>
    <n v="7517.21"/>
    <x v="6"/>
    <x v="1"/>
  </r>
  <r>
    <d v="2024-07-12T00:00:00"/>
    <x v="25"/>
    <x v="9"/>
    <x v="0"/>
    <x v="1"/>
    <x v="5"/>
    <s v="HP 24 inch Monitor"/>
    <n v="22517.97"/>
    <n v="2"/>
    <n v="1835.6"/>
    <x v="6"/>
    <x v="1"/>
  </r>
  <r>
    <d v="2024-07-12T00:00:00"/>
    <x v="17"/>
    <x v="0"/>
    <x v="0"/>
    <x v="1"/>
    <x v="1"/>
    <s v="Lenovo IdeaPad Slim 5"/>
    <n v="126405.96"/>
    <n v="2"/>
    <n v="18621.509999999998"/>
    <x v="6"/>
    <x v="1"/>
  </r>
  <r>
    <d v="2024-07-12T00:00:00"/>
    <x v="13"/>
    <x v="6"/>
    <x v="0"/>
    <x v="3"/>
    <x v="9"/>
    <s v="Samsung 253L Refrigerator"/>
    <n v="62475.38"/>
    <n v="2"/>
    <n v="12332.01"/>
    <x v="6"/>
    <x v="1"/>
  </r>
  <r>
    <d v="2024-07-14T00:00:00"/>
    <x v="11"/>
    <x v="6"/>
    <x v="0"/>
    <x v="2"/>
    <x v="8"/>
    <s v="LG 55 inch OLED Smart TV"/>
    <n v="86267.32"/>
    <n v="1"/>
    <n v="12180.79"/>
    <x v="6"/>
    <x v="1"/>
  </r>
  <r>
    <d v="2024-07-14T00:00:00"/>
    <x v="21"/>
    <x v="8"/>
    <x v="0"/>
    <x v="2"/>
    <x v="8"/>
    <s v="LG 55 inch OLED Smart TV"/>
    <n v="276193.15999999997"/>
    <n v="3"/>
    <n v="44509.23"/>
    <x v="6"/>
    <x v="1"/>
  </r>
  <r>
    <d v="2024-07-15T00:00:00"/>
    <x v="28"/>
    <x v="4"/>
    <x v="0"/>
    <x v="1"/>
    <x v="5"/>
    <s v="Logitech Wireless Keyboard"/>
    <n v="2092.4499999999998"/>
    <n v="1"/>
    <n v="181.11"/>
    <x v="6"/>
    <x v="1"/>
  </r>
  <r>
    <d v="2024-07-15T00:00:00"/>
    <x v="26"/>
    <x v="7"/>
    <x v="0"/>
    <x v="0"/>
    <x v="0"/>
    <s v="Portronics Power Bank 20000mAh"/>
    <n v="7494.36"/>
    <n v="3"/>
    <n v="737.75"/>
    <x v="6"/>
    <x v="1"/>
  </r>
  <r>
    <d v="2024-07-16T00:00:00"/>
    <x v="10"/>
    <x v="6"/>
    <x v="0"/>
    <x v="0"/>
    <x v="2"/>
    <s v="Nothing Phone 2"/>
    <n v="84112.49"/>
    <n v="2"/>
    <n v="11111.15"/>
    <x v="6"/>
    <x v="1"/>
  </r>
  <r>
    <d v="2024-07-16T00:00:00"/>
    <x v="26"/>
    <x v="13"/>
    <x v="0"/>
    <x v="4"/>
    <x v="11"/>
    <s v="Braun Electric Shaver"/>
    <n v="10027.58"/>
    <n v="2"/>
    <n v="1014.74"/>
    <x v="6"/>
    <x v="1"/>
  </r>
  <r>
    <d v="2024-07-18T00:00:00"/>
    <x v="22"/>
    <x v="10"/>
    <x v="0"/>
    <x v="0"/>
    <x v="2"/>
    <s v="Samsung Galaxy A55"/>
    <n v="39260.21"/>
    <n v="1"/>
    <n v="4576.53"/>
    <x v="6"/>
    <x v="1"/>
  </r>
  <r>
    <d v="2024-07-18T00:00:00"/>
    <x v="29"/>
    <x v="0"/>
    <x v="0"/>
    <x v="4"/>
    <x v="6"/>
    <s v="Dyson V8 Vacuum Cleaner"/>
    <n v="66815.17"/>
    <n v="2"/>
    <n v="-4003.34"/>
    <x v="6"/>
    <x v="1"/>
  </r>
  <r>
    <d v="2024-07-19T00:00:00"/>
    <x v="20"/>
    <x v="1"/>
    <x v="0"/>
    <x v="4"/>
    <x v="11"/>
    <s v="Philips Hair Dryer"/>
    <n v="1871.03"/>
    <n v="1"/>
    <n v="223.36"/>
    <x v="6"/>
    <x v="1"/>
  </r>
  <r>
    <d v="2024-07-19T00:00:00"/>
    <x v="15"/>
    <x v="7"/>
    <x v="0"/>
    <x v="3"/>
    <x v="4"/>
    <s v="LG 7kg Fully Automatic Washing Machine"/>
    <n v="56446.87"/>
    <n v="2"/>
    <n v="-1016.68"/>
    <x v="6"/>
    <x v="1"/>
  </r>
  <r>
    <d v="2024-07-19T00:00:00"/>
    <x v="11"/>
    <x v="2"/>
    <x v="0"/>
    <x v="3"/>
    <x v="9"/>
    <s v="Whirlpool 265L Frost Free Refrigerator"/>
    <n v="49784.52"/>
    <n v="2"/>
    <n v="4889.91"/>
    <x v="6"/>
    <x v="1"/>
  </r>
  <r>
    <d v="2024-07-19T00:00:00"/>
    <x v="24"/>
    <x v="0"/>
    <x v="0"/>
    <x v="0"/>
    <x v="0"/>
    <s v="boAt Wireless Earphones"/>
    <n v="2987.44"/>
    <n v="2"/>
    <n v="444.41"/>
    <x v="6"/>
    <x v="1"/>
  </r>
  <r>
    <d v="2024-07-20T00:00:00"/>
    <x v="22"/>
    <x v="12"/>
    <x v="0"/>
    <x v="1"/>
    <x v="5"/>
    <s v="Logitech Wireless Mouse"/>
    <n v="4272.55"/>
    <n v="3"/>
    <n v="325.73"/>
    <x v="6"/>
    <x v="1"/>
  </r>
  <r>
    <d v="2024-07-21T00:00:00"/>
    <x v="12"/>
    <x v="3"/>
    <x v="0"/>
    <x v="4"/>
    <x v="6"/>
    <s v="Philips Air Purifier"/>
    <n v="27626.799999999999"/>
    <n v="2"/>
    <n v="3760.22"/>
    <x v="6"/>
    <x v="1"/>
  </r>
  <r>
    <d v="2024-07-22T00:00:00"/>
    <x v="28"/>
    <x v="0"/>
    <x v="0"/>
    <x v="0"/>
    <x v="2"/>
    <s v="Samsung Galaxy S24"/>
    <n v="139448.39000000001"/>
    <n v="2"/>
    <n v="16327.52"/>
    <x v="6"/>
    <x v="1"/>
  </r>
  <r>
    <d v="2024-07-22T00:00:00"/>
    <x v="24"/>
    <x v="10"/>
    <x v="0"/>
    <x v="1"/>
    <x v="1"/>
    <s v="Apple MacBook Air M2"/>
    <n v="266873.65999999997"/>
    <n v="3"/>
    <n v="32155.85"/>
    <x v="6"/>
    <x v="1"/>
  </r>
  <r>
    <d v="2024-07-23T00:00:00"/>
    <x v="3"/>
    <x v="1"/>
    <x v="0"/>
    <x v="2"/>
    <x v="3"/>
    <s v="Sony Wireless Headphones"/>
    <n v="29544.74"/>
    <n v="3"/>
    <n v="3675.92"/>
    <x v="6"/>
    <x v="1"/>
  </r>
  <r>
    <d v="2024-07-23T00:00:00"/>
    <x v="1"/>
    <x v="5"/>
    <x v="0"/>
    <x v="0"/>
    <x v="0"/>
    <s v="boAt Wireless Earphones"/>
    <n v="1695.34"/>
    <n v="1"/>
    <n v="131.80000000000001"/>
    <x v="6"/>
    <x v="1"/>
  </r>
  <r>
    <d v="2024-07-23T00:00:00"/>
    <x v="27"/>
    <x v="9"/>
    <x v="0"/>
    <x v="1"/>
    <x v="1"/>
    <s v="Dell Inspiron 15 Laptop"/>
    <n v="57852.01"/>
    <n v="1"/>
    <n v="-2444.7800000000002"/>
    <x v="6"/>
    <x v="1"/>
  </r>
  <r>
    <d v="2024-07-24T00:00:00"/>
    <x v="13"/>
    <x v="4"/>
    <x v="0"/>
    <x v="0"/>
    <x v="0"/>
    <s v="Apple 20W USB-C Power Adapter"/>
    <n v="3837.92"/>
    <n v="2"/>
    <n v="255.96"/>
    <x v="6"/>
    <x v="1"/>
  </r>
  <r>
    <d v="2024-07-25T00:00:00"/>
    <x v="25"/>
    <x v="9"/>
    <x v="0"/>
    <x v="2"/>
    <x v="8"/>
    <s v="OnePlus 43 inch 4K Smart TV"/>
    <n v="28410.67"/>
    <n v="1"/>
    <n v="3791.84"/>
    <x v="6"/>
    <x v="1"/>
  </r>
  <r>
    <d v="2024-07-25T00:00:00"/>
    <x v="17"/>
    <x v="6"/>
    <x v="0"/>
    <x v="1"/>
    <x v="1"/>
    <s v="Lenovo IdeaPad Slim 5"/>
    <n v="122946.11"/>
    <n v="2"/>
    <n v="11373.73"/>
    <x v="6"/>
    <x v="1"/>
  </r>
  <r>
    <d v="2024-07-26T00:00:00"/>
    <x v="25"/>
    <x v="5"/>
    <x v="0"/>
    <x v="4"/>
    <x v="11"/>
    <s v="Philips Hair Dryer"/>
    <n v="9286.33"/>
    <n v="5"/>
    <n v="1962.07"/>
    <x v="6"/>
    <x v="1"/>
  </r>
  <r>
    <d v="2024-07-26T00:00:00"/>
    <x v="14"/>
    <x v="1"/>
    <x v="0"/>
    <x v="0"/>
    <x v="2"/>
    <s v="Samsung Galaxy S24"/>
    <n v="64986.37"/>
    <n v="1"/>
    <n v="9516.41"/>
    <x v="6"/>
    <x v="1"/>
  </r>
  <r>
    <d v="2024-07-26T00:00:00"/>
    <x v="5"/>
    <x v="0"/>
    <x v="0"/>
    <x v="0"/>
    <x v="2"/>
    <s v="Nothing Phone 2"/>
    <n v="83810.05"/>
    <n v="2"/>
    <n v="9960.34"/>
    <x v="6"/>
    <x v="1"/>
  </r>
  <r>
    <d v="2024-07-27T00:00:00"/>
    <x v="28"/>
    <x v="11"/>
    <x v="0"/>
    <x v="2"/>
    <x v="3"/>
    <s v="boAt Home Theatre System"/>
    <n v="11249.05"/>
    <n v="1"/>
    <n v="1553.24"/>
    <x v="6"/>
    <x v="1"/>
  </r>
  <r>
    <d v="2024-07-27T00:00:00"/>
    <x v="23"/>
    <x v="9"/>
    <x v="0"/>
    <x v="4"/>
    <x v="6"/>
    <s v="Eureka Forbes Vacuum Cleaner"/>
    <n v="20608.53"/>
    <n v="2"/>
    <n v="4343.03"/>
    <x v="6"/>
    <x v="1"/>
  </r>
  <r>
    <d v="2024-07-29T00:00:00"/>
    <x v="26"/>
    <x v="9"/>
    <x v="0"/>
    <x v="2"/>
    <x v="8"/>
    <s v="Sony 55 inch Bravia 4K TV"/>
    <n v="144984.12"/>
    <n v="2"/>
    <n v="21183.77"/>
    <x v="6"/>
    <x v="1"/>
  </r>
  <r>
    <d v="2024-07-29T00:00:00"/>
    <x v="13"/>
    <x v="10"/>
    <x v="0"/>
    <x v="3"/>
    <x v="10"/>
    <s v="Daikin 1.5 Ton Inverter AC"/>
    <n v="86274.59"/>
    <n v="2"/>
    <n v="9632.64"/>
    <x v="6"/>
    <x v="1"/>
  </r>
  <r>
    <d v="2024-07-30T00:00:00"/>
    <x v="15"/>
    <x v="3"/>
    <x v="0"/>
    <x v="3"/>
    <x v="9"/>
    <s v="Whirlpool 265L Frost Free Refrigerator"/>
    <n v="101358.25"/>
    <n v="4"/>
    <n v="-1925.48"/>
    <x v="6"/>
    <x v="1"/>
  </r>
  <r>
    <d v="2024-07-31T00:00:00"/>
    <x v="15"/>
    <x v="9"/>
    <x v="0"/>
    <x v="3"/>
    <x v="9"/>
    <s v="LG 260L Double Door Refrigerator"/>
    <n v="32902.559999999998"/>
    <n v="1"/>
    <n v="3489.73"/>
    <x v="6"/>
    <x v="1"/>
  </r>
  <r>
    <d v="2024-07-31T00:00:00"/>
    <x v="16"/>
    <x v="3"/>
    <x v="0"/>
    <x v="4"/>
    <x v="6"/>
    <s v="Eureka Forbes Vacuum Cleaner"/>
    <n v="10001.81"/>
    <n v="1"/>
    <n v="-205.81"/>
    <x v="6"/>
    <x v="1"/>
  </r>
  <r>
    <d v="2024-08-01T00:00:00"/>
    <x v="8"/>
    <x v="5"/>
    <x v="0"/>
    <x v="3"/>
    <x v="7"/>
    <s v="Bajaj Mixer Grinder"/>
    <n v="8895.5300000000007"/>
    <n v="2"/>
    <n v="1080.07"/>
    <x v="7"/>
    <x v="1"/>
  </r>
  <r>
    <d v="2024-08-02T00:00:00"/>
    <x v="25"/>
    <x v="4"/>
    <x v="0"/>
    <x v="3"/>
    <x v="7"/>
    <s v="Philips Air Fryer"/>
    <n v="7913.92"/>
    <n v="1"/>
    <n v="-569.73"/>
    <x v="7"/>
    <x v="1"/>
  </r>
  <r>
    <d v="2024-08-03T00:00:00"/>
    <x v="6"/>
    <x v="2"/>
    <x v="0"/>
    <x v="4"/>
    <x v="6"/>
    <s v="Dyson V8 Vacuum Cleaner"/>
    <n v="30523.64"/>
    <n v="1"/>
    <n v="6425.81"/>
    <x v="7"/>
    <x v="1"/>
  </r>
  <r>
    <d v="2024-08-03T00:00:00"/>
    <x v="26"/>
    <x v="9"/>
    <x v="0"/>
    <x v="3"/>
    <x v="9"/>
    <s v="LG 260L Double Door Refrigerator"/>
    <n v="65177.58"/>
    <n v="2"/>
    <n v="5563.68"/>
    <x v="7"/>
    <x v="1"/>
  </r>
  <r>
    <d v="2024-08-03T00:00:00"/>
    <x v="1"/>
    <x v="5"/>
    <x v="0"/>
    <x v="0"/>
    <x v="2"/>
    <s v="Apple iPhone 15"/>
    <n v="69693.320000000007"/>
    <n v="1"/>
    <n v="10030.59"/>
    <x v="7"/>
    <x v="1"/>
  </r>
  <r>
    <d v="2024-08-03T00:00:00"/>
    <x v="4"/>
    <x v="7"/>
    <x v="0"/>
    <x v="4"/>
    <x v="11"/>
    <s v="Philips Hair Dryer"/>
    <n v="3895.35"/>
    <n v="2"/>
    <n v="789.3"/>
    <x v="7"/>
    <x v="1"/>
  </r>
  <r>
    <d v="2024-08-04T00:00:00"/>
    <x v="27"/>
    <x v="13"/>
    <x v="0"/>
    <x v="3"/>
    <x v="4"/>
    <s v="LG 7kg Fully Automatic Washing Machine"/>
    <n v="27576.13"/>
    <n v="1"/>
    <n v="3696.59"/>
    <x v="7"/>
    <x v="1"/>
  </r>
  <r>
    <d v="2024-08-04T00:00:00"/>
    <x v="26"/>
    <x v="3"/>
    <x v="0"/>
    <x v="4"/>
    <x v="6"/>
    <s v="Philips Air Purifier"/>
    <n v="13274.79"/>
    <n v="1"/>
    <n v="1371.01"/>
    <x v="7"/>
    <x v="1"/>
  </r>
  <r>
    <d v="2024-08-05T00:00:00"/>
    <x v="14"/>
    <x v="4"/>
    <x v="0"/>
    <x v="4"/>
    <x v="6"/>
    <s v="Eureka Forbes Vacuum Cleaner"/>
    <n v="32964.480000000003"/>
    <n v="3"/>
    <n v="4186.28"/>
    <x v="7"/>
    <x v="1"/>
  </r>
  <r>
    <d v="2024-08-06T00:00:00"/>
    <x v="28"/>
    <x v="6"/>
    <x v="0"/>
    <x v="2"/>
    <x v="3"/>
    <s v="Sony Wireless Headphones"/>
    <n v="38900.15"/>
    <n v="4"/>
    <n v="4813.79"/>
    <x v="7"/>
    <x v="1"/>
  </r>
  <r>
    <d v="2024-08-06T00:00:00"/>
    <x v="22"/>
    <x v="13"/>
    <x v="0"/>
    <x v="0"/>
    <x v="0"/>
    <s v="Samsung 25W Charger"/>
    <n v="2723.04"/>
    <n v="2"/>
    <n v="346.66"/>
    <x v="7"/>
    <x v="1"/>
  </r>
  <r>
    <d v="2024-08-06T00:00:00"/>
    <x v="21"/>
    <x v="12"/>
    <x v="0"/>
    <x v="0"/>
    <x v="2"/>
    <s v="Samsung Galaxy A55"/>
    <n v="115367.83"/>
    <n v="3"/>
    <n v="9220.3799999999992"/>
    <x v="7"/>
    <x v="1"/>
  </r>
  <r>
    <d v="2024-08-07T00:00:00"/>
    <x v="27"/>
    <x v="13"/>
    <x v="0"/>
    <x v="4"/>
    <x v="6"/>
    <s v="Eureka Forbes Vacuum Cleaner"/>
    <n v="11528.81"/>
    <n v="1"/>
    <n v="1247.27"/>
    <x v="7"/>
    <x v="1"/>
  </r>
  <r>
    <d v="2024-08-07T00:00:00"/>
    <x v="5"/>
    <x v="9"/>
    <x v="0"/>
    <x v="2"/>
    <x v="8"/>
    <s v="LG 55 inch OLED Smart TV"/>
    <n v="82103.87"/>
    <n v="1"/>
    <n v="11285.38"/>
    <x v="7"/>
    <x v="1"/>
  </r>
  <r>
    <d v="2024-08-09T00:00:00"/>
    <x v="14"/>
    <x v="4"/>
    <x v="0"/>
    <x v="2"/>
    <x v="8"/>
    <s v="Sony 55 inch Bravia 4K TV"/>
    <n v="75622.759999999995"/>
    <n v="1"/>
    <n v="9110.82"/>
    <x v="7"/>
    <x v="1"/>
  </r>
  <r>
    <d v="2024-08-10T00:00:00"/>
    <x v="12"/>
    <x v="3"/>
    <x v="0"/>
    <x v="2"/>
    <x v="8"/>
    <s v="Sony 55 inch Bravia 4K TV"/>
    <n v="75569.399999999994"/>
    <n v="1"/>
    <n v="8125.35"/>
    <x v="7"/>
    <x v="1"/>
  </r>
  <r>
    <d v="2024-08-10T00:00:00"/>
    <x v="16"/>
    <x v="2"/>
    <x v="0"/>
    <x v="0"/>
    <x v="0"/>
    <s v="boAt Wireless Earphones"/>
    <n v="2993.83"/>
    <n v="2"/>
    <n v="398.07"/>
    <x v="7"/>
    <x v="1"/>
  </r>
  <r>
    <d v="2024-08-10T00:00:00"/>
    <x v="7"/>
    <x v="9"/>
    <x v="0"/>
    <x v="0"/>
    <x v="2"/>
    <s v="Samsung Galaxy A55"/>
    <n v="109126.09"/>
    <n v="3"/>
    <n v="6654.3"/>
    <x v="7"/>
    <x v="1"/>
  </r>
  <r>
    <d v="2024-08-10T00:00:00"/>
    <x v="9"/>
    <x v="12"/>
    <x v="0"/>
    <x v="4"/>
    <x v="11"/>
    <s v="Philips Trimmer"/>
    <n v="2118.98"/>
    <n v="1"/>
    <n v="494.33"/>
    <x v="7"/>
    <x v="1"/>
  </r>
  <r>
    <d v="2024-08-11T00:00:00"/>
    <x v="27"/>
    <x v="5"/>
    <x v="0"/>
    <x v="1"/>
    <x v="5"/>
    <s v="TP-Link Wi-Fi Router"/>
    <n v="5325.12"/>
    <n v="2"/>
    <n v="866.45"/>
    <x v="7"/>
    <x v="1"/>
  </r>
  <r>
    <d v="2024-08-12T00:00:00"/>
    <x v="1"/>
    <x v="3"/>
    <x v="0"/>
    <x v="1"/>
    <x v="5"/>
    <s v="HP 24 inch Monitor"/>
    <n v="23056.35"/>
    <n v="2"/>
    <n v="3522.9"/>
    <x v="7"/>
    <x v="1"/>
  </r>
  <r>
    <d v="2024-08-12T00:00:00"/>
    <x v="1"/>
    <x v="4"/>
    <x v="0"/>
    <x v="0"/>
    <x v="0"/>
    <s v="boAt Wireless Earphones"/>
    <n v="1543.79"/>
    <n v="1"/>
    <n v="187.82"/>
    <x v="7"/>
    <x v="1"/>
  </r>
  <r>
    <d v="2024-08-12T00:00:00"/>
    <x v="13"/>
    <x v="13"/>
    <x v="0"/>
    <x v="4"/>
    <x v="6"/>
    <s v="Philips Air Purifier"/>
    <n v="13383.95"/>
    <n v="1"/>
    <n v="2352.9499999999998"/>
    <x v="7"/>
    <x v="1"/>
  </r>
  <r>
    <d v="2024-08-14T00:00:00"/>
    <x v="14"/>
    <x v="3"/>
    <x v="0"/>
    <x v="3"/>
    <x v="10"/>
    <s v="Voltas 1.5 Ton Split AC"/>
    <n v="37079.32"/>
    <n v="1"/>
    <n v="5369"/>
    <x v="7"/>
    <x v="1"/>
  </r>
  <r>
    <d v="2024-08-14T00:00:00"/>
    <x v="1"/>
    <x v="14"/>
    <x v="0"/>
    <x v="3"/>
    <x v="10"/>
    <s v="Daikin 1.5 Ton Inverter AC"/>
    <n v="41588.379999999997"/>
    <n v="1"/>
    <n v="7296.62"/>
    <x v="7"/>
    <x v="1"/>
  </r>
  <r>
    <d v="2024-08-15T00:00:00"/>
    <x v="17"/>
    <x v="3"/>
    <x v="0"/>
    <x v="0"/>
    <x v="0"/>
    <s v="boAt Wireless Earphones"/>
    <n v="1675.88"/>
    <n v="1"/>
    <n v="206.69"/>
    <x v="7"/>
    <x v="1"/>
  </r>
  <r>
    <d v="2024-08-15T00:00:00"/>
    <x v="10"/>
    <x v="9"/>
    <x v="0"/>
    <x v="0"/>
    <x v="2"/>
    <s v="Google Pixel 8"/>
    <n v="57289.440000000002"/>
    <n v="1"/>
    <n v="6943.47"/>
    <x v="7"/>
    <x v="1"/>
  </r>
  <r>
    <d v="2024-08-17T00:00:00"/>
    <x v="29"/>
    <x v="0"/>
    <x v="0"/>
    <x v="2"/>
    <x v="8"/>
    <s v="Sony 55 inch Bravia 4K TV"/>
    <n v="166266.75"/>
    <n v="2"/>
    <n v="16642.98"/>
    <x v="7"/>
    <x v="1"/>
  </r>
  <r>
    <d v="2024-08-18T00:00:00"/>
    <x v="3"/>
    <x v="8"/>
    <x v="0"/>
    <x v="3"/>
    <x v="7"/>
    <s v="Morphy Richards OTG"/>
    <n v="7417.06"/>
    <n v="1"/>
    <n v="610.29"/>
    <x v="7"/>
    <x v="1"/>
  </r>
  <r>
    <d v="2024-08-18T00:00:00"/>
    <x v="25"/>
    <x v="14"/>
    <x v="0"/>
    <x v="4"/>
    <x v="11"/>
    <s v="Philips Hair Dryer"/>
    <n v="5889.06"/>
    <n v="3"/>
    <n v="1251.69"/>
    <x v="7"/>
    <x v="1"/>
  </r>
  <r>
    <d v="2024-08-20T00:00:00"/>
    <x v="19"/>
    <x v="13"/>
    <x v="0"/>
    <x v="1"/>
    <x v="5"/>
    <s v="Dell 27 inch Monitor"/>
    <n v="90784.4"/>
    <n v="5"/>
    <n v="11359.53"/>
    <x v="7"/>
    <x v="1"/>
  </r>
  <r>
    <d v="2024-08-20T00:00:00"/>
    <x v="18"/>
    <x v="1"/>
    <x v="0"/>
    <x v="1"/>
    <x v="1"/>
    <s v="HP Pavilion 15 Laptop"/>
    <n v="177688.64"/>
    <n v="3"/>
    <n v="27041.34"/>
    <x v="7"/>
    <x v="1"/>
  </r>
  <r>
    <d v="2024-08-21T00:00:00"/>
    <x v="1"/>
    <x v="9"/>
    <x v="0"/>
    <x v="3"/>
    <x v="9"/>
    <s v="LG 260L Double Door Refrigerator"/>
    <n v="60405.25"/>
    <n v="2"/>
    <n v="8025.22"/>
    <x v="7"/>
    <x v="1"/>
  </r>
  <r>
    <d v="2024-08-21T00:00:00"/>
    <x v="1"/>
    <x v="8"/>
    <x v="0"/>
    <x v="4"/>
    <x v="6"/>
    <s v="Philips Air Purifier"/>
    <n v="43721.04"/>
    <n v="3"/>
    <n v="6598.52"/>
    <x v="7"/>
    <x v="1"/>
  </r>
  <r>
    <d v="2024-08-22T00:00:00"/>
    <x v="6"/>
    <x v="14"/>
    <x v="0"/>
    <x v="0"/>
    <x v="0"/>
    <s v="Samsung 25W Charger"/>
    <n v="1347.75"/>
    <n v="1"/>
    <n v="128.75"/>
    <x v="7"/>
    <x v="1"/>
  </r>
  <r>
    <d v="2024-08-22T00:00:00"/>
    <x v="10"/>
    <x v="12"/>
    <x v="0"/>
    <x v="3"/>
    <x v="7"/>
    <s v="Morphy Richards OTG"/>
    <n v="7466.83"/>
    <n v="1"/>
    <n v="690.82"/>
    <x v="7"/>
    <x v="1"/>
  </r>
  <r>
    <d v="2024-08-23T00:00:00"/>
    <x v="27"/>
    <x v="4"/>
    <x v="0"/>
    <x v="4"/>
    <x v="11"/>
    <s v="Philips Trimmer"/>
    <n v="2299.34"/>
    <n v="1"/>
    <n v="437.46"/>
    <x v="7"/>
    <x v="1"/>
  </r>
  <r>
    <d v="2024-08-23T00:00:00"/>
    <x v="3"/>
    <x v="6"/>
    <x v="0"/>
    <x v="3"/>
    <x v="4"/>
    <s v="Samsung 8kg Front Load Washing Machine"/>
    <n v="73317.23"/>
    <n v="2"/>
    <n v="12578.26"/>
    <x v="7"/>
    <x v="1"/>
  </r>
  <r>
    <d v="2024-08-23T00:00:00"/>
    <x v="20"/>
    <x v="14"/>
    <x v="0"/>
    <x v="1"/>
    <x v="1"/>
    <s v="Lenovo IdeaPad Slim 5"/>
    <n v="64137.21"/>
    <n v="1"/>
    <n v="10726.29"/>
    <x v="7"/>
    <x v="1"/>
  </r>
  <r>
    <d v="2024-08-24T00:00:00"/>
    <x v="8"/>
    <x v="8"/>
    <x v="0"/>
    <x v="3"/>
    <x v="10"/>
    <s v="Voltas 1.5 Ton Split AC"/>
    <n v="32956.65"/>
    <n v="1"/>
    <n v="4798.3"/>
    <x v="7"/>
    <x v="1"/>
  </r>
  <r>
    <d v="2024-08-26T00:00:00"/>
    <x v="11"/>
    <x v="9"/>
    <x v="0"/>
    <x v="0"/>
    <x v="0"/>
    <s v="Portronics Power Bank 20000mAh"/>
    <n v="2228.0300000000002"/>
    <n v="1"/>
    <n v="318.37"/>
    <x v="7"/>
    <x v="1"/>
  </r>
  <r>
    <d v="2024-08-27T00:00:00"/>
    <x v="12"/>
    <x v="12"/>
    <x v="0"/>
    <x v="4"/>
    <x v="6"/>
    <s v="Eureka Forbes Vacuum Cleaner"/>
    <n v="11171.76"/>
    <n v="1"/>
    <n v="1772.88"/>
    <x v="7"/>
    <x v="1"/>
  </r>
  <r>
    <d v="2024-08-28T00:00:00"/>
    <x v="7"/>
    <x v="14"/>
    <x v="0"/>
    <x v="0"/>
    <x v="0"/>
    <s v="boAt Wireless Earphones"/>
    <n v="6774.52"/>
    <n v="4"/>
    <n v="810.35"/>
    <x v="7"/>
    <x v="1"/>
  </r>
  <r>
    <d v="2024-08-30T00:00:00"/>
    <x v="25"/>
    <x v="14"/>
    <x v="0"/>
    <x v="3"/>
    <x v="7"/>
    <s v="Bajaj Mixer Grinder"/>
    <n v="9735.49"/>
    <n v="2"/>
    <n v="1556.14"/>
    <x v="7"/>
    <x v="1"/>
  </r>
  <r>
    <d v="2024-08-30T00:00:00"/>
    <x v="0"/>
    <x v="11"/>
    <x v="0"/>
    <x v="4"/>
    <x v="6"/>
    <s v="Dyson V8 Vacuum Cleaner"/>
    <n v="31518.27"/>
    <n v="1"/>
    <n v="5658.54"/>
    <x v="7"/>
    <x v="1"/>
  </r>
  <r>
    <d v="2024-08-30T00:00:00"/>
    <x v="6"/>
    <x v="12"/>
    <x v="0"/>
    <x v="4"/>
    <x v="6"/>
    <s v="Eureka Forbes Vacuum Cleaner"/>
    <n v="10218.299999999999"/>
    <n v="1"/>
    <n v="2073.9299999999998"/>
    <x v="7"/>
    <x v="1"/>
  </r>
  <r>
    <d v="2024-09-01T00:00:00"/>
    <x v="20"/>
    <x v="5"/>
    <x v="0"/>
    <x v="4"/>
    <x v="11"/>
    <s v="Braun Electric Shaver"/>
    <n v="5871.73"/>
    <n v="1"/>
    <n v="838.21"/>
    <x v="8"/>
    <x v="1"/>
  </r>
  <r>
    <d v="2024-09-02T00:00:00"/>
    <x v="8"/>
    <x v="2"/>
    <x v="0"/>
    <x v="1"/>
    <x v="1"/>
    <s v="Apple MacBook Air M2"/>
    <n v="292336.57"/>
    <n v="3"/>
    <n v="21684.74"/>
    <x v="8"/>
    <x v="1"/>
  </r>
  <r>
    <d v="2024-09-03T00:00:00"/>
    <x v="14"/>
    <x v="4"/>
    <x v="0"/>
    <x v="4"/>
    <x v="6"/>
    <s v="Philips Air Purifier"/>
    <n v="14370.32"/>
    <n v="1"/>
    <n v="2363.7399999999998"/>
    <x v="8"/>
    <x v="1"/>
  </r>
  <r>
    <d v="2024-09-03T00:00:00"/>
    <x v="16"/>
    <x v="3"/>
    <x v="0"/>
    <x v="0"/>
    <x v="0"/>
    <s v="Samsung 25W Charger"/>
    <n v="1496.61"/>
    <n v="1"/>
    <n v="147.82"/>
    <x v="8"/>
    <x v="1"/>
  </r>
  <r>
    <d v="2024-09-04T00:00:00"/>
    <x v="24"/>
    <x v="10"/>
    <x v="0"/>
    <x v="4"/>
    <x v="6"/>
    <s v="Philips Air Purifier"/>
    <n v="27417.29"/>
    <n v="2"/>
    <n v="2805.59"/>
    <x v="8"/>
    <x v="1"/>
  </r>
  <r>
    <d v="2024-09-04T00:00:00"/>
    <x v="1"/>
    <x v="12"/>
    <x v="0"/>
    <x v="0"/>
    <x v="0"/>
    <s v="boAt Wireless Earphones"/>
    <n v="1594.09"/>
    <n v="1"/>
    <n v="201.14"/>
    <x v="8"/>
    <x v="1"/>
  </r>
  <r>
    <d v="2024-09-05T00:00:00"/>
    <x v="23"/>
    <x v="7"/>
    <x v="0"/>
    <x v="2"/>
    <x v="8"/>
    <s v="OnePlus 43 inch 4K Smart TV"/>
    <n v="53606.96"/>
    <n v="2"/>
    <n v="5775.59"/>
    <x v="8"/>
    <x v="1"/>
  </r>
  <r>
    <d v="2024-09-06T00:00:00"/>
    <x v="14"/>
    <x v="10"/>
    <x v="0"/>
    <x v="0"/>
    <x v="2"/>
    <s v="Google Pixel 8"/>
    <n v="107837.54"/>
    <n v="2"/>
    <n v="7440.61"/>
    <x v="8"/>
    <x v="1"/>
  </r>
  <r>
    <d v="2024-09-07T00:00:00"/>
    <x v="23"/>
    <x v="13"/>
    <x v="0"/>
    <x v="2"/>
    <x v="3"/>
    <s v="Sony Bluetooth Soundbar"/>
    <n v="41273.410000000003"/>
    <n v="2"/>
    <n v="5601.99"/>
    <x v="8"/>
    <x v="1"/>
  </r>
  <r>
    <d v="2024-09-07T00:00:00"/>
    <x v="25"/>
    <x v="3"/>
    <x v="0"/>
    <x v="0"/>
    <x v="0"/>
    <s v="Portronics Power Bank 20000mAh"/>
    <n v="2490.52"/>
    <n v="1"/>
    <n v="235.19"/>
    <x v="8"/>
    <x v="1"/>
  </r>
  <r>
    <d v="2024-09-07T00:00:00"/>
    <x v="0"/>
    <x v="13"/>
    <x v="0"/>
    <x v="0"/>
    <x v="0"/>
    <s v="boAt Wireless Earphones"/>
    <n v="1486.76"/>
    <n v="1"/>
    <n v="186.84"/>
    <x v="8"/>
    <x v="1"/>
  </r>
  <r>
    <d v="2024-09-08T00:00:00"/>
    <x v="12"/>
    <x v="6"/>
    <x v="0"/>
    <x v="4"/>
    <x v="6"/>
    <s v="Eureka Forbes Vacuum Cleaner"/>
    <n v="33937.449999999997"/>
    <n v="3"/>
    <n v="4438.84"/>
    <x v="8"/>
    <x v="1"/>
  </r>
  <r>
    <d v="2024-09-08T00:00:00"/>
    <x v="28"/>
    <x v="2"/>
    <x v="0"/>
    <x v="2"/>
    <x v="3"/>
    <s v="JBL 5.1 Soundbar"/>
    <n v="101942.57"/>
    <n v="3"/>
    <n v="12629.11"/>
    <x v="8"/>
    <x v="1"/>
  </r>
  <r>
    <d v="2024-09-09T00:00:00"/>
    <x v="28"/>
    <x v="11"/>
    <x v="0"/>
    <x v="4"/>
    <x v="6"/>
    <s v="Dyson V8 Vacuum Cleaner"/>
    <n v="60658.01"/>
    <n v="2"/>
    <n v="7135.86"/>
    <x v="8"/>
    <x v="1"/>
  </r>
  <r>
    <d v="2024-09-10T00:00:00"/>
    <x v="29"/>
    <x v="9"/>
    <x v="0"/>
    <x v="4"/>
    <x v="11"/>
    <s v="Philips Trimmer"/>
    <n v="2471.58"/>
    <n v="1"/>
    <n v="575.37"/>
    <x v="8"/>
    <x v="1"/>
  </r>
  <r>
    <d v="2024-09-10T00:00:00"/>
    <x v="18"/>
    <x v="8"/>
    <x v="0"/>
    <x v="3"/>
    <x v="7"/>
    <s v="Bajaj Mixer Grinder"/>
    <n v="9011.89"/>
    <n v="2"/>
    <n v="1774.14"/>
    <x v="8"/>
    <x v="1"/>
  </r>
  <r>
    <d v="2024-09-10T00:00:00"/>
    <x v="19"/>
    <x v="6"/>
    <x v="0"/>
    <x v="1"/>
    <x v="5"/>
    <s v="TP-Link Wi-Fi Router"/>
    <n v="2775.34"/>
    <n v="1"/>
    <n v="264.01"/>
    <x v="8"/>
    <x v="1"/>
  </r>
  <r>
    <d v="2024-09-12T00:00:00"/>
    <x v="2"/>
    <x v="0"/>
    <x v="0"/>
    <x v="3"/>
    <x v="9"/>
    <s v="LG 260L Double Door Refrigerator"/>
    <n v="27204.89"/>
    <n v="1"/>
    <n v="3622.96"/>
    <x v="8"/>
    <x v="1"/>
  </r>
  <r>
    <d v="2024-09-12T00:00:00"/>
    <x v="29"/>
    <x v="13"/>
    <x v="0"/>
    <x v="2"/>
    <x v="3"/>
    <s v="Sony Wireless Headphones"/>
    <n v="8702.99"/>
    <n v="1"/>
    <n v="1120.47"/>
    <x v="8"/>
    <x v="1"/>
  </r>
  <r>
    <d v="2024-09-12T00:00:00"/>
    <x v="20"/>
    <x v="12"/>
    <x v="0"/>
    <x v="0"/>
    <x v="0"/>
    <s v="boAt Wireless Earphones"/>
    <n v="6411.27"/>
    <n v="4"/>
    <n v="488.75"/>
    <x v="8"/>
    <x v="1"/>
  </r>
  <r>
    <d v="2024-09-14T00:00:00"/>
    <x v="28"/>
    <x v="14"/>
    <x v="0"/>
    <x v="0"/>
    <x v="0"/>
    <s v="Portronics Power Bank 20000mAh"/>
    <n v="4441.6499999999996"/>
    <n v="2"/>
    <n v="576.58000000000004"/>
    <x v="8"/>
    <x v="1"/>
  </r>
  <r>
    <d v="2024-09-14T00:00:00"/>
    <x v="13"/>
    <x v="5"/>
    <x v="0"/>
    <x v="2"/>
    <x v="3"/>
    <s v="boAt Home Theatre System"/>
    <n v="23689.25"/>
    <n v="2"/>
    <n v="3725.4"/>
    <x v="8"/>
    <x v="1"/>
  </r>
  <r>
    <d v="2024-09-15T00:00:00"/>
    <x v="21"/>
    <x v="13"/>
    <x v="0"/>
    <x v="0"/>
    <x v="2"/>
    <s v="Samsung Galaxy S24"/>
    <n v="219231.52"/>
    <n v="3"/>
    <n v="17624.39"/>
    <x v="8"/>
    <x v="1"/>
  </r>
  <r>
    <d v="2024-09-15T00:00:00"/>
    <x v="13"/>
    <x v="13"/>
    <x v="0"/>
    <x v="1"/>
    <x v="5"/>
    <s v="Logitech Wireless Keyboard"/>
    <n v="6282.2"/>
    <n v="3"/>
    <n v="823.22"/>
    <x v="8"/>
    <x v="1"/>
  </r>
  <r>
    <d v="2024-09-15T00:00:00"/>
    <x v="7"/>
    <x v="3"/>
    <x v="0"/>
    <x v="0"/>
    <x v="2"/>
    <s v="OnePlus 12"/>
    <n v="55521.73"/>
    <n v="1"/>
    <n v="7043.7"/>
    <x v="8"/>
    <x v="1"/>
  </r>
  <r>
    <d v="2024-09-16T00:00:00"/>
    <x v="16"/>
    <x v="0"/>
    <x v="0"/>
    <x v="1"/>
    <x v="5"/>
    <s v="Logitech Wireless Keyboard"/>
    <n v="7305.19"/>
    <n v="3"/>
    <n v="-530.34"/>
    <x v="8"/>
    <x v="1"/>
  </r>
  <r>
    <d v="2024-09-16T00:00:00"/>
    <x v="12"/>
    <x v="13"/>
    <x v="0"/>
    <x v="3"/>
    <x v="10"/>
    <s v="LG 1.5 Ton 5 Star Split AC"/>
    <n v="78722.17"/>
    <n v="2"/>
    <n v="7681.96"/>
    <x v="8"/>
    <x v="1"/>
  </r>
  <r>
    <d v="2024-09-17T00:00:00"/>
    <x v="13"/>
    <x v="13"/>
    <x v="0"/>
    <x v="2"/>
    <x v="3"/>
    <s v="Sony Bluetooth Soundbar"/>
    <n v="49970.23"/>
    <n v="2"/>
    <n v="6380.23"/>
    <x v="8"/>
    <x v="1"/>
  </r>
  <r>
    <d v="2024-09-19T00:00:00"/>
    <x v="1"/>
    <x v="4"/>
    <x v="0"/>
    <x v="2"/>
    <x v="8"/>
    <s v="Sony 55 inch Bravia 4K TV"/>
    <n v="84051.46"/>
    <n v="1"/>
    <n v="-1488.03"/>
    <x v="8"/>
    <x v="1"/>
  </r>
  <r>
    <d v="2024-09-21T00:00:00"/>
    <x v="0"/>
    <x v="11"/>
    <x v="0"/>
    <x v="2"/>
    <x v="8"/>
    <s v="Samsung 55 inch 4K Smart TV"/>
    <n v="119419.15"/>
    <n v="2"/>
    <n v="21232.54"/>
    <x v="8"/>
    <x v="1"/>
  </r>
  <r>
    <d v="2024-09-22T00:00:00"/>
    <x v="13"/>
    <x v="12"/>
    <x v="0"/>
    <x v="0"/>
    <x v="2"/>
    <s v="Nothing Phone 2"/>
    <n v="77078.240000000005"/>
    <n v="2"/>
    <n v="10273.030000000001"/>
    <x v="8"/>
    <x v="1"/>
  </r>
  <r>
    <d v="2024-09-23T00:00:00"/>
    <x v="3"/>
    <x v="14"/>
    <x v="0"/>
    <x v="3"/>
    <x v="9"/>
    <s v="LG 260L Double Door Refrigerator"/>
    <n v="27376.48"/>
    <n v="1"/>
    <n v="4711"/>
    <x v="8"/>
    <x v="1"/>
  </r>
  <r>
    <d v="2024-09-23T00:00:00"/>
    <x v="12"/>
    <x v="11"/>
    <x v="0"/>
    <x v="0"/>
    <x v="0"/>
    <s v="Portronics Power Bank 20000mAh"/>
    <n v="2390.7199999999998"/>
    <n v="1"/>
    <n v="-70.989999999999995"/>
    <x v="8"/>
    <x v="1"/>
  </r>
  <r>
    <d v="2024-09-23T00:00:00"/>
    <x v="13"/>
    <x v="11"/>
    <x v="0"/>
    <x v="3"/>
    <x v="10"/>
    <s v="LG 1.5 Ton 5 Star Split AC"/>
    <n v="80613.440000000002"/>
    <n v="2"/>
    <n v="6887.19"/>
    <x v="8"/>
    <x v="1"/>
  </r>
  <r>
    <d v="2024-09-24T00:00:00"/>
    <x v="18"/>
    <x v="4"/>
    <x v="0"/>
    <x v="0"/>
    <x v="2"/>
    <s v="Samsung Galaxy S24"/>
    <n v="270737.34000000003"/>
    <n v="4"/>
    <n v="34704.559999999998"/>
    <x v="8"/>
    <x v="1"/>
  </r>
  <r>
    <d v="2024-09-24T00:00:00"/>
    <x v="21"/>
    <x v="10"/>
    <x v="0"/>
    <x v="1"/>
    <x v="5"/>
    <s v="TP-Link Wi-Fi Router"/>
    <n v="2593.14"/>
    <n v="1"/>
    <n v="369.7"/>
    <x v="8"/>
    <x v="1"/>
  </r>
  <r>
    <d v="2024-09-25T00:00:00"/>
    <x v="9"/>
    <x v="13"/>
    <x v="0"/>
    <x v="3"/>
    <x v="7"/>
    <s v="Morphy Richards OTG"/>
    <n v="22198.35"/>
    <n v="3"/>
    <n v="4366.1000000000004"/>
    <x v="8"/>
    <x v="1"/>
  </r>
  <r>
    <d v="2024-09-25T00:00:00"/>
    <x v="0"/>
    <x v="14"/>
    <x v="0"/>
    <x v="1"/>
    <x v="5"/>
    <s v="Logitech Wireless Mouse"/>
    <n v="1272.75"/>
    <n v="1"/>
    <n v="92.73"/>
    <x v="8"/>
    <x v="1"/>
  </r>
  <r>
    <d v="2024-09-25T00:00:00"/>
    <x v="26"/>
    <x v="11"/>
    <x v="0"/>
    <x v="4"/>
    <x v="6"/>
    <s v="Philips Air Purifier"/>
    <n v="12844.03"/>
    <n v="1"/>
    <n v="2303.36"/>
    <x v="8"/>
    <x v="1"/>
  </r>
  <r>
    <d v="2024-09-26T00:00:00"/>
    <x v="24"/>
    <x v="8"/>
    <x v="0"/>
    <x v="1"/>
    <x v="5"/>
    <s v="Dell 27 inch Monitor"/>
    <n v="48420.91"/>
    <n v="3"/>
    <n v="4032.54"/>
    <x v="8"/>
    <x v="1"/>
  </r>
  <r>
    <d v="2024-09-28T00:00:00"/>
    <x v="1"/>
    <x v="3"/>
    <x v="0"/>
    <x v="1"/>
    <x v="5"/>
    <s v="TP-Link Wi-Fi Router"/>
    <n v="2482.1999999999998"/>
    <n v="1"/>
    <n v="292.45"/>
    <x v="8"/>
    <x v="1"/>
  </r>
  <r>
    <d v="2024-09-30T00:00:00"/>
    <x v="1"/>
    <x v="14"/>
    <x v="0"/>
    <x v="2"/>
    <x v="8"/>
    <s v="OnePlus 43 inch 4K Smart TV"/>
    <n v="29487.56"/>
    <n v="1"/>
    <n v="4201.8999999999996"/>
    <x v="8"/>
    <x v="1"/>
  </r>
  <r>
    <d v="2024-09-30T00:00:00"/>
    <x v="26"/>
    <x v="2"/>
    <x v="0"/>
    <x v="4"/>
    <x v="11"/>
    <s v="Philips Hair Dryer"/>
    <n v="5845.55"/>
    <n v="3"/>
    <n v="978.14"/>
    <x v="8"/>
    <x v="1"/>
  </r>
  <r>
    <d v="2024-10-01T00:00:00"/>
    <x v="21"/>
    <x v="5"/>
    <x v="0"/>
    <x v="1"/>
    <x v="1"/>
    <s v="Lenovo IdeaPad Slim 5"/>
    <n v="64482.93"/>
    <n v="1"/>
    <n v="7946.08"/>
    <x v="9"/>
    <x v="1"/>
  </r>
  <r>
    <d v="2024-10-01T00:00:00"/>
    <x v="6"/>
    <x v="11"/>
    <x v="0"/>
    <x v="1"/>
    <x v="1"/>
    <s v="ASUS Vivobook 15"/>
    <n v="46021.69"/>
    <n v="1"/>
    <n v="5863"/>
    <x v="9"/>
    <x v="1"/>
  </r>
  <r>
    <d v="2024-10-02T00:00:00"/>
    <x v="8"/>
    <x v="0"/>
    <x v="0"/>
    <x v="1"/>
    <x v="1"/>
    <s v="ASUS Vivobook 15"/>
    <n v="46756.959999999999"/>
    <n v="1"/>
    <n v="3708.9"/>
    <x v="9"/>
    <x v="1"/>
  </r>
  <r>
    <d v="2024-10-02T00:00:00"/>
    <x v="23"/>
    <x v="13"/>
    <x v="0"/>
    <x v="1"/>
    <x v="5"/>
    <s v="Dell 27 inch Monitor"/>
    <n v="17723.419999999998"/>
    <n v="1"/>
    <n v="2236.08"/>
    <x v="9"/>
    <x v="1"/>
  </r>
  <r>
    <d v="2024-10-02T00:00:00"/>
    <x v="10"/>
    <x v="2"/>
    <x v="0"/>
    <x v="3"/>
    <x v="10"/>
    <s v="Voltas 1.5 Ton Split AC"/>
    <n v="33418.83"/>
    <n v="1"/>
    <n v="5473.99"/>
    <x v="9"/>
    <x v="1"/>
  </r>
  <r>
    <d v="2024-10-03T00:00:00"/>
    <x v="0"/>
    <x v="6"/>
    <x v="0"/>
    <x v="2"/>
    <x v="3"/>
    <s v="boAt Home Theatre System"/>
    <n v="38054.25"/>
    <n v="3"/>
    <n v="5833.61"/>
    <x v="9"/>
    <x v="1"/>
  </r>
  <r>
    <d v="2024-10-03T00:00:00"/>
    <x v="20"/>
    <x v="2"/>
    <x v="0"/>
    <x v="1"/>
    <x v="1"/>
    <s v="Dell Inspiron 15 Laptop"/>
    <n v="222896.99"/>
    <n v="4"/>
    <n v="17074.419999999998"/>
    <x v="9"/>
    <x v="1"/>
  </r>
  <r>
    <d v="2024-10-03T00:00:00"/>
    <x v="18"/>
    <x v="13"/>
    <x v="0"/>
    <x v="2"/>
    <x v="8"/>
    <s v="OnePlus 43 inch 4K Smart TV"/>
    <n v="26268.46"/>
    <n v="1"/>
    <n v="3177.78"/>
    <x v="9"/>
    <x v="1"/>
  </r>
  <r>
    <d v="2024-10-04T00:00:00"/>
    <x v="27"/>
    <x v="5"/>
    <x v="0"/>
    <x v="4"/>
    <x v="11"/>
    <s v="Philips Trimmer"/>
    <n v="7240.5"/>
    <n v="3"/>
    <n v="769.04"/>
    <x v="9"/>
    <x v="1"/>
  </r>
  <r>
    <d v="2024-10-04T00:00:00"/>
    <x v="23"/>
    <x v="10"/>
    <x v="0"/>
    <x v="3"/>
    <x v="4"/>
    <s v="LG 7kg Fully Automatic Washing Machine"/>
    <n v="27801.91"/>
    <n v="1"/>
    <n v="3432.55"/>
    <x v="9"/>
    <x v="1"/>
  </r>
  <r>
    <d v="2024-10-04T00:00:00"/>
    <x v="7"/>
    <x v="6"/>
    <x v="0"/>
    <x v="4"/>
    <x v="11"/>
    <s v="Braun Electric Shaver"/>
    <n v="5240.8100000000004"/>
    <n v="1"/>
    <n v="1240.55"/>
    <x v="9"/>
    <x v="1"/>
  </r>
  <r>
    <d v="2024-10-05T00:00:00"/>
    <x v="10"/>
    <x v="0"/>
    <x v="0"/>
    <x v="2"/>
    <x v="8"/>
    <s v="Samsung 55 inch 4K Smart TV"/>
    <n v="127405.89"/>
    <n v="2"/>
    <n v="15122.92"/>
    <x v="9"/>
    <x v="1"/>
  </r>
  <r>
    <d v="2024-10-05T00:00:00"/>
    <x v="7"/>
    <x v="7"/>
    <x v="0"/>
    <x v="4"/>
    <x v="6"/>
    <s v="Eureka Forbes Vacuum Cleaner"/>
    <n v="20812.47"/>
    <n v="2"/>
    <n v="3050.55"/>
    <x v="9"/>
    <x v="1"/>
  </r>
  <r>
    <d v="2024-10-05T00:00:00"/>
    <x v="6"/>
    <x v="2"/>
    <x v="0"/>
    <x v="4"/>
    <x v="11"/>
    <s v="Braun Electric Shaver"/>
    <n v="5001.5600000000004"/>
    <n v="1"/>
    <n v="923.85"/>
    <x v="9"/>
    <x v="1"/>
  </r>
  <r>
    <d v="2024-10-06T00:00:00"/>
    <x v="26"/>
    <x v="4"/>
    <x v="0"/>
    <x v="3"/>
    <x v="7"/>
    <s v="Morphy Richards OTG"/>
    <n v="7310.52"/>
    <n v="1"/>
    <n v="1238.3900000000001"/>
    <x v="9"/>
    <x v="1"/>
  </r>
  <r>
    <d v="2024-10-06T00:00:00"/>
    <x v="15"/>
    <x v="10"/>
    <x v="0"/>
    <x v="0"/>
    <x v="0"/>
    <s v="Portronics Power Bank 20000mAh"/>
    <n v="7495.45"/>
    <n v="3"/>
    <n v="1036.19"/>
    <x v="9"/>
    <x v="1"/>
  </r>
  <r>
    <d v="2024-10-06T00:00:00"/>
    <x v="1"/>
    <x v="11"/>
    <x v="0"/>
    <x v="1"/>
    <x v="5"/>
    <s v="Logitech Wireless Keyboard"/>
    <n v="4784.21"/>
    <n v="2"/>
    <n v="551.1"/>
    <x v="9"/>
    <x v="1"/>
  </r>
  <r>
    <d v="2024-10-06T00:00:00"/>
    <x v="23"/>
    <x v="11"/>
    <x v="0"/>
    <x v="4"/>
    <x v="11"/>
    <s v="Braun Electric Shaver"/>
    <n v="16093.99"/>
    <n v="3"/>
    <n v="3354.74"/>
    <x v="9"/>
    <x v="1"/>
  </r>
  <r>
    <d v="2024-10-07T00:00:00"/>
    <x v="18"/>
    <x v="10"/>
    <x v="0"/>
    <x v="1"/>
    <x v="5"/>
    <s v="Dell 27 inch Monitor"/>
    <n v="53653.14"/>
    <n v="3"/>
    <n v="5047.2700000000004"/>
    <x v="9"/>
    <x v="1"/>
  </r>
  <r>
    <d v="2024-10-08T00:00:00"/>
    <x v="27"/>
    <x v="10"/>
    <x v="0"/>
    <x v="4"/>
    <x v="11"/>
    <s v="Braun Electric Shaver"/>
    <n v="17192.78"/>
    <n v="3"/>
    <n v="1943.15"/>
    <x v="9"/>
    <x v="1"/>
  </r>
  <r>
    <d v="2024-10-08T00:00:00"/>
    <x v="4"/>
    <x v="8"/>
    <x v="0"/>
    <x v="1"/>
    <x v="5"/>
    <s v="TP-Link Wi-Fi Router"/>
    <n v="8919.74"/>
    <n v="3"/>
    <n v="712.66"/>
    <x v="9"/>
    <x v="1"/>
  </r>
  <r>
    <d v="2024-10-08T00:00:00"/>
    <x v="12"/>
    <x v="7"/>
    <x v="0"/>
    <x v="4"/>
    <x v="11"/>
    <s v="Philips Hair Dryer"/>
    <n v="1651.13"/>
    <n v="1"/>
    <n v="294.72000000000003"/>
    <x v="9"/>
    <x v="1"/>
  </r>
  <r>
    <d v="2024-10-08T00:00:00"/>
    <x v="24"/>
    <x v="2"/>
    <x v="0"/>
    <x v="3"/>
    <x v="7"/>
    <s v="Prestige Induction Cooktop"/>
    <n v="5685.18"/>
    <n v="2"/>
    <n v="524.05999999999995"/>
    <x v="9"/>
    <x v="1"/>
  </r>
  <r>
    <d v="2024-10-09T00:00:00"/>
    <x v="25"/>
    <x v="7"/>
    <x v="0"/>
    <x v="1"/>
    <x v="5"/>
    <s v="HP 24 inch Monitor"/>
    <n v="10738.14"/>
    <n v="1"/>
    <n v="-496.87"/>
    <x v="9"/>
    <x v="1"/>
  </r>
  <r>
    <d v="2024-10-10T00:00:00"/>
    <x v="29"/>
    <x v="13"/>
    <x v="0"/>
    <x v="2"/>
    <x v="3"/>
    <s v="Sony Bluetooth Soundbar"/>
    <n v="92705.79"/>
    <n v="4"/>
    <n v="15182.58"/>
    <x v="9"/>
    <x v="1"/>
  </r>
  <r>
    <d v="2024-10-10T00:00:00"/>
    <x v="27"/>
    <x v="14"/>
    <x v="0"/>
    <x v="2"/>
    <x v="8"/>
    <s v="OnePlus 43 inch 4K Smart TV"/>
    <n v="28620.51"/>
    <n v="1"/>
    <n v="2610.17"/>
    <x v="9"/>
    <x v="1"/>
  </r>
  <r>
    <d v="2024-10-12T00:00:00"/>
    <x v="17"/>
    <x v="9"/>
    <x v="0"/>
    <x v="4"/>
    <x v="6"/>
    <s v="Eureka Forbes Vacuum Cleaner"/>
    <n v="22307.46"/>
    <n v="2"/>
    <n v="4155.38"/>
    <x v="9"/>
    <x v="1"/>
  </r>
  <r>
    <d v="2024-10-13T00:00:00"/>
    <x v="1"/>
    <x v="12"/>
    <x v="0"/>
    <x v="3"/>
    <x v="7"/>
    <s v="Morphy Richards OTG"/>
    <n v="13209.52"/>
    <n v="2"/>
    <n v="1809.5"/>
    <x v="9"/>
    <x v="1"/>
  </r>
  <r>
    <d v="2024-10-13T00:00:00"/>
    <x v="19"/>
    <x v="9"/>
    <x v="0"/>
    <x v="3"/>
    <x v="4"/>
    <s v="LG 7kg Fully Automatic Washing Machine"/>
    <n v="56661.57"/>
    <n v="2"/>
    <n v="5337.79"/>
    <x v="9"/>
    <x v="1"/>
  </r>
  <r>
    <d v="2024-10-13T00:00:00"/>
    <x v="3"/>
    <x v="5"/>
    <x v="0"/>
    <x v="0"/>
    <x v="2"/>
    <s v="OnePlus 12"/>
    <n v="186193.98"/>
    <n v="3"/>
    <n v="14113.06"/>
    <x v="9"/>
    <x v="1"/>
  </r>
  <r>
    <d v="2024-10-14T00:00:00"/>
    <x v="1"/>
    <x v="12"/>
    <x v="0"/>
    <x v="3"/>
    <x v="4"/>
    <s v="Samsung 8kg Front Load Washing Machine"/>
    <n v="34559.56"/>
    <n v="1"/>
    <n v="4728.5200000000004"/>
    <x v="9"/>
    <x v="1"/>
  </r>
  <r>
    <d v="2024-10-15T00:00:00"/>
    <x v="12"/>
    <x v="12"/>
    <x v="0"/>
    <x v="3"/>
    <x v="7"/>
    <s v="Prestige Induction Cooktop"/>
    <n v="2489.39"/>
    <n v="1"/>
    <n v="474.46"/>
    <x v="9"/>
    <x v="1"/>
  </r>
  <r>
    <d v="2024-10-15T00:00:00"/>
    <x v="29"/>
    <x v="1"/>
    <x v="0"/>
    <x v="3"/>
    <x v="7"/>
    <s v="Bajaj Mixer Grinder"/>
    <n v="4314.74"/>
    <n v="1"/>
    <n v="693.63"/>
    <x v="9"/>
    <x v="1"/>
  </r>
  <r>
    <d v="2024-10-17T00:00:00"/>
    <x v="22"/>
    <x v="1"/>
    <x v="0"/>
    <x v="3"/>
    <x v="9"/>
    <s v="Whirlpool 265L Frost Free Refrigerator"/>
    <n v="26699.65"/>
    <n v="1"/>
    <n v="3965.46"/>
    <x v="9"/>
    <x v="1"/>
  </r>
  <r>
    <d v="2024-10-20T00:00:00"/>
    <x v="26"/>
    <x v="0"/>
    <x v="0"/>
    <x v="3"/>
    <x v="10"/>
    <s v="Voltas 1.5 Ton Split AC"/>
    <n v="37692.76"/>
    <n v="1"/>
    <n v="7304.83"/>
    <x v="9"/>
    <x v="1"/>
  </r>
  <r>
    <d v="2024-10-21T00:00:00"/>
    <x v="14"/>
    <x v="8"/>
    <x v="0"/>
    <x v="3"/>
    <x v="4"/>
    <s v="IFB 7kg Front Load Washing Machine"/>
    <n v="26800.82"/>
    <n v="1"/>
    <n v="4704.16"/>
    <x v="9"/>
    <x v="1"/>
  </r>
  <r>
    <d v="2024-10-21T00:00:00"/>
    <x v="21"/>
    <x v="4"/>
    <x v="0"/>
    <x v="1"/>
    <x v="1"/>
    <s v="Lenovo IdeaPad Slim 5"/>
    <n v="130263.33"/>
    <n v="2"/>
    <n v="15430.16"/>
    <x v="9"/>
    <x v="1"/>
  </r>
  <r>
    <d v="2024-10-21T00:00:00"/>
    <x v="14"/>
    <x v="13"/>
    <x v="0"/>
    <x v="3"/>
    <x v="9"/>
    <s v="LG 260L Double Door Refrigerator"/>
    <n v="32529.759999999998"/>
    <n v="1"/>
    <n v="-1509.24"/>
    <x v="9"/>
    <x v="1"/>
  </r>
  <r>
    <d v="2024-10-21T00:00:00"/>
    <x v="4"/>
    <x v="4"/>
    <x v="0"/>
    <x v="4"/>
    <x v="11"/>
    <s v="Braun Electric Shaver"/>
    <n v="11486.13"/>
    <n v="2"/>
    <n v="2466.67"/>
    <x v="9"/>
    <x v="1"/>
  </r>
  <r>
    <d v="2024-10-22T00:00:00"/>
    <x v="27"/>
    <x v="4"/>
    <x v="0"/>
    <x v="1"/>
    <x v="1"/>
    <s v="HP Pavilion 15 Laptop"/>
    <n v="128419.93"/>
    <n v="2"/>
    <n v="19714.939999999999"/>
    <x v="9"/>
    <x v="1"/>
  </r>
  <r>
    <d v="2024-10-23T00:00:00"/>
    <x v="23"/>
    <x v="4"/>
    <x v="0"/>
    <x v="1"/>
    <x v="1"/>
    <s v="ASUS Vivobook 15"/>
    <n v="50612.94"/>
    <n v="1"/>
    <n v="5075.57"/>
    <x v="9"/>
    <x v="1"/>
  </r>
  <r>
    <d v="2024-10-23T00:00:00"/>
    <x v="15"/>
    <x v="4"/>
    <x v="0"/>
    <x v="1"/>
    <x v="5"/>
    <s v="Dell 27 inch Monitor"/>
    <n v="52609.75"/>
    <n v="3"/>
    <n v="-2314.06"/>
    <x v="9"/>
    <x v="1"/>
  </r>
  <r>
    <d v="2024-10-23T00:00:00"/>
    <x v="21"/>
    <x v="3"/>
    <x v="0"/>
    <x v="2"/>
    <x v="3"/>
    <s v="boAt Home Theatre System"/>
    <n v="35218.75"/>
    <n v="3"/>
    <n v="4219.1000000000004"/>
    <x v="9"/>
    <x v="1"/>
  </r>
  <r>
    <d v="2024-10-24T00:00:00"/>
    <x v="20"/>
    <x v="14"/>
    <x v="0"/>
    <x v="0"/>
    <x v="0"/>
    <s v="boAt Wireless Earphones"/>
    <n v="1554.92"/>
    <n v="1"/>
    <n v="226.81"/>
    <x v="9"/>
    <x v="1"/>
  </r>
  <r>
    <d v="2024-10-25T00:00:00"/>
    <x v="7"/>
    <x v="13"/>
    <x v="0"/>
    <x v="4"/>
    <x v="6"/>
    <s v="Philips Air Purifier"/>
    <n v="13521.23"/>
    <n v="1"/>
    <n v="1681.22"/>
    <x v="9"/>
    <x v="1"/>
  </r>
  <r>
    <d v="2024-10-25T00:00:00"/>
    <x v="15"/>
    <x v="12"/>
    <x v="0"/>
    <x v="0"/>
    <x v="2"/>
    <s v="Samsung Galaxy S24"/>
    <n v="66939.55"/>
    <n v="1"/>
    <n v="5441.13"/>
    <x v="9"/>
    <x v="1"/>
  </r>
  <r>
    <d v="2024-10-26T00:00:00"/>
    <x v="20"/>
    <x v="6"/>
    <x v="0"/>
    <x v="3"/>
    <x v="7"/>
    <s v="Morphy Richards OTG"/>
    <n v="7307.21"/>
    <n v="1"/>
    <n v="1242.71"/>
    <x v="9"/>
    <x v="1"/>
  </r>
  <r>
    <d v="2024-10-27T00:00:00"/>
    <x v="9"/>
    <x v="5"/>
    <x v="0"/>
    <x v="4"/>
    <x v="6"/>
    <s v="Dyson V8 Vacuum Cleaner"/>
    <n v="64561.04"/>
    <n v="2"/>
    <n v="13624.54"/>
    <x v="9"/>
    <x v="1"/>
  </r>
  <r>
    <d v="2024-10-27T00:00:00"/>
    <x v="23"/>
    <x v="0"/>
    <x v="0"/>
    <x v="1"/>
    <x v="5"/>
    <s v="Logitech Wireless Mouse"/>
    <n v="1292.46"/>
    <n v="1"/>
    <n v="206.75"/>
    <x v="9"/>
    <x v="1"/>
  </r>
  <r>
    <d v="2024-10-27T00:00:00"/>
    <x v="14"/>
    <x v="8"/>
    <x v="0"/>
    <x v="0"/>
    <x v="2"/>
    <s v="Google Pixel 8"/>
    <n v="54829.64"/>
    <n v="1"/>
    <n v="7463.35"/>
    <x v="9"/>
    <x v="1"/>
  </r>
  <r>
    <d v="2024-10-28T00:00:00"/>
    <x v="23"/>
    <x v="8"/>
    <x v="0"/>
    <x v="3"/>
    <x v="10"/>
    <s v="Voltas 1.5 Ton Split AC"/>
    <n v="32185.56"/>
    <n v="1"/>
    <n v="5269.25"/>
    <x v="9"/>
    <x v="1"/>
  </r>
  <r>
    <d v="2024-10-28T00:00:00"/>
    <x v="28"/>
    <x v="13"/>
    <x v="0"/>
    <x v="4"/>
    <x v="11"/>
    <s v="Philips Trimmer"/>
    <n v="7470.35"/>
    <n v="3"/>
    <n v="1328.59"/>
    <x v="9"/>
    <x v="1"/>
  </r>
  <r>
    <d v="2024-10-31T00:00:00"/>
    <x v="13"/>
    <x v="12"/>
    <x v="0"/>
    <x v="2"/>
    <x v="8"/>
    <s v="LG 55 inch OLED Smart TV"/>
    <n v="252645.86"/>
    <n v="3"/>
    <n v="29454.91"/>
    <x v="9"/>
    <x v="1"/>
  </r>
  <r>
    <d v="2024-10-31T00:00:00"/>
    <x v="4"/>
    <x v="1"/>
    <x v="0"/>
    <x v="3"/>
    <x v="10"/>
    <s v="Voltas 1.5 Ton Split AC"/>
    <n v="38519.01"/>
    <n v="1"/>
    <n v="3430.75"/>
    <x v="9"/>
    <x v="1"/>
  </r>
  <r>
    <d v="2024-11-01T00:00:00"/>
    <x v="11"/>
    <x v="6"/>
    <x v="0"/>
    <x v="0"/>
    <x v="2"/>
    <s v="Samsung Galaxy S24"/>
    <n v="137595.22"/>
    <n v="2"/>
    <n v="17093.59"/>
    <x v="10"/>
    <x v="1"/>
  </r>
  <r>
    <d v="2024-11-01T00:00:00"/>
    <x v="5"/>
    <x v="13"/>
    <x v="0"/>
    <x v="1"/>
    <x v="5"/>
    <s v="HP 24 inch Monitor"/>
    <n v="22751.1"/>
    <n v="2"/>
    <n v="2889.64"/>
    <x v="10"/>
    <x v="1"/>
  </r>
  <r>
    <d v="2024-11-03T00:00:00"/>
    <x v="6"/>
    <x v="4"/>
    <x v="0"/>
    <x v="1"/>
    <x v="1"/>
    <s v="Apple MacBook Air M2"/>
    <n v="170905.72"/>
    <n v="2"/>
    <n v="28347.43"/>
    <x v="10"/>
    <x v="1"/>
  </r>
  <r>
    <d v="2024-11-03T00:00:00"/>
    <x v="21"/>
    <x v="2"/>
    <x v="0"/>
    <x v="2"/>
    <x v="8"/>
    <s v="OnePlus 43 inch 4K Smart TV"/>
    <n v="25131.360000000001"/>
    <n v="1"/>
    <n v="3701.11"/>
    <x v="10"/>
    <x v="1"/>
  </r>
  <r>
    <d v="2024-11-03T00:00:00"/>
    <x v="24"/>
    <x v="14"/>
    <x v="0"/>
    <x v="0"/>
    <x v="2"/>
    <s v="Apple iPhone 15"/>
    <n v="138100.31"/>
    <n v="2"/>
    <n v="18097.7"/>
    <x v="10"/>
    <x v="1"/>
  </r>
  <r>
    <d v="2024-11-04T00:00:00"/>
    <x v="21"/>
    <x v="0"/>
    <x v="0"/>
    <x v="0"/>
    <x v="0"/>
    <s v="JBL Bluetooth Earbuds"/>
    <n v="4971.03"/>
    <n v="2"/>
    <n v="672.72"/>
    <x v="10"/>
    <x v="1"/>
  </r>
  <r>
    <d v="2024-11-04T00:00:00"/>
    <x v="5"/>
    <x v="3"/>
    <x v="0"/>
    <x v="3"/>
    <x v="9"/>
    <s v="Samsung 253L Refrigerator"/>
    <n v="31968.71"/>
    <n v="1"/>
    <n v="3413.08"/>
    <x v="10"/>
    <x v="1"/>
  </r>
  <r>
    <d v="2024-11-04T00:00:00"/>
    <x v="1"/>
    <x v="8"/>
    <x v="0"/>
    <x v="4"/>
    <x v="6"/>
    <s v="Eureka Forbes Vacuum Cleaner"/>
    <n v="11189.56"/>
    <n v="1"/>
    <n v="1346.45"/>
    <x v="10"/>
    <x v="1"/>
  </r>
  <r>
    <d v="2024-11-05T00:00:00"/>
    <x v="14"/>
    <x v="10"/>
    <x v="0"/>
    <x v="3"/>
    <x v="4"/>
    <s v="Samsung 8kg Front Load Washing Machine"/>
    <n v="33171.300000000003"/>
    <n v="1"/>
    <n v="3453.2"/>
    <x v="10"/>
    <x v="1"/>
  </r>
  <r>
    <d v="2024-11-06T00:00:00"/>
    <x v="27"/>
    <x v="13"/>
    <x v="0"/>
    <x v="3"/>
    <x v="10"/>
    <s v="Voltas 1.5 Ton Split AC"/>
    <n v="133120.92000000001"/>
    <n v="4"/>
    <n v="19437.2"/>
    <x v="10"/>
    <x v="1"/>
  </r>
  <r>
    <d v="2024-11-06T00:00:00"/>
    <x v="20"/>
    <x v="6"/>
    <x v="0"/>
    <x v="0"/>
    <x v="2"/>
    <s v="Google Pixel 8"/>
    <n v="49760.800000000003"/>
    <n v="1"/>
    <n v="7035.64"/>
    <x v="10"/>
    <x v="1"/>
  </r>
  <r>
    <d v="2024-11-07T00:00:00"/>
    <x v="28"/>
    <x v="1"/>
    <x v="0"/>
    <x v="2"/>
    <x v="3"/>
    <s v="Sony Wireless Headphones"/>
    <n v="9752.08"/>
    <n v="1"/>
    <n v="1692.49"/>
    <x v="10"/>
    <x v="1"/>
  </r>
  <r>
    <d v="2024-11-07T00:00:00"/>
    <x v="13"/>
    <x v="3"/>
    <x v="0"/>
    <x v="3"/>
    <x v="7"/>
    <s v="Morphy Richards OTG"/>
    <n v="7281.35"/>
    <n v="1"/>
    <n v="-94.8"/>
    <x v="10"/>
    <x v="1"/>
  </r>
  <r>
    <d v="2024-11-07T00:00:00"/>
    <x v="25"/>
    <x v="10"/>
    <x v="0"/>
    <x v="3"/>
    <x v="7"/>
    <s v="Philips Air Fryer"/>
    <n v="16438.13"/>
    <n v="2"/>
    <n v="2552.25"/>
    <x v="10"/>
    <x v="1"/>
  </r>
  <r>
    <d v="2024-11-08T00:00:00"/>
    <x v="4"/>
    <x v="4"/>
    <x v="0"/>
    <x v="0"/>
    <x v="2"/>
    <s v="Apple iPhone 15"/>
    <n v="134779.25"/>
    <n v="2"/>
    <n v="17136.61"/>
    <x v="10"/>
    <x v="1"/>
  </r>
  <r>
    <d v="2024-11-09T00:00:00"/>
    <x v="16"/>
    <x v="0"/>
    <x v="0"/>
    <x v="4"/>
    <x v="6"/>
    <s v="Dyson V8 Vacuum Cleaner"/>
    <n v="96079.4"/>
    <n v="3"/>
    <n v="21261.9"/>
    <x v="10"/>
    <x v="1"/>
  </r>
  <r>
    <d v="2024-11-10T00:00:00"/>
    <x v="12"/>
    <x v="9"/>
    <x v="0"/>
    <x v="2"/>
    <x v="8"/>
    <s v="OnePlus 43 inch 4K Smart TV"/>
    <n v="53221.38"/>
    <n v="2"/>
    <n v="4912.74"/>
    <x v="10"/>
    <x v="1"/>
  </r>
  <r>
    <d v="2024-11-11T00:00:00"/>
    <x v="11"/>
    <x v="11"/>
    <x v="0"/>
    <x v="1"/>
    <x v="5"/>
    <s v="Logitech Wireless Mouse"/>
    <n v="3942.78"/>
    <n v="3"/>
    <n v="662.71"/>
    <x v="10"/>
    <x v="1"/>
  </r>
  <r>
    <d v="2024-11-13T00:00:00"/>
    <x v="20"/>
    <x v="10"/>
    <x v="0"/>
    <x v="4"/>
    <x v="11"/>
    <s v="Braun Electric Shaver"/>
    <n v="5771.74"/>
    <n v="1"/>
    <n v="1009.86"/>
    <x v="10"/>
    <x v="1"/>
  </r>
  <r>
    <d v="2024-11-14T00:00:00"/>
    <x v="22"/>
    <x v="0"/>
    <x v="0"/>
    <x v="2"/>
    <x v="8"/>
    <s v="Sony 55 inch Bravia 4K TV"/>
    <n v="79220.19"/>
    <n v="1"/>
    <n v="14012.26"/>
    <x v="10"/>
    <x v="1"/>
  </r>
  <r>
    <d v="2024-11-14T00:00:00"/>
    <x v="29"/>
    <x v="1"/>
    <x v="0"/>
    <x v="4"/>
    <x v="6"/>
    <s v="Eureka Forbes Vacuum Cleaner"/>
    <n v="10877.39"/>
    <n v="1"/>
    <n v="2062.0500000000002"/>
    <x v="10"/>
    <x v="1"/>
  </r>
  <r>
    <d v="2024-11-14T00:00:00"/>
    <x v="13"/>
    <x v="10"/>
    <x v="0"/>
    <x v="1"/>
    <x v="5"/>
    <s v="HP 24 inch Monitor"/>
    <n v="11140.66"/>
    <n v="1"/>
    <n v="1244.55"/>
    <x v="10"/>
    <x v="1"/>
  </r>
  <r>
    <d v="2024-11-15T00:00:00"/>
    <x v="25"/>
    <x v="0"/>
    <x v="0"/>
    <x v="2"/>
    <x v="8"/>
    <s v="TCL 50 inch 4K Smart TV"/>
    <n v="40352.81"/>
    <n v="1"/>
    <n v="3447.88"/>
    <x v="10"/>
    <x v="1"/>
  </r>
  <r>
    <d v="2024-11-16T00:00:00"/>
    <x v="28"/>
    <x v="10"/>
    <x v="0"/>
    <x v="0"/>
    <x v="0"/>
    <s v="JBL Bluetooth Earbuds"/>
    <n v="2539.31"/>
    <n v="1"/>
    <n v="372.76"/>
    <x v="10"/>
    <x v="1"/>
  </r>
  <r>
    <d v="2024-11-16T00:00:00"/>
    <x v="28"/>
    <x v="2"/>
    <x v="0"/>
    <x v="4"/>
    <x v="11"/>
    <s v="Braun Electric Shaver"/>
    <n v="5254.41"/>
    <n v="1"/>
    <n v="1230"/>
    <x v="10"/>
    <x v="1"/>
  </r>
  <r>
    <d v="2024-11-17T00:00:00"/>
    <x v="14"/>
    <x v="6"/>
    <x v="0"/>
    <x v="3"/>
    <x v="9"/>
    <s v="Whirlpool 265L Frost Free Refrigerator"/>
    <n v="26076.5"/>
    <n v="1"/>
    <n v="3073.39"/>
    <x v="10"/>
    <x v="1"/>
  </r>
  <r>
    <d v="2024-11-17T00:00:00"/>
    <x v="15"/>
    <x v="8"/>
    <x v="0"/>
    <x v="4"/>
    <x v="11"/>
    <s v="Braun Electric Shaver"/>
    <n v="10071.01"/>
    <n v="2"/>
    <n v="1061.18"/>
    <x v="10"/>
    <x v="1"/>
  </r>
  <r>
    <d v="2024-11-19T00:00:00"/>
    <x v="27"/>
    <x v="8"/>
    <x v="0"/>
    <x v="3"/>
    <x v="7"/>
    <s v="Morphy Richards OTG"/>
    <n v="6827.41"/>
    <n v="1"/>
    <n v="-279.37"/>
    <x v="10"/>
    <x v="1"/>
  </r>
  <r>
    <d v="2024-11-19T00:00:00"/>
    <x v="20"/>
    <x v="7"/>
    <x v="0"/>
    <x v="1"/>
    <x v="1"/>
    <s v="HP Pavilion 15 Laptop"/>
    <n v="55289.39"/>
    <n v="1"/>
    <n v="6270.24"/>
    <x v="10"/>
    <x v="1"/>
  </r>
  <r>
    <d v="2024-11-20T00:00:00"/>
    <x v="24"/>
    <x v="5"/>
    <x v="0"/>
    <x v="4"/>
    <x v="11"/>
    <s v="Braun Electric Shaver"/>
    <n v="5201.28"/>
    <n v="1"/>
    <n v="778.6"/>
    <x v="10"/>
    <x v="1"/>
  </r>
  <r>
    <d v="2024-11-21T00:00:00"/>
    <x v="17"/>
    <x v="2"/>
    <x v="0"/>
    <x v="2"/>
    <x v="3"/>
    <s v="boAt Home Theatre System"/>
    <n v="35576.03"/>
    <n v="3"/>
    <n v="4798.8500000000004"/>
    <x v="10"/>
    <x v="1"/>
  </r>
  <r>
    <d v="2024-11-24T00:00:00"/>
    <x v="23"/>
    <x v="13"/>
    <x v="0"/>
    <x v="0"/>
    <x v="2"/>
    <s v="Samsung Galaxy S24"/>
    <n v="134801.22"/>
    <n v="2"/>
    <n v="13478.69"/>
    <x v="10"/>
    <x v="1"/>
  </r>
  <r>
    <d v="2024-11-26T00:00:00"/>
    <x v="5"/>
    <x v="5"/>
    <x v="0"/>
    <x v="1"/>
    <x v="5"/>
    <s v="Dell 27 inch Monitor"/>
    <n v="16817.919999999998"/>
    <n v="1"/>
    <n v="2815.5"/>
    <x v="10"/>
    <x v="1"/>
  </r>
  <r>
    <d v="2024-11-26T00:00:00"/>
    <x v="0"/>
    <x v="12"/>
    <x v="0"/>
    <x v="3"/>
    <x v="7"/>
    <s v="Prestige Induction Cooktop"/>
    <n v="2986.45"/>
    <n v="1"/>
    <n v="520.37"/>
    <x v="10"/>
    <x v="1"/>
  </r>
  <r>
    <d v="2024-11-27T00:00:00"/>
    <x v="28"/>
    <x v="7"/>
    <x v="0"/>
    <x v="3"/>
    <x v="10"/>
    <s v="Voltas 1.5 Ton Split AC"/>
    <n v="35098.58"/>
    <n v="1"/>
    <n v="6882.89"/>
    <x v="10"/>
    <x v="1"/>
  </r>
  <r>
    <d v="2024-11-28T00:00:00"/>
    <x v="26"/>
    <x v="7"/>
    <x v="0"/>
    <x v="4"/>
    <x v="6"/>
    <s v="Dyson V8 Vacuum Cleaner"/>
    <n v="65669.5"/>
    <n v="2"/>
    <n v="12948.62"/>
    <x v="10"/>
    <x v="1"/>
  </r>
  <r>
    <d v="2024-11-30T00:00:00"/>
    <x v="20"/>
    <x v="7"/>
    <x v="0"/>
    <x v="2"/>
    <x v="8"/>
    <s v="LG 55 inch OLED Smart TV"/>
    <n v="82312.42"/>
    <n v="1"/>
    <n v="8719.5"/>
    <x v="10"/>
    <x v="1"/>
  </r>
  <r>
    <d v="2024-12-01T00:00:00"/>
    <x v="28"/>
    <x v="1"/>
    <x v="0"/>
    <x v="2"/>
    <x v="3"/>
    <s v="boAt Home Theatre System"/>
    <n v="10906.46"/>
    <n v="1"/>
    <n v="1165.98"/>
    <x v="11"/>
    <x v="1"/>
  </r>
  <r>
    <d v="2024-12-01T00:00:00"/>
    <x v="21"/>
    <x v="5"/>
    <x v="0"/>
    <x v="2"/>
    <x v="3"/>
    <s v="Sony Wireless Headphones"/>
    <n v="19617.45"/>
    <n v="2"/>
    <n v="1689.17"/>
    <x v="11"/>
    <x v="1"/>
  </r>
  <r>
    <d v="2024-12-01T00:00:00"/>
    <x v="27"/>
    <x v="5"/>
    <x v="0"/>
    <x v="0"/>
    <x v="0"/>
    <s v="boAt Wireless Earphones"/>
    <n v="1641.65"/>
    <n v="1"/>
    <n v="210.92"/>
    <x v="11"/>
    <x v="1"/>
  </r>
  <r>
    <d v="2024-12-01T00:00:00"/>
    <x v="1"/>
    <x v="1"/>
    <x v="0"/>
    <x v="4"/>
    <x v="6"/>
    <s v="Eureka Forbes Vacuum Cleaner"/>
    <n v="23087.759999999998"/>
    <n v="2"/>
    <n v="3014.24"/>
    <x v="11"/>
    <x v="1"/>
  </r>
  <r>
    <d v="2024-12-02T00:00:00"/>
    <x v="20"/>
    <x v="8"/>
    <x v="0"/>
    <x v="4"/>
    <x v="11"/>
    <s v="Philips Hair Dryer"/>
    <n v="1951.43"/>
    <n v="1"/>
    <n v="199.67"/>
    <x v="11"/>
    <x v="1"/>
  </r>
  <r>
    <d v="2024-12-02T00:00:00"/>
    <x v="10"/>
    <x v="0"/>
    <x v="0"/>
    <x v="3"/>
    <x v="10"/>
    <s v="LG 1.5 Ton 5 Star Split AC"/>
    <n v="84770.62"/>
    <n v="2"/>
    <n v="8924.2199999999993"/>
    <x v="11"/>
    <x v="1"/>
  </r>
  <r>
    <d v="2024-12-02T00:00:00"/>
    <x v="2"/>
    <x v="13"/>
    <x v="0"/>
    <x v="3"/>
    <x v="10"/>
    <s v="Daikin 1.5 Ton Inverter AC"/>
    <n v="89753.88"/>
    <n v="2"/>
    <n v="13582.58"/>
    <x v="11"/>
    <x v="1"/>
  </r>
  <r>
    <d v="2024-12-02T00:00:00"/>
    <x v="15"/>
    <x v="1"/>
    <x v="0"/>
    <x v="1"/>
    <x v="5"/>
    <s v="HP 24 inch Monitor"/>
    <n v="11700.19"/>
    <n v="1"/>
    <n v="1696.32"/>
    <x v="11"/>
    <x v="1"/>
  </r>
  <r>
    <d v="2024-12-02T00:00:00"/>
    <x v="22"/>
    <x v="1"/>
    <x v="0"/>
    <x v="1"/>
    <x v="1"/>
    <s v="Lenovo IdeaPad Slim 5"/>
    <n v="67678.98"/>
    <n v="1"/>
    <n v="8414.65"/>
    <x v="11"/>
    <x v="1"/>
  </r>
  <r>
    <d v="2024-12-04T00:00:00"/>
    <x v="13"/>
    <x v="12"/>
    <x v="0"/>
    <x v="2"/>
    <x v="3"/>
    <s v="Sony Bluetooth Soundbar"/>
    <n v="24474.13"/>
    <n v="1"/>
    <n v="4202.54"/>
    <x v="11"/>
    <x v="1"/>
  </r>
  <r>
    <d v="2024-12-05T00:00:00"/>
    <x v="29"/>
    <x v="10"/>
    <x v="0"/>
    <x v="0"/>
    <x v="0"/>
    <s v="Apple 20W USB-C Power Adapter"/>
    <n v="1774.46"/>
    <n v="1"/>
    <n v="214.65"/>
    <x v="11"/>
    <x v="1"/>
  </r>
  <r>
    <d v="2024-12-06T00:00:00"/>
    <x v="22"/>
    <x v="13"/>
    <x v="0"/>
    <x v="3"/>
    <x v="4"/>
    <s v="IFB 7kg Front Load Washing Machine"/>
    <n v="30666.93"/>
    <n v="1"/>
    <n v="5335.22"/>
    <x v="11"/>
    <x v="1"/>
  </r>
  <r>
    <d v="2024-12-06T00:00:00"/>
    <x v="28"/>
    <x v="5"/>
    <x v="0"/>
    <x v="0"/>
    <x v="0"/>
    <s v="Samsung 25W Charger"/>
    <n v="4446.4799999999996"/>
    <n v="3"/>
    <n v="627.38"/>
    <x v="11"/>
    <x v="1"/>
  </r>
  <r>
    <d v="2024-12-07T00:00:00"/>
    <x v="12"/>
    <x v="6"/>
    <x v="0"/>
    <x v="3"/>
    <x v="9"/>
    <s v="Whirlpool 265L Frost Free Refrigerator"/>
    <n v="82846.02"/>
    <n v="3"/>
    <n v="8914.14"/>
    <x v="11"/>
    <x v="1"/>
  </r>
  <r>
    <d v="2024-12-07T00:00:00"/>
    <x v="3"/>
    <x v="4"/>
    <x v="0"/>
    <x v="1"/>
    <x v="1"/>
    <s v="HP Pavilion 15 Laptop"/>
    <n v="60325.4"/>
    <n v="1"/>
    <n v="6040.79"/>
    <x v="11"/>
    <x v="1"/>
  </r>
  <r>
    <d v="2024-12-08T00:00:00"/>
    <x v="28"/>
    <x v="14"/>
    <x v="0"/>
    <x v="4"/>
    <x v="6"/>
    <s v="Dyson V8 Vacuum Cleaner"/>
    <n v="33003.94"/>
    <n v="1"/>
    <n v="-1773.64"/>
    <x v="11"/>
    <x v="1"/>
  </r>
  <r>
    <d v="2024-12-09T00:00:00"/>
    <x v="19"/>
    <x v="2"/>
    <x v="0"/>
    <x v="1"/>
    <x v="1"/>
    <s v="Lenovo IdeaPad Slim 5"/>
    <n v="56285.98"/>
    <n v="1"/>
    <n v="5484.79"/>
    <x v="11"/>
    <x v="1"/>
  </r>
  <r>
    <d v="2024-12-09T00:00:00"/>
    <x v="9"/>
    <x v="3"/>
    <x v="0"/>
    <x v="4"/>
    <x v="6"/>
    <s v="Dyson V8 Vacuum Cleaner"/>
    <n v="65025.49"/>
    <n v="2"/>
    <n v="12842.79"/>
    <x v="11"/>
    <x v="1"/>
  </r>
  <r>
    <d v="2024-12-10T00:00:00"/>
    <x v="4"/>
    <x v="12"/>
    <x v="0"/>
    <x v="3"/>
    <x v="9"/>
    <s v="Samsung 253L Refrigerator"/>
    <n v="52587.12"/>
    <n v="2"/>
    <n v="10211.299999999999"/>
    <x v="11"/>
    <x v="1"/>
  </r>
  <r>
    <d v="2024-12-11T00:00:00"/>
    <x v="2"/>
    <x v="3"/>
    <x v="0"/>
    <x v="0"/>
    <x v="0"/>
    <s v="Samsung 25W Charger"/>
    <n v="1458.47"/>
    <n v="1"/>
    <n v="214.4"/>
    <x v="11"/>
    <x v="1"/>
  </r>
  <r>
    <d v="2024-12-12T00:00:00"/>
    <x v="4"/>
    <x v="2"/>
    <x v="0"/>
    <x v="3"/>
    <x v="4"/>
    <s v="LG 7kg Fully Automatic Washing Machine"/>
    <n v="54242.02"/>
    <n v="2"/>
    <n v="5216.34"/>
    <x v="11"/>
    <x v="1"/>
  </r>
  <r>
    <d v="2024-12-12T00:00:00"/>
    <x v="29"/>
    <x v="10"/>
    <x v="0"/>
    <x v="3"/>
    <x v="9"/>
    <s v="Samsung 253L Refrigerator"/>
    <n v="29577.29"/>
    <n v="1"/>
    <n v="5671.74"/>
    <x v="11"/>
    <x v="1"/>
  </r>
  <r>
    <d v="2024-12-13T00:00:00"/>
    <x v="7"/>
    <x v="9"/>
    <x v="0"/>
    <x v="4"/>
    <x v="6"/>
    <s v="Philips Air Purifier"/>
    <n v="12349.21"/>
    <n v="1"/>
    <n v="2678.24"/>
    <x v="11"/>
    <x v="1"/>
  </r>
  <r>
    <d v="2024-12-13T00:00:00"/>
    <x v="16"/>
    <x v="7"/>
    <x v="0"/>
    <x v="1"/>
    <x v="1"/>
    <s v="Apple MacBook Air M2"/>
    <n v="367220.63"/>
    <n v="4"/>
    <n v="-8171.55"/>
    <x v="11"/>
    <x v="1"/>
  </r>
  <r>
    <d v="2024-12-13T00:00:00"/>
    <x v="27"/>
    <x v="11"/>
    <x v="0"/>
    <x v="4"/>
    <x v="11"/>
    <s v="Philips Hair Dryer"/>
    <n v="1808.22"/>
    <n v="1"/>
    <n v="205.04"/>
    <x v="11"/>
    <x v="1"/>
  </r>
  <r>
    <d v="2024-12-14T00:00:00"/>
    <x v="6"/>
    <x v="5"/>
    <x v="0"/>
    <x v="2"/>
    <x v="8"/>
    <s v="TCL 50 inch 4K Smart TV"/>
    <n v="110473.59"/>
    <n v="3"/>
    <n v="12437.89"/>
    <x v="11"/>
    <x v="1"/>
  </r>
  <r>
    <d v="2024-12-14T00:00:00"/>
    <x v="19"/>
    <x v="13"/>
    <x v="0"/>
    <x v="3"/>
    <x v="10"/>
    <s v="Voltas 1.5 Ton Split AC"/>
    <n v="36285.65"/>
    <n v="1"/>
    <n v="4749.24"/>
    <x v="11"/>
    <x v="1"/>
  </r>
  <r>
    <d v="2024-12-14T00:00:00"/>
    <x v="22"/>
    <x v="7"/>
    <x v="0"/>
    <x v="2"/>
    <x v="3"/>
    <s v="Sony Bluetooth Soundbar"/>
    <n v="22217.3"/>
    <n v="1"/>
    <n v="3421.15"/>
    <x v="11"/>
    <x v="1"/>
  </r>
  <r>
    <d v="2024-12-15T00:00:00"/>
    <x v="14"/>
    <x v="0"/>
    <x v="0"/>
    <x v="2"/>
    <x v="3"/>
    <s v="boAt Home Theatre System"/>
    <n v="22140.52"/>
    <n v="2"/>
    <n v="2650.56"/>
    <x v="11"/>
    <x v="1"/>
  </r>
  <r>
    <d v="2024-12-18T00:00:00"/>
    <x v="24"/>
    <x v="6"/>
    <x v="0"/>
    <x v="4"/>
    <x v="11"/>
    <s v="Philips Trimmer"/>
    <n v="2284.37"/>
    <n v="1"/>
    <n v="302.8"/>
    <x v="11"/>
    <x v="1"/>
  </r>
  <r>
    <d v="2024-12-18T00:00:00"/>
    <x v="18"/>
    <x v="10"/>
    <x v="0"/>
    <x v="1"/>
    <x v="1"/>
    <s v="Lenovo IdeaPad Slim 5"/>
    <n v="131787.81"/>
    <n v="2"/>
    <n v="13328.72"/>
    <x v="11"/>
    <x v="1"/>
  </r>
  <r>
    <d v="2024-12-19T00:00:00"/>
    <x v="23"/>
    <x v="13"/>
    <x v="0"/>
    <x v="4"/>
    <x v="6"/>
    <s v="Eureka Forbes Vacuum Cleaner"/>
    <n v="20607.73"/>
    <n v="2"/>
    <n v="4407.87"/>
    <x v="11"/>
    <x v="1"/>
  </r>
  <r>
    <d v="2024-12-19T00:00:00"/>
    <x v="18"/>
    <x v="0"/>
    <x v="0"/>
    <x v="4"/>
    <x v="11"/>
    <s v="Philips Trimmer"/>
    <n v="11836.84"/>
    <n v="5"/>
    <n v="2132.8000000000002"/>
    <x v="11"/>
    <x v="1"/>
  </r>
  <r>
    <d v="2024-12-21T00:00:00"/>
    <x v="1"/>
    <x v="8"/>
    <x v="0"/>
    <x v="1"/>
    <x v="5"/>
    <s v="HP 24 inch Monitor"/>
    <n v="10433.32"/>
    <n v="1"/>
    <n v="1059.55"/>
    <x v="11"/>
    <x v="1"/>
  </r>
  <r>
    <d v="2024-12-22T00:00:00"/>
    <x v="5"/>
    <x v="9"/>
    <x v="0"/>
    <x v="4"/>
    <x v="6"/>
    <s v="Eureka Forbes Vacuum Cleaner"/>
    <n v="43312.33"/>
    <n v="4"/>
    <n v="-535.66999999999996"/>
    <x v="11"/>
    <x v="1"/>
  </r>
  <r>
    <d v="2024-12-22T00:00:00"/>
    <x v="6"/>
    <x v="1"/>
    <x v="0"/>
    <x v="4"/>
    <x v="11"/>
    <s v="Braun Electric Shaver"/>
    <n v="5113.8"/>
    <n v="1"/>
    <n v="681.13"/>
    <x v="11"/>
    <x v="1"/>
  </r>
  <r>
    <d v="2024-12-23T00:00:00"/>
    <x v="0"/>
    <x v="5"/>
    <x v="0"/>
    <x v="3"/>
    <x v="4"/>
    <s v="IFB 7kg Front Load Washing Machine"/>
    <n v="57951.34"/>
    <n v="2"/>
    <n v="7143.8"/>
    <x v="11"/>
    <x v="1"/>
  </r>
  <r>
    <d v="2024-12-23T00:00:00"/>
    <x v="4"/>
    <x v="0"/>
    <x v="0"/>
    <x v="1"/>
    <x v="1"/>
    <s v="HP Pavilion 15 Laptop"/>
    <n v="115997.46"/>
    <n v="2"/>
    <n v="11646.97"/>
    <x v="11"/>
    <x v="1"/>
  </r>
  <r>
    <d v="2024-12-24T00:00:00"/>
    <x v="10"/>
    <x v="0"/>
    <x v="0"/>
    <x v="2"/>
    <x v="3"/>
    <s v="Sony Bluetooth Soundbar"/>
    <n v="41066.65"/>
    <n v="2"/>
    <n v="4207.37"/>
    <x v="11"/>
    <x v="1"/>
  </r>
  <r>
    <d v="2024-12-25T00:00:00"/>
    <x v="19"/>
    <x v="5"/>
    <x v="0"/>
    <x v="2"/>
    <x v="8"/>
    <s v="OnePlus 43 inch 4K Smart TV"/>
    <n v="28754.75"/>
    <n v="1"/>
    <n v="5023.92"/>
    <x v="11"/>
    <x v="1"/>
  </r>
  <r>
    <d v="2024-12-26T00:00:00"/>
    <x v="28"/>
    <x v="12"/>
    <x v="0"/>
    <x v="0"/>
    <x v="0"/>
    <s v="Apple 20W USB-C Power Adapter"/>
    <n v="1970.98"/>
    <n v="1"/>
    <n v="173.79"/>
    <x v="11"/>
    <x v="1"/>
  </r>
  <r>
    <d v="2024-12-26T00:00:00"/>
    <x v="6"/>
    <x v="4"/>
    <x v="0"/>
    <x v="4"/>
    <x v="11"/>
    <s v="Philips Hair Dryer"/>
    <n v="1776.03"/>
    <n v="1"/>
    <n v="252.82"/>
    <x v="11"/>
    <x v="1"/>
  </r>
  <r>
    <d v="2024-12-26T00:00:00"/>
    <x v="7"/>
    <x v="11"/>
    <x v="0"/>
    <x v="0"/>
    <x v="0"/>
    <s v="JBL Bluetooth Earbuds"/>
    <n v="5992.37"/>
    <n v="2"/>
    <n v="542.36"/>
    <x v="11"/>
    <x v="1"/>
  </r>
  <r>
    <d v="2024-12-27T00:00:00"/>
    <x v="9"/>
    <x v="12"/>
    <x v="0"/>
    <x v="2"/>
    <x v="8"/>
    <s v="TCL 50 inch 4K Smart TV"/>
    <n v="35370.870000000003"/>
    <n v="1"/>
    <n v="3266.91"/>
    <x v="11"/>
    <x v="1"/>
  </r>
  <r>
    <d v="2024-12-28T00:00:00"/>
    <x v="10"/>
    <x v="0"/>
    <x v="0"/>
    <x v="2"/>
    <x v="3"/>
    <s v="Sony Bluetooth Soundbar"/>
    <n v="42075.07"/>
    <n v="2"/>
    <n v="7112.38"/>
    <x v="11"/>
    <x v="1"/>
  </r>
  <r>
    <d v="2024-12-30T00:00:00"/>
    <x v="11"/>
    <x v="6"/>
    <x v="0"/>
    <x v="0"/>
    <x v="2"/>
    <s v="Apple iPhone 15"/>
    <n v="123105.60000000001"/>
    <n v="2"/>
    <n v="14187.23"/>
    <x v="11"/>
    <x v="1"/>
  </r>
  <r>
    <d v="2025-01-02T00:00:00"/>
    <x v="26"/>
    <x v="3"/>
    <x v="0"/>
    <x v="4"/>
    <x v="6"/>
    <s v="Philips Air Purifier"/>
    <n v="12345.44"/>
    <n v="1"/>
    <n v="-549.36"/>
    <x v="0"/>
    <x v="2"/>
  </r>
  <r>
    <d v="2025-01-02T00:00:00"/>
    <x v="14"/>
    <x v="10"/>
    <x v="0"/>
    <x v="3"/>
    <x v="7"/>
    <s v="Morphy Richards OTG"/>
    <n v="27505.4"/>
    <n v="4"/>
    <n v="-1751.38"/>
    <x v="0"/>
    <x v="2"/>
  </r>
  <r>
    <d v="2025-01-03T00:00:00"/>
    <x v="5"/>
    <x v="14"/>
    <x v="0"/>
    <x v="2"/>
    <x v="3"/>
    <s v="JBL 5.1 Soundbar"/>
    <n v="66890.679999999993"/>
    <n v="2"/>
    <n v="10568.92"/>
    <x v="0"/>
    <x v="2"/>
  </r>
  <r>
    <d v="2025-01-04T00:00:00"/>
    <x v="3"/>
    <x v="12"/>
    <x v="0"/>
    <x v="1"/>
    <x v="1"/>
    <s v="HP Pavilion 15 Laptop"/>
    <n v="221393.79"/>
    <n v="4"/>
    <n v="17527.16"/>
    <x v="0"/>
    <x v="2"/>
  </r>
  <r>
    <d v="2025-01-04T00:00:00"/>
    <x v="19"/>
    <x v="0"/>
    <x v="0"/>
    <x v="2"/>
    <x v="8"/>
    <s v="Sony 55 inch Bravia 4K TV"/>
    <n v="83032.679999999993"/>
    <n v="1"/>
    <n v="8790.27"/>
    <x v="0"/>
    <x v="2"/>
  </r>
  <r>
    <d v="2025-01-05T00:00:00"/>
    <x v="24"/>
    <x v="0"/>
    <x v="0"/>
    <x v="1"/>
    <x v="1"/>
    <s v="ASUS Vivobook 15"/>
    <n v="49388.32"/>
    <n v="1"/>
    <n v="6844.23"/>
    <x v="0"/>
    <x v="2"/>
  </r>
  <r>
    <d v="2025-01-05T00:00:00"/>
    <x v="22"/>
    <x v="14"/>
    <x v="0"/>
    <x v="2"/>
    <x v="3"/>
    <s v="Sony Bluetooth Soundbar"/>
    <n v="21719.05"/>
    <n v="1"/>
    <n v="2022.49"/>
    <x v="0"/>
    <x v="2"/>
  </r>
  <r>
    <d v="2025-01-05T00:00:00"/>
    <x v="17"/>
    <x v="4"/>
    <x v="0"/>
    <x v="1"/>
    <x v="5"/>
    <s v="Logitech Wireless Keyboard"/>
    <n v="4135.3999999999996"/>
    <n v="2"/>
    <n v="326.97000000000003"/>
    <x v="0"/>
    <x v="2"/>
  </r>
  <r>
    <d v="2025-01-06T00:00:00"/>
    <x v="9"/>
    <x v="12"/>
    <x v="0"/>
    <x v="2"/>
    <x v="3"/>
    <s v="Sony Wireless Headphones"/>
    <n v="8894.19"/>
    <n v="1"/>
    <n v="1097.04"/>
    <x v="0"/>
    <x v="2"/>
  </r>
  <r>
    <d v="2025-01-07T00:00:00"/>
    <x v="23"/>
    <x v="3"/>
    <x v="0"/>
    <x v="0"/>
    <x v="0"/>
    <s v="boAt Wireless Earphones"/>
    <n v="1675.72"/>
    <n v="1"/>
    <n v="247.83"/>
    <x v="0"/>
    <x v="2"/>
  </r>
  <r>
    <d v="2025-01-07T00:00:00"/>
    <x v="17"/>
    <x v="12"/>
    <x v="0"/>
    <x v="1"/>
    <x v="5"/>
    <s v="HP 24 inch Monitor"/>
    <n v="23288.03"/>
    <n v="2"/>
    <n v="1734.05"/>
    <x v="0"/>
    <x v="2"/>
  </r>
  <r>
    <d v="2025-01-08T00:00:00"/>
    <x v="21"/>
    <x v="12"/>
    <x v="0"/>
    <x v="0"/>
    <x v="0"/>
    <s v="Portronics Power Bank 20000mAh"/>
    <n v="4910.75"/>
    <n v="2"/>
    <n v="386.11"/>
    <x v="0"/>
    <x v="2"/>
  </r>
  <r>
    <d v="2025-01-08T00:00:00"/>
    <x v="2"/>
    <x v="14"/>
    <x v="0"/>
    <x v="4"/>
    <x v="6"/>
    <s v="Philips Air Purifier"/>
    <n v="37028.120000000003"/>
    <n v="3"/>
    <n v="3748.45"/>
    <x v="0"/>
    <x v="2"/>
  </r>
  <r>
    <d v="2025-01-10T00:00:00"/>
    <x v="20"/>
    <x v="7"/>
    <x v="0"/>
    <x v="2"/>
    <x v="3"/>
    <s v="Sony Bluetooth Soundbar"/>
    <n v="49782.47"/>
    <n v="2"/>
    <n v="4348.88"/>
    <x v="0"/>
    <x v="2"/>
  </r>
  <r>
    <d v="2025-01-11T00:00:00"/>
    <x v="19"/>
    <x v="5"/>
    <x v="0"/>
    <x v="0"/>
    <x v="0"/>
    <s v="Portronics Power Bank 20000mAh"/>
    <n v="2222.31"/>
    <n v="1"/>
    <n v="278.79000000000002"/>
    <x v="0"/>
    <x v="2"/>
  </r>
  <r>
    <d v="2025-01-14T00:00:00"/>
    <x v="1"/>
    <x v="8"/>
    <x v="0"/>
    <x v="0"/>
    <x v="2"/>
    <s v="Nothing Phone 2"/>
    <n v="42234.07"/>
    <n v="1"/>
    <n v="5688.49"/>
    <x v="0"/>
    <x v="2"/>
  </r>
  <r>
    <d v="2025-01-14T00:00:00"/>
    <x v="15"/>
    <x v="10"/>
    <x v="0"/>
    <x v="3"/>
    <x v="4"/>
    <s v="Samsung 8kg Front Load Washing Machine"/>
    <n v="116045.15"/>
    <n v="3"/>
    <n v="9291.08"/>
    <x v="0"/>
    <x v="2"/>
  </r>
  <r>
    <d v="2025-01-15T00:00:00"/>
    <x v="16"/>
    <x v="2"/>
    <x v="0"/>
    <x v="1"/>
    <x v="5"/>
    <s v="Dell 27 inch Monitor"/>
    <n v="50008.18"/>
    <n v="3"/>
    <n v="3762.44"/>
    <x v="0"/>
    <x v="2"/>
  </r>
  <r>
    <d v="2025-01-17T00:00:00"/>
    <x v="4"/>
    <x v="4"/>
    <x v="0"/>
    <x v="2"/>
    <x v="8"/>
    <s v="Samsung 55 inch 4K Smart TV"/>
    <n v="63208.480000000003"/>
    <n v="1"/>
    <n v="7968.08"/>
    <x v="0"/>
    <x v="2"/>
  </r>
  <r>
    <d v="2025-01-18T00:00:00"/>
    <x v="22"/>
    <x v="9"/>
    <x v="0"/>
    <x v="2"/>
    <x v="3"/>
    <s v="Sony Bluetooth Soundbar"/>
    <n v="24373.58"/>
    <n v="1"/>
    <n v="2761.63"/>
    <x v="0"/>
    <x v="2"/>
  </r>
  <r>
    <d v="2025-01-18T00:00:00"/>
    <x v="24"/>
    <x v="4"/>
    <x v="0"/>
    <x v="0"/>
    <x v="0"/>
    <s v="boAt Wireless Earphones"/>
    <n v="8634.1"/>
    <n v="5"/>
    <n v="833.41"/>
    <x v="0"/>
    <x v="2"/>
  </r>
  <r>
    <d v="2025-01-18T00:00:00"/>
    <x v="16"/>
    <x v="14"/>
    <x v="0"/>
    <x v="1"/>
    <x v="5"/>
    <s v="TP-Link Wi-Fi Router"/>
    <n v="5167.0200000000004"/>
    <n v="2"/>
    <n v="449.15"/>
    <x v="0"/>
    <x v="2"/>
  </r>
  <r>
    <d v="2025-01-21T00:00:00"/>
    <x v="4"/>
    <x v="1"/>
    <x v="0"/>
    <x v="3"/>
    <x v="7"/>
    <s v="Prestige Induction Cooktop"/>
    <n v="2812.09"/>
    <n v="1"/>
    <n v="313.24"/>
    <x v="0"/>
    <x v="2"/>
  </r>
  <r>
    <d v="2025-01-23T00:00:00"/>
    <x v="22"/>
    <x v="5"/>
    <x v="0"/>
    <x v="4"/>
    <x v="11"/>
    <s v="Braun Electric Shaver"/>
    <n v="22725.360000000001"/>
    <n v="4"/>
    <n v="2837.03"/>
    <x v="0"/>
    <x v="2"/>
  </r>
  <r>
    <d v="2025-01-23T00:00:00"/>
    <x v="4"/>
    <x v="4"/>
    <x v="0"/>
    <x v="0"/>
    <x v="2"/>
    <s v="Google Pixel 8"/>
    <n v="55779.7"/>
    <n v="1"/>
    <n v="4244.45"/>
    <x v="0"/>
    <x v="2"/>
  </r>
  <r>
    <d v="2025-01-24T00:00:00"/>
    <x v="25"/>
    <x v="8"/>
    <x v="0"/>
    <x v="4"/>
    <x v="6"/>
    <s v="Philips Air Purifier"/>
    <n v="52608.22"/>
    <n v="4"/>
    <n v="7042.73"/>
    <x v="0"/>
    <x v="2"/>
  </r>
  <r>
    <d v="2025-01-24T00:00:00"/>
    <x v="7"/>
    <x v="5"/>
    <x v="0"/>
    <x v="3"/>
    <x v="9"/>
    <s v="LG 260L Double Door Refrigerator"/>
    <n v="59728.17"/>
    <n v="2"/>
    <n v="10937.55"/>
    <x v="0"/>
    <x v="2"/>
  </r>
  <r>
    <d v="2025-01-26T00:00:00"/>
    <x v="8"/>
    <x v="1"/>
    <x v="0"/>
    <x v="3"/>
    <x v="7"/>
    <s v="Prestige Induction Cooktop"/>
    <n v="5310.85"/>
    <n v="2"/>
    <n v="1059.95"/>
    <x v="0"/>
    <x v="2"/>
  </r>
  <r>
    <d v="2025-01-26T00:00:00"/>
    <x v="15"/>
    <x v="12"/>
    <x v="0"/>
    <x v="1"/>
    <x v="5"/>
    <s v="Logitech Wireless Keyboard"/>
    <n v="4837.21"/>
    <n v="2"/>
    <n v="-158.29"/>
    <x v="0"/>
    <x v="2"/>
  </r>
  <r>
    <d v="2025-01-26T00:00:00"/>
    <x v="24"/>
    <x v="8"/>
    <x v="0"/>
    <x v="0"/>
    <x v="2"/>
    <s v="Google Pixel 8"/>
    <n v="57341.06"/>
    <n v="1"/>
    <n v="8315.14"/>
    <x v="0"/>
    <x v="2"/>
  </r>
  <r>
    <d v="2025-01-27T00:00:00"/>
    <x v="18"/>
    <x v="9"/>
    <x v="0"/>
    <x v="3"/>
    <x v="4"/>
    <s v="IFB 7kg Front Load Washing Machine"/>
    <n v="31414.37"/>
    <n v="1"/>
    <n v="5707.49"/>
    <x v="0"/>
    <x v="2"/>
  </r>
  <r>
    <d v="2025-01-27T00:00:00"/>
    <x v="5"/>
    <x v="14"/>
    <x v="0"/>
    <x v="4"/>
    <x v="11"/>
    <s v="Braun Electric Shaver"/>
    <n v="5627.71"/>
    <n v="1"/>
    <n v="856.58"/>
    <x v="0"/>
    <x v="2"/>
  </r>
  <r>
    <d v="2025-01-27T00:00:00"/>
    <x v="24"/>
    <x v="4"/>
    <x v="0"/>
    <x v="3"/>
    <x v="9"/>
    <s v="LG 260L Double Door Refrigerator"/>
    <n v="27815.19"/>
    <n v="1"/>
    <n v="5477.59"/>
    <x v="0"/>
    <x v="2"/>
  </r>
  <r>
    <d v="2025-01-27T00:00:00"/>
    <x v="12"/>
    <x v="5"/>
    <x v="0"/>
    <x v="0"/>
    <x v="0"/>
    <s v="JBL Bluetooth Earbuds"/>
    <n v="2658.96"/>
    <n v="1"/>
    <n v="179.55"/>
    <x v="0"/>
    <x v="2"/>
  </r>
  <r>
    <d v="2025-01-28T00:00:00"/>
    <x v="26"/>
    <x v="8"/>
    <x v="0"/>
    <x v="3"/>
    <x v="4"/>
    <s v="Samsung 8kg Front Load Washing Machine"/>
    <n v="35054.339999999997"/>
    <n v="1"/>
    <n v="5094.6499999999996"/>
    <x v="0"/>
    <x v="2"/>
  </r>
  <r>
    <d v="2025-01-28T00:00:00"/>
    <x v="3"/>
    <x v="9"/>
    <x v="0"/>
    <x v="0"/>
    <x v="2"/>
    <s v="Apple iPhone 15"/>
    <n v="62819.96"/>
    <n v="1"/>
    <n v="8369.73"/>
    <x v="0"/>
    <x v="2"/>
  </r>
  <r>
    <d v="2025-01-29T00:00:00"/>
    <x v="11"/>
    <x v="2"/>
    <x v="0"/>
    <x v="4"/>
    <x v="11"/>
    <s v="Braun Electric Shaver"/>
    <n v="5815.57"/>
    <n v="1"/>
    <n v="982.82"/>
    <x v="0"/>
    <x v="2"/>
  </r>
  <r>
    <d v="2025-01-30T00:00:00"/>
    <x v="19"/>
    <x v="5"/>
    <x v="0"/>
    <x v="1"/>
    <x v="5"/>
    <s v="Dell 27 inch Monitor"/>
    <n v="17861.39"/>
    <n v="1"/>
    <n v="2584.12"/>
    <x v="0"/>
    <x v="2"/>
  </r>
  <r>
    <d v="2025-01-31T00:00:00"/>
    <x v="0"/>
    <x v="4"/>
    <x v="0"/>
    <x v="1"/>
    <x v="1"/>
    <s v="Apple MacBook Air M2"/>
    <n v="84022.11"/>
    <n v="1"/>
    <n v="6977.91"/>
    <x v="0"/>
    <x v="2"/>
  </r>
  <r>
    <d v="2025-02-01T00:00:00"/>
    <x v="24"/>
    <x v="4"/>
    <x v="0"/>
    <x v="4"/>
    <x v="11"/>
    <s v="Philips Trimmer"/>
    <n v="7070.08"/>
    <n v="3"/>
    <n v="1486.77"/>
    <x v="1"/>
    <x v="2"/>
  </r>
  <r>
    <d v="2025-02-02T00:00:00"/>
    <x v="4"/>
    <x v="9"/>
    <x v="0"/>
    <x v="4"/>
    <x v="11"/>
    <s v="Braun Electric Shaver"/>
    <n v="21569.93"/>
    <n v="4"/>
    <n v="4180.29"/>
    <x v="1"/>
    <x v="2"/>
  </r>
  <r>
    <d v="2025-02-02T00:00:00"/>
    <x v="22"/>
    <x v="8"/>
    <x v="0"/>
    <x v="3"/>
    <x v="10"/>
    <s v="LG 1.5 Ton 5 Star Split AC"/>
    <n v="43738.38"/>
    <n v="1"/>
    <n v="4659.6099999999997"/>
    <x v="1"/>
    <x v="2"/>
  </r>
  <r>
    <d v="2025-02-03T00:00:00"/>
    <x v="20"/>
    <x v="7"/>
    <x v="0"/>
    <x v="1"/>
    <x v="5"/>
    <s v="Logitech Wireless Keyboard"/>
    <n v="7049.54"/>
    <n v="3"/>
    <n v="-500.81"/>
    <x v="1"/>
    <x v="2"/>
  </r>
  <r>
    <d v="2025-02-04T00:00:00"/>
    <x v="27"/>
    <x v="13"/>
    <x v="0"/>
    <x v="4"/>
    <x v="6"/>
    <s v="Philips Air Purifier"/>
    <n v="38287.07"/>
    <n v="3"/>
    <n v="7912.42"/>
    <x v="1"/>
    <x v="2"/>
  </r>
  <r>
    <d v="2025-02-05T00:00:00"/>
    <x v="15"/>
    <x v="1"/>
    <x v="0"/>
    <x v="0"/>
    <x v="2"/>
    <s v="Apple iPhone 15"/>
    <n v="63372.2"/>
    <n v="1"/>
    <n v="-2906.14"/>
    <x v="1"/>
    <x v="2"/>
  </r>
  <r>
    <d v="2025-02-05T00:00:00"/>
    <x v="21"/>
    <x v="8"/>
    <x v="0"/>
    <x v="2"/>
    <x v="3"/>
    <s v="Sony Bluetooth Soundbar"/>
    <n v="21900.7"/>
    <n v="1"/>
    <n v="3282.43"/>
    <x v="1"/>
    <x v="2"/>
  </r>
  <r>
    <d v="2025-02-05T00:00:00"/>
    <x v="5"/>
    <x v="3"/>
    <x v="0"/>
    <x v="2"/>
    <x v="8"/>
    <s v="LG 55 inch OLED Smart TV"/>
    <n v="165598.74"/>
    <n v="2"/>
    <n v="20269.55"/>
    <x v="1"/>
    <x v="2"/>
  </r>
  <r>
    <d v="2025-02-06T00:00:00"/>
    <x v="0"/>
    <x v="11"/>
    <x v="0"/>
    <x v="1"/>
    <x v="1"/>
    <s v="Lenovo IdeaPad Slim 5"/>
    <n v="198918.09"/>
    <n v="3"/>
    <n v="19630.82"/>
    <x v="1"/>
    <x v="2"/>
  </r>
  <r>
    <d v="2025-02-06T00:00:00"/>
    <x v="23"/>
    <x v="3"/>
    <x v="0"/>
    <x v="2"/>
    <x v="8"/>
    <s v="OnePlus 43 inch 4K Smart TV"/>
    <n v="54217.88"/>
    <n v="2"/>
    <n v="9627.8700000000008"/>
    <x v="1"/>
    <x v="2"/>
  </r>
  <r>
    <d v="2025-02-07T00:00:00"/>
    <x v="5"/>
    <x v="13"/>
    <x v="0"/>
    <x v="0"/>
    <x v="2"/>
    <s v="OnePlus 12"/>
    <n v="115638.93"/>
    <n v="2"/>
    <n v="-8785.2000000000007"/>
    <x v="1"/>
    <x v="2"/>
  </r>
  <r>
    <d v="2025-02-07T00:00:00"/>
    <x v="22"/>
    <x v="1"/>
    <x v="0"/>
    <x v="1"/>
    <x v="5"/>
    <s v="Dell 27 inch Monitor"/>
    <n v="17632.669999999998"/>
    <n v="1"/>
    <n v="2514.9699999999998"/>
    <x v="1"/>
    <x v="2"/>
  </r>
  <r>
    <d v="2025-02-07T00:00:00"/>
    <x v="21"/>
    <x v="8"/>
    <x v="0"/>
    <x v="2"/>
    <x v="3"/>
    <s v="Sony Bluetooth Soundbar"/>
    <n v="23194.42"/>
    <n v="1"/>
    <n v="2332.5100000000002"/>
    <x v="1"/>
    <x v="2"/>
  </r>
  <r>
    <d v="2025-02-09T00:00:00"/>
    <x v="23"/>
    <x v="13"/>
    <x v="0"/>
    <x v="1"/>
    <x v="1"/>
    <s v="Dell Inspiron 15 Laptop"/>
    <n v="112922.18"/>
    <n v="2"/>
    <n v="-9009.74"/>
    <x v="1"/>
    <x v="2"/>
  </r>
  <r>
    <d v="2025-02-09T00:00:00"/>
    <x v="25"/>
    <x v="8"/>
    <x v="0"/>
    <x v="2"/>
    <x v="8"/>
    <s v="TCL 50 inch 4K Smart TV"/>
    <n v="37085.410000000003"/>
    <n v="1"/>
    <n v="3462.02"/>
    <x v="1"/>
    <x v="2"/>
  </r>
  <r>
    <d v="2025-02-11T00:00:00"/>
    <x v="28"/>
    <x v="8"/>
    <x v="0"/>
    <x v="4"/>
    <x v="6"/>
    <s v="Philips Air Purifier"/>
    <n v="13623.06"/>
    <n v="1"/>
    <n v="3117.7"/>
    <x v="1"/>
    <x v="2"/>
  </r>
  <r>
    <d v="2025-02-11T00:00:00"/>
    <x v="22"/>
    <x v="12"/>
    <x v="0"/>
    <x v="3"/>
    <x v="10"/>
    <s v="Daikin 1.5 Ton Inverter AC"/>
    <n v="141413.47"/>
    <n v="3"/>
    <n v="12640.1"/>
    <x v="1"/>
    <x v="2"/>
  </r>
  <r>
    <d v="2025-02-12T00:00:00"/>
    <x v="6"/>
    <x v="4"/>
    <x v="0"/>
    <x v="1"/>
    <x v="5"/>
    <s v="HP 24 inch Monitor"/>
    <n v="10715.66"/>
    <n v="1"/>
    <n v="887.47"/>
    <x v="1"/>
    <x v="2"/>
  </r>
  <r>
    <d v="2025-02-12T00:00:00"/>
    <x v="19"/>
    <x v="13"/>
    <x v="0"/>
    <x v="2"/>
    <x v="8"/>
    <s v="Sony 55 inch Bravia 4K TV"/>
    <n v="164088.5"/>
    <n v="2"/>
    <n v="25902.18"/>
    <x v="1"/>
    <x v="2"/>
  </r>
  <r>
    <d v="2025-02-14T00:00:00"/>
    <x v="16"/>
    <x v="1"/>
    <x v="0"/>
    <x v="3"/>
    <x v="9"/>
    <s v="Samsung 253L Refrigerator"/>
    <n v="85984.320000000007"/>
    <n v="3"/>
    <n v="14702.39"/>
    <x v="1"/>
    <x v="2"/>
  </r>
  <r>
    <d v="2025-02-15T00:00:00"/>
    <x v="8"/>
    <x v="13"/>
    <x v="0"/>
    <x v="2"/>
    <x v="3"/>
    <s v="Sony Wireless Headphones"/>
    <n v="19978.54"/>
    <n v="2"/>
    <n v="2171.4899999999998"/>
    <x v="1"/>
    <x v="2"/>
  </r>
  <r>
    <d v="2025-02-15T00:00:00"/>
    <x v="15"/>
    <x v="6"/>
    <x v="0"/>
    <x v="3"/>
    <x v="10"/>
    <s v="LG 1.5 Ton 5 Star Split AC"/>
    <n v="38924.25"/>
    <n v="1"/>
    <n v="3357.23"/>
    <x v="1"/>
    <x v="2"/>
  </r>
  <r>
    <d v="2025-02-16T00:00:00"/>
    <x v="15"/>
    <x v="13"/>
    <x v="0"/>
    <x v="2"/>
    <x v="8"/>
    <s v="OnePlus 43 inch 4K Smart TV"/>
    <n v="29317.06"/>
    <n v="1"/>
    <n v="4872.1899999999996"/>
    <x v="1"/>
    <x v="2"/>
  </r>
  <r>
    <d v="2025-02-16T00:00:00"/>
    <x v="21"/>
    <x v="4"/>
    <x v="0"/>
    <x v="0"/>
    <x v="0"/>
    <s v="Samsung 25W Charger"/>
    <n v="1438.48"/>
    <n v="1"/>
    <n v="122.34"/>
    <x v="1"/>
    <x v="2"/>
  </r>
  <r>
    <d v="2025-02-17T00:00:00"/>
    <x v="28"/>
    <x v="6"/>
    <x v="0"/>
    <x v="4"/>
    <x v="6"/>
    <s v="Eureka Forbes Vacuum Cleaner"/>
    <n v="23643.63"/>
    <n v="2"/>
    <n v="2874.85"/>
    <x v="1"/>
    <x v="2"/>
  </r>
  <r>
    <d v="2025-02-17T00:00:00"/>
    <x v="24"/>
    <x v="13"/>
    <x v="0"/>
    <x v="0"/>
    <x v="0"/>
    <s v="Apple 20W USB-C Power Adapter"/>
    <n v="3861.37"/>
    <n v="2"/>
    <n v="366.57"/>
    <x v="1"/>
    <x v="2"/>
  </r>
  <r>
    <d v="2025-02-18T00:00:00"/>
    <x v="13"/>
    <x v="10"/>
    <x v="0"/>
    <x v="3"/>
    <x v="9"/>
    <s v="Whirlpool 265L Frost Free Refrigerator"/>
    <n v="27523.56"/>
    <n v="1"/>
    <n v="5101"/>
    <x v="1"/>
    <x v="2"/>
  </r>
  <r>
    <d v="2025-02-19T00:00:00"/>
    <x v="7"/>
    <x v="14"/>
    <x v="0"/>
    <x v="3"/>
    <x v="9"/>
    <s v="Samsung 253L Refrigerator"/>
    <n v="106907.35"/>
    <n v="4"/>
    <n v="13850.08"/>
    <x v="1"/>
    <x v="2"/>
  </r>
  <r>
    <d v="2025-02-21T00:00:00"/>
    <x v="18"/>
    <x v="9"/>
    <x v="0"/>
    <x v="4"/>
    <x v="6"/>
    <s v="Dyson V8 Vacuum Cleaner"/>
    <n v="33267.11"/>
    <n v="1"/>
    <n v="4611.92"/>
    <x v="1"/>
    <x v="2"/>
  </r>
  <r>
    <d v="2025-02-22T00:00:00"/>
    <x v="26"/>
    <x v="0"/>
    <x v="0"/>
    <x v="3"/>
    <x v="10"/>
    <s v="Daikin 1.5 Ton Inverter AC"/>
    <n v="125788.77"/>
    <n v="3"/>
    <n v="21456.11"/>
    <x v="1"/>
    <x v="2"/>
  </r>
  <r>
    <d v="2025-02-23T00:00:00"/>
    <x v="0"/>
    <x v="7"/>
    <x v="0"/>
    <x v="3"/>
    <x v="9"/>
    <s v="Samsung 253L Refrigerator"/>
    <n v="55858.31"/>
    <n v="2"/>
    <n v="9907.5400000000009"/>
    <x v="1"/>
    <x v="2"/>
  </r>
  <r>
    <d v="2025-02-23T00:00:00"/>
    <x v="17"/>
    <x v="5"/>
    <x v="0"/>
    <x v="4"/>
    <x v="6"/>
    <s v="Philips Air Purifier"/>
    <n v="39558.78"/>
    <n v="3"/>
    <n v="6577.71"/>
    <x v="1"/>
    <x v="2"/>
  </r>
  <r>
    <d v="2025-02-24T00:00:00"/>
    <x v="23"/>
    <x v="4"/>
    <x v="0"/>
    <x v="0"/>
    <x v="2"/>
    <s v="Apple iPhone 15"/>
    <n v="58146.18"/>
    <n v="1"/>
    <n v="6577.13"/>
    <x v="1"/>
    <x v="2"/>
  </r>
  <r>
    <d v="2025-02-25T00:00:00"/>
    <x v="16"/>
    <x v="12"/>
    <x v="0"/>
    <x v="1"/>
    <x v="1"/>
    <s v="Dell Inspiron 15 Laptop"/>
    <n v="58095.43"/>
    <n v="1"/>
    <n v="7281.66"/>
    <x v="1"/>
    <x v="2"/>
  </r>
  <r>
    <d v="2025-02-25T00:00:00"/>
    <x v="13"/>
    <x v="6"/>
    <x v="0"/>
    <x v="4"/>
    <x v="11"/>
    <s v="Philips Trimmer"/>
    <n v="4958.5"/>
    <n v="2"/>
    <n v="614.48"/>
    <x v="1"/>
    <x v="2"/>
  </r>
  <r>
    <d v="2025-02-25T00:00:00"/>
    <x v="15"/>
    <x v="4"/>
    <x v="0"/>
    <x v="2"/>
    <x v="8"/>
    <s v="LG 55 inch OLED Smart TV"/>
    <n v="194639.45"/>
    <n v="2"/>
    <n v="15806.02"/>
    <x v="1"/>
    <x v="2"/>
  </r>
  <r>
    <d v="2025-02-26T00:00:00"/>
    <x v="27"/>
    <x v="5"/>
    <x v="0"/>
    <x v="2"/>
    <x v="3"/>
    <s v="Sony Wireless Headphones"/>
    <n v="32979.449999999997"/>
    <n v="4"/>
    <n v="4131.82"/>
    <x v="1"/>
    <x v="2"/>
  </r>
  <r>
    <d v="2025-02-26T00:00:00"/>
    <x v="20"/>
    <x v="12"/>
    <x v="0"/>
    <x v="4"/>
    <x v="6"/>
    <s v="Philips Air Purifier"/>
    <n v="59339.81"/>
    <n v="4"/>
    <n v="12360.79"/>
    <x v="1"/>
    <x v="2"/>
  </r>
  <r>
    <d v="2025-02-26T00:00:00"/>
    <x v="25"/>
    <x v="2"/>
    <x v="0"/>
    <x v="1"/>
    <x v="5"/>
    <s v="Logitech Wireless Mouse"/>
    <n v="1263.52"/>
    <n v="1"/>
    <n v="-69.98"/>
    <x v="1"/>
    <x v="2"/>
  </r>
  <r>
    <d v="2025-02-27T00:00:00"/>
    <x v="29"/>
    <x v="13"/>
    <x v="0"/>
    <x v="1"/>
    <x v="1"/>
    <s v="Lenovo IdeaPad Slim 5"/>
    <n v="64688.26"/>
    <n v="1"/>
    <n v="10648.31"/>
    <x v="1"/>
    <x v="2"/>
  </r>
  <r>
    <d v="2025-02-27T00:00:00"/>
    <x v="7"/>
    <x v="7"/>
    <x v="0"/>
    <x v="1"/>
    <x v="1"/>
    <s v="Lenovo IdeaPad Slim 5"/>
    <n v="312870.78000000003"/>
    <n v="5"/>
    <n v="23176.62"/>
    <x v="1"/>
    <x v="2"/>
  </r>
  <r>
    <d v="2025-02-28T00:00:00"/>
    <x v="11"/>
    <x v="1"/>
    <x v="0"/>
    <x v="4"/>
    <x v="11"/>
    <s v="Braun Electric Shaver"/>
    <n v="5301.43"/>
    <n v="1"/>
    <n v="1036.3399999999999"/>
    <x v="1"/>
    <x v="2"/>
  </r>
  <r>
    <d v="2025-03-01T00:00:00"/>
    <x v="15"/>
    <x v="1"/>
    <x v="0"/>
    <x v="1"/>
    <x v="1"/>
    <s v="Apple MacBook Air M2"/>
    <n v="279724.28999999998"/>
    <n v="3"/>
    <n v="42037.43"/>
    <x v="2"/>
    <x v="2"/>
  </r>
  <r>
    <d v="2025-03-02T00:00:00"/>
    <x v="17"/>
    <x v="9"/>
    <x v="0"/>
    <x v="3"/>
    <x v="7"/>
    <s v="Prestige Induction Cooktop"/>
    <n v="10874.74"/>
    <n v="4"/>
    <n v="1915.45"/>
    <x v="2"/>
    <x v="2"/>
  </r>
  <r>
    <d v="2025-03-04T00:00:00"/>
    <x v="5"/>
    <x v="10"/>
    <x v="0"/>
    <x v="3"/>
    <x v="10"/>
    <s v="LG 1.5 Ton 5 Star Split AC"/>
    <n v="42857.78"/>
    <n v="1"/>
    <n v="5820.38"/>
    <x v="2"/>
    <x v="2"/>
  </r>
  <r>
    <d v="2025-03-04T00:00:00"/>
    <x v="4"/>
    <x v="12"/>
    <x v="0"/>
    <x v="3"/>
    <x v="7"/>
    <s v="Bajaj Mixer Grinder"/>
    <n v="14503.03"/>
    <n v="3"/>
    <n v="1701.84"/>
    <x v="2"/>
    <x v="2"/>
  </r>
  <r>
    <d v="2025-03-05T00:00:00"/>
    <x v="12"/>
    <x v="0"/>
    <x v="0"/>
    <x v="4"/>
    <x v="6"/>
    <s v="Eureka Forbes Vacuum Cleaner"/>
    <n v="30742.19"/>
    <n v="3"/>
    <n v="5716.25"/>
    <x v="2"/>
    <x v="2"/>
  </r>
  <r>
    <d v="2025-03-06T00:00:00"/>
    <x v="6"/>
    <x v="12"/>
    <x v="0"/>
    <x v="4"/>
    <x v="11"/>
    <s v="Philips Trimmer"/>
    <n v="2293.0500000000002"/>
    <n v="1"/>
    <n v="284.69"/>
    <x v="2"/>
    <x v="2"/>
  </r>
  <r>
    <d v="2025-03-06T00:00:00"/>
    <x v="15"/>
    <x v="2"/>
    <x v="0"/>
    <x v="2"/>
    <x v="3"/>
    <s v="Sony Bluetooth Soundbar"/>
    <n v="23641.18"/>
    <n v="1"/>
    <n v="1991.9"/>
    <x v="2"/>
    <x v="2"/>
  </r>
  <r>
    <d v="2025-03-06T00:00:00"/>
    <x v="14"/>
    <x v="10"/>
    <x v="0"/>
    <x v="1"/>
    <x v="5"/>
    <s v="Dell 27 inch Monitor"/>
    <n v="17178.57"/>
    <n v="1"/>
    <n v="1625.1"/>
    <x v="2"/>
    <x v="2"/>
  </r>
  <r>
    <d v="2025-03-07T00:00:00"/>
    <x v="11"/>
    <x v="3"/>
    <x v="0"/>
    <x v="0"/>
    <x v="2"/>
    <s v="Samsung Galaxy S24"/>
    <n v="68249.08"/>
    <n v="1"/>
    <n v="8808.5400000000009"/>
    <x v="2"/>
    <x v="2"/>
  </r>
  <r>
    <d v="2025-03-07T00:00:00"/>
    <x v="4"/>
    <x v="8"/>
    <x v="0"/>
    <x v="0"/>
    <x v="2"/>
    <s v="OnePlus 12"/>
    <n v="63344.86"/>
    <n v="1"/>
    <n v="9275.89"/>
    <x v="2"/>
    <x v="2"/>
  </r>
  <r>
    <d v="2025-03-07T00:00:00"/>
    <x v="2"/>
    <x v="8"/>
    <x v="0"/>
    <x v="1"/>
    <x v="1"/>
    <s v="Apple MacBook Air M2"/>
    <n v="289814.75"/>
    <n v="3"/>
    <n v="22871.82"/>
    <x v="2"/>
    <x v="2"/>
  </r>
  <r>
    <d v="2025-03-08T00:00:00"/>
    <x v="5"/>
    <x v="10"/>
    <x v="0"/>
    <x v="4"/>
    <x v="6"/>
    <s v="Dyson V8 Vacuum Cleaner"/>
    <n v="66716.759999999995"/>
    <n v="2"/>
    <n v="13085.3"/>
    <x v="2"/>
    <x v="2"/>
  </r>
  <r>
    <d v="2025-03-09T00:00:00"/>
    <x v="23"/>
    <x v="2"/>
    <x v="0"/>
    <x v="3"/>
    <x v="4"/>
    <s v="Samsung 8kg Front Load Washing Machine"/>
    <n v="36852.769999999997"/>
    <n v="1"/>
    <n v="3076.58"/>
    <x v="2"/>
    <x v="2"/>
  </r>
  <r>
    <d v="2025-03-09T00:00:00"/>
    <x v="25"/>
    <x v="12"/>
    <x v="0"/>
    <x v="2"/>
    <x v="3"/>
    <s v="Sony Bluetooth Soundbar"/>
    <n v="23912.400000000001"/>
    <n v="1"/>
    <n v="3741.19"/>
    <x v="2"/>
    <x v="2"/>
  </r>
  <r>
    <d v="2025-03-10T00:00:00"/>
    <x v="15"/>
    <x v="9"/>
    <x v="0"/>
    <x v="1"/>
    <x v="5"/>
    <s v="TP-Link Wi-Fi Router"/>
    <n v="2617.02"/>
    <n v="1"/>
    <n v="384.96"/>
    <x v="2"/>
    <x v="2"/>
  </r>
  <r>
    <d v="2025-03-10T00:00:00"/>
    <x v="17"/>
    <x v="5"/>
    <x v="0"/>
    <x v="0"/>
    <x v="0"/>
    <s v="Apple 20W USB-C Power Adapter"/>
    <n v="3849.82"/>
    <n v="2"/>
    <n v="403.1"/>
    <x v="2"/>
    <x v="2"/>
  </r>
  <r>
    <d v="2025-03-13T00:00:00"/>
    <x v="3"/>
    <x v="10"/>
    <x v="0"/>
    <x v="0"/>
    <x v="2"/>
    <s v="Nothing Phone 2"/>
    <n v="124504.79"/>
    <n v="3"/>
    <n v="12128.23"/>
    <x v="2"/>
    <x v="2"/>
  </r>
  <r>
    <d v="2025-03-13T00:00:00"/>
    <x v="25"/>
    <x v="6"/>
    <x v="0"/>
    <x v="1"/>
    <x v="1"/>
    <s v="Lenovo IdeaPad Slim 5"/>
    <n v="66848.600000000006"/>
    <n v="1"/>
    <n v="7603.5"/>
    <x v="2"/>
    <x v="2"/>
  </r>
  <r>
    <d v="2025-03-15T00:00:00"/>
    <x v="1"/>
    <x v="7"/>
    <x v="0"/>
    <x v="1"/>
    <x v="5"/>
    <s v="Dell 27 inch Monitor"/>
    <n v="18734.7"/>
    <n v="1"/>
    <n v="1691.21"/>
    <x v="2"/>
    <x v="2"/>
  </r>
  <r>
    <d v="2025-03-16T00:00:00"/>
    <x v="22"/>
    <x v="11"/>
    <x v="0"/>
    <x v="2"/>
    <x v="8"/>
    <s v="OnePlus 43 inch 4K Smart TV"/>
    <n v="138674.13"/>
    <n v="5"/>
    <n v="23377.45"/>
    <x v="2"/>
    <x v="2"/>
  </r>
  <r>
    <d v="2025-03-17T00:00:00"/>
    <x v="26"/>
    <x v="2"/>
    <x v="0"/>
    <x v="1"/>
    <x v="1"/>
    <s v="ASUS Vivobook 15"/>
    <n v="139778.53"/>
    <n v="3"/>
    <n v="-5902.12"/>
    <x v="2"/>
    <x v="2"/>
  </r>
  <r>
    <d v="2025-03-18T00:00:00"/>
    <x v="28"/>
    <x v="5"/>
    <x v="0"/>
    <x v="4"/>
    <x v="11"/>
    <s v="Philips Trimmer"/>
    <n v="4880.41"/>
    <n v="2"/>
    <n v="687.33"/>
    <x v="2"/>
    <x v="2"/>
  </r>
  <r>
    <d v="2025-03-18T00:00:00"/>
    <x v="18"/>
    <x v="1"/>
    <x v="0"/>
    <x v="0"/>
    <x v="0"/>
    <s v="Samsung 25W Charger"/>
    <n v="2510.41"/>
    <n v="2"/>
    <n v="228.31"/>
    <x v="2"/>
    <x v="2"/>
  </r>
  <r>
    <d v="2025-03-20T00:00:00"/>
    <x v="9"/>
    <x v="5"/>
    <x v="0"/>
    <x v="2"/>
    <x v="8"/>
    <s v="Samsung 55 inch 4K Smart TV"/>
    <n v="252264.49"/>
    <n v="4"/>
    <n v="38499.06"/>
    <x v="2"/>
    <x v="2"/>
  </r>
  <r>
    <d v="2025-03-21T00:00:00"/>
    <x v="23"/>
    <x v="0"/>
    <x v="0"/>
    <x v="1"/>
    <x v="1"/>
    <s v="Lenovo IdeaPad Slim 5"/>
    <n v="201165.76"/>
    <n v="3"/>
    <n v="26819.919999999998"/>
    <x v="2"/>
    <x v="2"/>
  </r>
  <r>
    <d v="2025-03-21T00:00:00"/>
    <x v="24"/>
    <x v="3"/>
    <x v="0"/>
    <x v="1"/>
    <x v="5"/>
    <s v="HP 24 inch Monitor"/>
    <n v="11650.08"/>
    <n v="1"/>
    <n v="1920.74"/>
    <x v="2"/>
    <x v="2"/>
  </r>
  <r>
    <d v="2025-03-21T00:00:00"/>
    <x v="21"/>
    <x v="10"/>
    <x v="0"/>
    <x v="2"/>
    <x v="3"/>
    <s v="boAt Home Theatre System"/>
    <n v="37140.36"/>
    <n v="3"/>
    <n v="6085.39"/>
    <x v="2"/>
    <x v="2"/>
  </r>
  <r>
    <d v="2025-03-21T00:00:00"/>
    <x v="23"/>
    <x v="13"/>
    <x v="0"/>
    <x v="2"/>
    <x v="3"/>
    <s v="JBL 5.1 Soundbar"/>
    <n v="131608.53"/>
    <n v="4"/>
    <n v="13366.36"/>
    <x v="2"/>
    <x v="2"/>
  </r>
  <r>
    <d v="2025-03-23T00:00:00"/>
    <x v="22"/>
    <x v="10"/>
    <x v="0"/>
    <x v="0"/>
    <x v="0"/>
    <s v="boAt Wireless Earphones"/>
    <n v="3367.56"/>
    <n v="2"/>
    <n v="487.3"/>
    <x v="2"/>
    <x v="2"/>
  </r>
  <r>
    <d v="2025-03-24T00:00:00"/>
    <x v="4"/>
    <x v="8"/>
    <x v="0"/>
    <x v="2"/>
    <x v="3"/>
    <s v="Sony Bluetooth Soundbar"/>
    <n v="22435.19"/>
    <n v="1"/>
    <n v="2035.55"/>
    <x v="2"/>
    <x v="2"/>
  </r>
  <r>
    <d v="2025-03-25T00:00:00"/>
    <x v="12"/>
    <x v="4"/>
    <x v="0"/>
    <x v="4"/>
    <x v="11"/>
    <s v="Philips Hair Dryer"/>
    <n v="1815.75"/>
    <n v="1"/>
    <n v="324.56"/>
    <x v="2"/>
    <x v="2"/>
  </r>
  <r>
    <d v="2025-03-26T00:00:00"/>
    <x v="17"/>
    <x v="0"/>
    <x v="0"/>
    <x v="3"/>
    <x v="4"/>
    <s v="Samsung 8kg Front Load Washing Machine"/>
    <n v="34112.71"/>
    <n v="1"/>
    <n v="4337.51"/>
    <x v="2"/>
    <x v="2"/>
  </r>
  <r>
    <d v="2025-03-27T00:00:00"/>
    <x v="17"/>
    <x v="0"/>
    <x v="0"/>
    <x v="0"/>
    <x v="0"/>
    <s v="JBL Bluetooth Earbuds"/>
    <n v="5566.49"/>
    <n v="2"/>
    <n v="825.53"/>
    <x v="2"/>
    <x v="2"/>
  </r>
  <r>
    <d v="2025-04-01T00:00:00"/>
    <x v="6"/>
    <x v="12"/>
    <x v="0"/>
    <x v="4"/>
    <x v="6"/>
    <s v="Eureka Forbes Vacuum Cleaner"/>
    <n v="11204.36"/>
    <n v="1"/>
    <n v="2606.29"/>
    <x v="3"/>
    <x v="2"/>
  </r>
  <r>
    <d v="2025-04-02T00:00:00"/>
    <x v="13"/>
    <x v="7"/>
    <x v="0"/>
    <x v="2"/>
    <x v="8"/>
    <s v="OnePlus 43 inch 4K Smart TV"/>
    <n v="27133.7"/>
    <n v="1"/>
    <n v="4751.28"/>
    <x v="3"/>
    <x v="2"/>
  </r>
  <r>
    <d v="2025-04-02T00:00:00"/>
    <x v="27"/>
    <x v="6"/>
    <x v="0"/>
    <x v="0"/>
    <x v="0"/>
    <s v="boAt Wireless Earphones"/>
    <n v="1593.66"/>
    <n v="1"/>
    <n v="182.2"/>
    <x v="3"/>
    <x v="2"/>
  </r>
  <r>
    <d v="2025-04-06T00:00:00"/>
    <x v="28"/>
    <x v="11"/>
    <x v="0"/>
    <x v="0"/>
    <x v="2"/>
    <s v="Samsung Galaxy S24"/>
    <n v="73565.039999999994"/>
    <n v="1"/>
    <n v="10599.33"/>
    <x v="3"/>
    <x v="2"/>
  </r>
  <r>
    <d v="2025-04-07T00:00:00"/>
    <x v="8"/>
    <x v="10"/>
    <x v="0"/>
    <x v="2"/>
    <x v="8"/>
    <s v="TCL 50 inch 4K Smart TV"/>
    <n v="204912.54"/>
    <n v="5"/>
    <n v="24969.94"/>
    <x v="3"/>
    <x v="2"/>
  </r>
  <r>
    <d v="2025-04-07T00:00:00"/>
    <x v="23"/>
    <x v="13"/>
    <x v="0"/>
    <x v="0"/>
    <x v="2"/>
    <s v="Apple iPhone 15"/>
    <n v="61227.71"/>
    <n v="1"/>
    <n v="7970.91"/>
    <x v="3"/>
    <x v="2"/>
  </r>
  <r>
    <d v="2025-04-07T00:00:00"/>
    <x v="14"/>
    <x v="4"/>
    <x v="0"/>
    <x v="2"/>
    <x v="3"/>
    <s v="boAt Home Theatre System"/>
    <n v="33510.85"/>
    <n v="3"/>
    <n v="4036.4"/>
    <x v="3"/>
    <x v="2"/>
  </r>
  <r>
    <d v="2025-04-07T00:00:00"/>
    <x v="3"/>
    <x v="12"/>
    <x v="0"/>
    <x v="1"/>
    <x v="1"/>
    <s v="ASUS Vivobook 15"/>
    <n v="164391.56"/>
    <n v="3"/>
    <n v="23086.15"/>
    <x v="3"/>
    <x v="2"/>
  </r>
  <r>
    <d v="2025-04-07T00:00:00"/>
    <x v="3"/>
    <x v="10"/>
    <x v="0"/>
    <x v="0"/>
    <x v="0"/>
    <s v="Portronics Power Bank 20000mAh"/>
    <n v="2265.16"/>
    <n v="1"/>
    <n v="271.18"/>
    <x v="3"/>
    <x v="2"/>
  </r>
  <r>
    <d v="2025-04-08T00:00:00"/>
    <x v="13"/>
    <x v="9"/>
    <x v="0"/>
    <x v="3"/>
    <x v="4"/>
    <s v="IFB 7kg Front Load Washing Machine"/>
    <n v="53535.44"/>
    <n v="2"/>
    <n v="8085.3"/>
    <x v="3"/>
    <x v="2"/>
  </r>
  <r>
    <d v="2025-04-08T00:00:00"/>
    <x v="1"/>
    <x v="4"/>
    <x v="0"/>
    <x v="3"/>
    <x v="10"/>
    <s v="LG 1.5 Ton 5 Star Split AC"/>
    <n v="37165.519999999997"/>
    <n v="1"/>
    <n v="3739.77"/>
    <x v="3"/>
    <x v="2"/>
  </r>
  <r>
    <d v="2025-04-08T00:00:00"/>
    <x v="4"/>
    <x v="6"/>
    <x v="0"/>
    <x v="0"/>
    <x v="2"/>
    <s v="OnePlus 12"/>
    <n v="59067.54"/>
    <n v="1"/>
    <n v="-3294.03"/>
    <x v="3"/>
    <x v="2"/>
  </r>
  <r>
    <d v="2025-04-09T00:00:00"/>
    <x v="22"/>
    <x v="5"/>
    <x v="0"/>
    <x v="2"/>
    <x v="8"/>
    <s v="OnePlus 43 inch 4K Smart TV"/>
    <n v="25171.64"/>
    <n v="1"/>
    <n v="3372.19"/>
    <x v="3"/>
    <x v="2"/>
  </r>
  <r>
    <d v="2025-04-10T00:00:00"/>
    <x v="6"/>
    <x v="5"/>
    <x v="0"/>
    <x v="0"/>
    <x v="0"/>
    <s v="Apple 20W USB-C Power Adapter"/>
    <n v="1780.76"/>
    <n v="1"/>
    <n v="182.4"/>
    <x v="3"/>
    <x v="2"/>
  </r>
  <r>
    <d v="2025-04-10T00:00:00"/>
    <x v="21"/>
    <x v="5"/>
    <x v="0"/>
    <x v="2"/>
    <x v="8"/>
    <s v="TCL 50 inch 4K Smart TV"/>
    <n v="74377.84"/>
    <n v="2"/>
    <n v="7766.73"/>
    <x v="3"/>
    <x v="2"/>
  </r>
  <r>
    <d v="2025-04-10T00:00:00"/>
    <x v="14"/>
    <x v="14"/>
    <x v="0"/>
    <x v="3"/>
    <x v="10"/>
    <s v="Voltas 1.5 Ton Split AC"/>
    <n v="33761.72"/>
    <n v="1"/>
    <n v="5356.47"/>
    <x v="3"/>
    <x v="2"/>
  </r>
  <r>
    <d v="2025-04-11T00:00:00"/>
    <x v="2"/>
    <x v="8"/>
    <x v="0"/>
    <x v="0"/>
    <x v="2"/>
    <s v="Samsung Galaxy S24"/>
    <n v="68461.7"/>
    <n v="1"/>
    <n v="5364.8"/>
    <x v="3"/>
    <x v="2"/>
  </r>
  <r>
    <d v="2025-04-12T00:00:00"/>
    <x v="4"/>
    <x v="11"/>
    <x v="0"/>
    <x v="1"/>
    <x v="1"/>
    <s v="ASUS Vivobook 15"/>
    <n v="50902.43"/>
    <n v="1"/>
    <n v="7844.9"/>
    <x v="3"/>
    <x v="2"/>
  </r>
  <r>
    <d v="2025-04-12T00:00:00"/>
    <x v="15"/>
    <x v="1"/>
    <x v="0"/>
    <x v="0"/>
    <x v="0"/>
    <s v="Samsung 25W Charger"/>
    <n v="2653.22"/>
    <n v="2"/>
    <n v="-165.03"/>
    <x v="3"/>
    <x v="2"/>
  </r>
  <r>
    <d v="2025-04-12T00:00:00"/>
    <x v="23"/>
    <x v="11"/>
    <x v="0"/>
    <x v="1"/>
    <x v="1"/>
    <s v="Apple MacBook Air M2"/>
    <n v="270511.15000000002"/>
    <n v="3"/>
    <n v="27403.22"/>
    <x v="3"/>
    <x v="2"/>
  </r>
  <r>
    <d v="2025-04-13T00:00:00"/>
    <x v="10"/>
    <x v="2"/>
    <x v="0"/>
    <x v="3"/>
    <x v="7"/>
    <s v="Bajaj Mixer Grinder"/>
    <n v="14221.59"/>
    <n v="3"/>
    <n v="-907.49"/>
    <x v="3"/>
    <x v="2"/>
  </r>
  <r>
    <d v="2025-04-14T00:00:00"/>
    <x v="8"/>
    <x v="5"/>
    <x v="0"/>
    <x v="2"/>
    <x v="3"/>
    <s v="boAt Home Theatre System"/>
    <n v="12722.99"/>
    <n v="1"/>
    <n v="1537.58"/>
    <x v="3"/>
    <x v="2"/>
  </r>
  <r>
    <d v="2025-04-14T00:00:00"/>
    <x v="3"/>
    <x v="1"/>
    <x v="0"/>
    <x v="3"/>
    <x v="4"/>
    <s v="LG 7kg Fully Automatic Washing Machine"/>
    <n v="27170.59"/>
    <n v="1"/>
    <n v="2899.75"/>
    <x v="3"/>
    <x v="2"/>
  </r>
  <r>
    <d v="2025-04-16T00:00:00"/>
    <x v="3"/>
    <x v="5"/>
    <x v="0"/>
    <x v="0"/>
    <x v="0"/>
    <s v="Portronics Power Bank 20000mAh"/>
    <n v="4140.38"/>
    <n v="2"/>
    <n v="412.55"/>
    <x v="3"/>
    <x v="2"/>
  </r>
  <r>
    <d v="2025-04-17T00:00:00"/>
    <x v="14"/>
    <x v="4"/>
    <x v="0"/>
    <x v="4"/>
    <x v="11"/>
    <s v="Braun Electric Shaver"/>
    <n v="5682.48"/>
    <n v="1"/>
    <n v="868.75"/>
    <x v="3"/>
    <x v="2"/>
  </r>
  <r>
    <d v="2025-04-17T00:00:00"/>
    <x v="10"/>
    <x v="8"/>
    <x v="0"/>
    <x v="3"/>
    <x v="10"/>
    <s v="Daikin 1.5 Ton Inverter AC"/>
    <n v="86780.66"/>
    <n v="2"/>
    <n v="14478.91"/>
    <x v="3"/>
    <x v="2"/>
  </r>
  <r>
    <d v="2025-04-18T00:00:00"/>
    <x v="7"/>
    <x v="0"/>
    <x v="0"/>
    <x v="4"/>
    <x v="11"/>
    <s v="Philips Hair Dryer"/>
    <n v="1692.36"/>
    <n v="1"/>
    <n v="220.32"/>
    <x v="3"/>
    <x v="2"/>
  </r>
  <r>
    <d v="2025-04-20T00:00:00"/>
    <x v="23"/>
    <x v="14"/>
    <x v="0"/>
    <x v="2"/>
    <x v="3"/>
    <s v="Sony Wireless Headphones"/>
    <n v="8951.39"/>
    <n v="1"/>
    <n v="1338.95"/>
    <x v="3"/>
    <x v="2"/>
  </r>
  <r>
    <d v="2025-04-23T00:00:00"/>
    <x v="4"/>
    <x v="4"/>
    <x v="0"/>
    <x v="2"/>
    <x v="3"/>
    <s v="JBL 5.1 Soundbar"/>
    <n v="102927.58"/>
    <n v="3"/>
    <n v="17211.21"/>
    <x v="3"/>
    <x v="2"/>
  </r>
  <r>
    <d v="2025-04-24T00:00:00"/>
    <x v="15"/>
    <x v="7"/>
    <x v="0"/>
    <x v="1"/>
    <x v="1"/>
    <s v="Lenovo IdeaPad Slim 5"/>
    <n v="130200.39"/>
    <n v="2"/>
    <n v="12219.09"/>
    <x v="3"/>
    <x v="2"/>
  </r>
  <r>
    <d v="2025-04-24T00:00:00"/>
    <x v="3"/>
    <x v="14"/>
    <x v="0"/>
    <x v="2"/>
    <x v="3"/>
    <s v="JBL 5.1 Soundbar"/>
    <n v="58175.64"/>
    <n v="2"/>
    <n v="7165.98"/>
    <x v="3"/>
    <x v="2"/>
  </r>
  <r>
    <d v="2025-04-25T00:00:00"/>
    <x v="6"/>
    <x v="13"/>
    <x v="0"/>
    <x v="4"/>
    <x v="6"/>
    <s v="Philips Air Purifier"/>
    <n v="28286.01"/>
    <n v="2"/>
    <n v="5746.43"/>
    <x v="3"/>
    <x v="2"/>
  </r>
  <r>
    <d v="2025-04-26T00:00:00"/>
    <x v="18"/>
    <x v="6"/>
    <x v="0"/>
    <x v="4"/>
    <x v="6"/>
    <s v="Eureka Forbes Vacuum Cleaner"/>
    <n v="10800.49"/>
    <n v="1"/>
    <n v="1463.78"/>
    <x v="3"/>
    <x v="2"/>
  </r>
  <r>
    <d v="2025-04-26T00:00:00"/>
    <x v="19"/>
    <x v="8"/>
    <x v="0"/>
    <x v="1"/>
    <x v="1"/>
    <s v="Apple MacBook Air M2"/>
    <n v="494815.23"/>
    <n v="5"/>
    <n v="73756.69"/>
    <x v="3"/>
    <x v="2"/>
  </r>
  <r>
    <d v="2025-04-26T00:00:00"/>
    <x v="10"/>
    <x v="8"/>
    <x v="0"/>
    <x v="0"/>
    <x v="2"/>
    <s v="Samsung Galaxy A55"/>
    <n v="36470.339999999997"/>
    <n v="1"/>
    <n v="3109.05"/>
    <x v="3"/>
    <x v="2"/>
  </r>
  <r>
    <d v="2025-04-27T00:00:00"/>
    <x v="19"/>
    <x v="14"/>
    <x v="0"/>
    <x v="2"/>
    <x v="8"/>
    <s v="Samsung 55 inch 4K Smart TV"/>
    <n v="115303.91"/>
    <n v="2"/>
    <n v="15323.27"/>
    <x v="3"/>
    <x v="2"/>
  </r>
  <r>
    <d v="2025-04-27T00:00:00"/>
    <x v="0"/>
    <x v="7"/>
    <x v="0"/>
    <x v="2"/>
    <x v="3"/>
    <s v="JBL 5.1 Soundbar"/>
    <n v="33132.46"/>
    <n v="1"/>
    <n v="4961.78"/>
    <x v="3"/>
    <x v="2"/>
  </r>
  <r>
    <d v="2025-04-27T00:00:00"/>
    <x v="25"/>
    <x v="9"/>
    <x v="0"/>
    <x v="2"/>
    <x v="3"/>
    <s v="JBL 5.1 Soundbar"/>
    <n v="64459.49"/>
    <n v="2"/>
    <n v="7270.01"/>
    <x v="3"/>
    <x v="2"/>
  </r>
  <r>
    <d v="2025-04-28T00:00:00"/>
    <x v="11"/>
    <x v="7"/>
    <x v="0"/>
    <x v="4"/>
    <x v="11"/>
    <s v="Philips Hair Dryer"/>
    <n v="1828.22"/>
    <n v="1"/>
    <n v="404.87"/>
    <x v="3"/>
    <x v="2"/>
  </r>
  <r>
    <d v="2025-04-29T00:00:00"/>
    <x v="8"/>
    <x v="14"/>
    <x v="0"/>
    <x v="0"/>
    <x v="0"/>
    <s v="Apple 20W USB-C Power Adapter"/>
    <n v="1943.81"/>
    <n v="1"/>
    <n v="182.13"/>
    <x v="3"/>
    <x v="2"/>
  </r>
  <r>
    <d v="2025-04-30T00:00:00"/>
    <x v="13"/>
    <x v="3"/>
    <x v="0"/>
    <x v="4"/>
    <x v="6"/>
    <s v="Philips Air Purifier"/>
    <n v="13195.04"/>
    <n v="1"/>
    <n v="2950.35"/>
    <x v="3"/>
    <x v="2"/>
  </r>
  <r>
    <d v="2025-05-01T00:00:00"/>
    <x v="3"/>
    <x v="14"/>
    <x v="0"/>
    <x v="3"/>
    <x v="7"/>
    <s v="Philips Air Fryer"/>
    <n v="23276.62"/>
    <n v="3"/>
    <n v="-805.91"/>
    <x v="4"/>
    <x v="2"/>
  </r>
  <r>
    <d v="2025-05-01T00:00:00"/>
    <x v="12"/>
    <x v="0"/>
    <x v="0"/>
    <x v="2"/>
    <x v="8"/>
    <s v="OnePlus 43 inch 4K Smart TV"/>
    <n v="29901.1"/>
    <n v="1"/>
    <n v="5026.09"/>
    <x v="4"/>
    <x v="2"/>
  </r>
  <r>
    <d v="2025-05-01T00:00:00"/>
    <x v="19"/>
    <x v="3"/>
    <x v="0"/>
    <x v="1"/>
    <x v="5"/>
    <s v="TP-Link Wi-Fi Router"/>
    <n v="5323.58"/>
    <n v="2"/>
    <n v="870.05"/>
    <x v="4"/>
    <x v="2"/>
  </r>
  <r>
    <d v="2025-05-01T00:00:00"/>
    <x v="9"/>
    <x v="13"/>
    <x v="0"/>
    <x v="1"/>
    <x v="5"/>
    <s v="Dell 27 inch Monitor"/>
    <n v="15614.45"/>
    <n v="1"/>
    <n v="1204.24"/>
    <x v="4"/>
    <x v="2"/>
  </r>
  <r>
    <d v="2025-05-02T00:00:00"/>
    <x v="20"/>
    <x v="5"/>
    <x v="0"/>
    <x v="3"/>
    <x v="7"/>
    <s v="Bajaj Mixer Grinder"/>
    <n v="8595.7800000000007"/>
    <n v="2"/>
    <n v="1318.27"/>
    <x v="4"/>
    <x v="2"/>
  </r>
  <r>
    <d v="2025-05-03T00:00:00"/>
    <x v="6"/>
    <x v="4"/>
    <x v="0"/>
    <x v="0"/>
    <x v="0"/>
    <s v="Portronics Power Bank 20000mAh"/>
    <n v="2068.6799999999998"/>
    <n v="1"/>
    <n v="214.04"/>
    <x v="4"/>
    <x v="2"/>
  </r>
  <r>
    <d v="2025-05-03T00:00:00"/>
    <x v="22"/>
    <x v="13"/>
    <x v="0"/>
    <x v="1"/>
    <x v="1"/>
    <s v="Lenovo IdeaPad Slim 5"/>
    <n v="57511.19"/>
    <n v="1"/>
    <n v="5771.93"/>
    <x v="4"/>
    <x v="2"/>
  </r>
  <r>
    <d v="2025-05-05T00:00:00"/>
    <x v="19"/>
    <x v="12"/>
    <x v="0"/>
    <x v="1"/>
    <x v="5"/>
    <s v="Logitech Wireless Mouse"/>
    <n v="1448.71"/>
    <n v="1"/>
    <n v="120.87"/>
    <x v="4"/>
    <x v="2"/>
  </r>
  <r>
    <d v="2025-05-06T00:00:00"/>
    <x v="12"/>
    <x v="13"/>
    <x v="0"/>
    <x v="0"/>
    <x v="0"/>
    <s v="Samsung 25W Charger"/>
    <n v="1443.5"/>
    <n v="1"/>
    <n v="142.76"/>
    <x v="4"/>
    <x v="2"/>
  </r>
  <r>
    <d v="2025-05-06T00:00:00"/>
    <x v="1"/>
    <x v="8"/>
    <x v="0"/>
    <x v="2"/>
    <x v="3"/>
    <s v="boAt Home Theatre System"/>
    <n v="35471.620000000003"/>
    <n v="3"/>
    <n v="3816.12"/>
    <x v="4"/>
    <x v="2"/>
  </r>
  <r>
    <d v="2025-05-06T00:00:00"/>
    <x v="1"/>
    <x v="0"/>
    <x v="0"/>
    <x v="4"/>
    <x v="6"/>
    <s v="Philips Air Purifier"/>
    <n v="26538.639999999999"/>
    <n v="2"/>
    <n v="4452.99"/>
    <x v="4"/>
    <x v="2"/>
  </r>
  <r>
    <d v="2025-05-08T00:00:00"/>
    <x v="24"/>
    <x v="13"/>
    <x v="0"/>
    <x v="2"/>
    <x v="3"/>
    <s v="Sony Bluetooth Soundbar"/>
    <n v="66662.02"/>
    <n v="3"/>
    <n v="11592.88"/>
    <x v="4"/>
    <x v="2"/>
  </r>
  <r>
    <d v="2025-05-09T00:00:00"/>
    <x v="0"/>
    <x v="8"/>
    <x v="0"/>
    <x v="4"/>
    <x v="6"/>
    <s v="Eureka Forbes Vacuum Cleaner"/>
    <n v="34962.49"/>
    <n v="3"/>
    <n v="5564.84"/>
    <x v="4"/>
    <x v="2"/>
  </r>
  <r>
    <d v="2025-05-10T00:00:00"/>
    <x v="16"/>
    <x v="2"/>
    <x v="0"/>
    <x v="3"/>
    <x v="7"/>
    <s v="Morphy Richards OTG"/>
    <n v="6577.44"/>
    <n v="1"/>
    <n v="1048.54"/>
    <x v="4"/>
    <x v="2"/>
  </r>
  <r>
    <d v="2025-05-14T00:00:00"/>
    <x v="3"/>
    <x v="11"/>
    <x v="0"/>
    <x v="0"/>
    <x v="2"/>
    <s v="Samsung Galaxy S24"/>
    <n v="149281.54"/>
    <n v="2"/>
    <n v="11628.34"/>
    <x v="4"/>
    <x v="2"/>
  </r>
  <r>
    <d v="2025-05-14T00:00:00"/>
    <x v="28"/>
    <x v="1"/>
    <x v="0"/>
    <x v="1"/>
    <x v="5"/>
    <s v="Dell 27 inch Monitor"/>
    <n v="36863.480000000003"/>
    <n v="2"/>
    <n v="4261.67"/>
    <x v="4"/>
    <x v="2"/>
  </r>
  <r>
    <d v="2025-05-15T00:00:00"/>
    <x v="26"/>
    <x v="0"/>
    <x v="0"/>
    <x v="2"/>
    <x v="3"/>
    <s v="JBL 5.1 Soundbar"/>
    <n v="63309.42"/>
    <n v="2"/>
    <n v="8189.81"/>
    <x v="4"/>
    <x v="2"/>
  </r>
  <r>
    <d v="2025-05-15T00:00:00"/>
    <x v="8"/>
    <x v="5"/>
    <x v="0"/>
    <x v="1"/>
    <x v="1"/>
    <s v="Lenovo IdeaPad Slim 5"/>
    <n v="67864.84"/>
    <n v="1"/>
    <n v="10339.58"/>
    <x v="4"/>
    <x v="2"/>
  </r>
  <r>
    <d v="2025-05-16T00:00:00"/>
    <x v="23"/>
    <x v="2"/>
    <x v="0"/>
    <x v="0"/>
    <x v="0"/>
    <s v="Portronics Power Bank 20000mAh"/>
    <n v="2452.4"/>
    <n v="1"/>
    <n v="259.14"/>
    <x v="4"/>
    <x v="2"/>
  </r>
  <r>
    <d v="2025-05-16T00:00:00"/>
    <x v="5"/>
    <x v="7"/>
    <x v="0"/>
    <x v="3"/>
    <x v="10"/>
    <s v="Voltas 1.5 Ton Split AC"/>
    <n v="32198.6"/>
    <n v="1"/>
    <n v="5120.17"/>
    <x v="4"/>
    <x v="2"/>
  </r>
  <r>
    <d v="2025-05-17T00:00:00"/>
    <x v="6"/>
    <x v="13"/>
    <x v="0"/>
    <x v="1"/>
    <x v="5"/>
    <s v="TP-Link Wi-Fi Router"/>
    <n v="2792.22"/>
    <n v="1"/>
    <n v="251.22"/>
    <x v="4"/>
    <x v="2"/>
  </r>
  <r>
    <d v="2025-05-18T00:00:00"/>
    <x v="1"/>
    <x v="0"/>
    <x v="0"/>
    <x v="3"/>
    <x v="10"/>
    <s v="LG 1.5 Ton 5 Star Split AC"/>
    <n v="190397.59"/>
    <n v="5"/>
    <n v="17668.59"/>
    <x v="4"/>
    <x v="2"/>
  </r>
  <r>
    <d v="2025-05-18T00:00:00"/>
    <x v="8"/>
    <x v="1"/>
    <x v="0"/>
    <x v="2"/>
    <x v="3"/>
    <s v="Sony Wireless Headphones"/>
    <n v="16390.96"/>
    <n v="2"/>
    <n v="2766.93"/>
    <x v="4"/>
    <x v="2"/>
  </r>
  <r>
    <d v="2025-05-18T00:00:00"/>
    <x v="26"/>
    <x v="0"/>
    <x v="0"/>
    <x v="0"/>
    <x v="2"/>
    <s v="Apple iPhone 15"/>
    <n v="60101.17"/>
    <n v="1"/>
    <n v="5420.67"/>
    <x v="4"/>
    <x v="2"/>
  </r>
  <r>
    <d v="2025-05-18T00:00:00"/>
    <x v="24"/>
    <x v="13"/>
    <x v="0"/>
    <x v="4"/>
    <x v="6"/>
    <s v="Eureka Forbes Vacuum Cleaner"/>
    <n v="43958.58"/>
    <n v="4"/>
    <n v="10504.6"/>
    <x v="4"/>
    <x v="2"/>
  </r>
  <r>
    <d v="2025-05-21T00:00:00"/>
    <x v="6"/>
    <x v="9"/>
    <x v="0"/>
    <x v="3"/>
    <x v="7"/>
    <s v="Morphy Richards OTG"/>
    <n v="7194.29"/>
    <n v="1"/>
    <n v="-322.81"/>
    <x v="4"/>
    <x v="2"/>
  </r>
  <r>
    <d v="2025-05-21T00:00:00"/>
    <x v="1"/>
    <x v="9"/>
    <x v="0"/>
    <x v="4"/>
    <x v="11"/>
    <s v="Philips Hair Dryer"/>
    <n v="3804.13"/>
    <n v="2"/>
    <n v="717.6"/>
    <x v="4"/>
    <x v="2"/>
  </r>
  <r>
    <d v="2025-05-22T00:00:00"/>
    <x v="5"/>
    <x v="13"/>
    <x v="0"/>
    <x v="3"/>
    <x v="10"/>
    <s v="Daikin 1.5 Ton Inverter AC"/>
    <n v="42161.23"/>
    <n v="1"/>
    <n v="5156.62"/>
    <x v="4"/>
    <x v="2"/>
  </r>
  <r>
    <d v="2025-05-22T00:00:00"/>
    <x v="28"/>
    <x v="11"/>
    <x v="0"/>
    <x v="4"/>
    <x v="6"/>
    <s v="Dyson V8 Vacuum Cleaner"/>
    <n v="61822.44"/>
    <n v="2"/>
    <n v="12358.86"/>
    <x v="4"/>
    <x v="2"/>
  </r>
  <r>
    <d v="2025-05-22T00:00:00"/>
    <x v="24"/>
    <x v="13"/>
    <x v="0"/>
    <x v="1"/>
    <x v="5"/>
    <s v="TP-Link Wi-Fi Router"/>
    <n v="7483.93"/>
    <n v="3"/>
    <n v="943.81"/>
    <x v="4"/>
    <x v="2"/>
  </r>
  <r>
    <d v="2025-05-23T00:00:00"/>
    <x v="2"/>
    <x v="10"/>
    <x v="0"/>
    <x v="3"/>
    <x v="10"/>
    <s v="LG 1.5 Ton 5 Star Split AC"/>
    <n v="178601.63"/>
    <n v="4"/>
    <n v="34542.68"/>
    <x v="4"/>
    <x v="2"/>
  </r>
  <r>
    <d v="2025-05-24T00:00:00"/>
    <x v="18"/>
    <x v="9"/>
    <x v="0"/>
    <x v="0"/>
    <x v="0"/>
    <s v="Apple 20W USB-C Power Adapter"/>
    <n v="4936.3900000000003"/>
    <n v="3"/>
    <n v="459.55"/>
    <x v="4"/>
    <x v="2"/>
  </r>
  <r>
    <d v="2025-05-24T00:00:00"/>
    <x v="11"/>
    <x v="0"/>
    <x v="0"/>
    <x v="2"/>
    <x v="3"/>
    <s v="Sony Wireless Headphones"/>
    <n v="19259.53"/>
    <n v="2"/>
    <n v="3122.98"/>
    <x v="4"/>
    <x v="2"/>
  </r>
  <r>
    <d v="2025-05-26T00:00:00"/>
    <x v="7"/>
    <x v="14"/>
    <x v="0"/>
    <x v="2"/>
    <x v="8"/>
    <s v="Sony 55 inch Bravia 4K TV"/>
    <n v="84760.61"/>
    <n v="1"/>
    <n v="-2110.0100000000002"/>
    <x v="4"/>
    <x v="2"/>
  </r>
  <r>
    <d v="2025-05-27T00:00:00"/>
    <x v="29"/>
    <x v="5"/>
    <x v="0"/>
    <x v="3"/>
    <x v="10"/>
    <s v="LG 1.5 Ton 5 Star Split AC"/>
    <n v="219348.81"/>
    <n v="5"/>
    <n v="30538.16"/>
    <x v="4"/>
    <x v="2"/>
  </r>
  <r>
    <d v="2025-05-27T00:00:00"/>
    <x v="19"/>
    <x v="10"/>
    <x v="0"/>
    <x v="4"/>
    <x v="11"/>
    <s v="Braun Electric Shaver"/>
    <n v="5034.59"/>
    <n v="1"/>
    <n v="987.8"/>
    <x v="4"/>
    <x v="2"/>
  </r>
  <r>
    <d v="2025-05-27T00:00:00"/>
    <x v="17"/>
    <x v="6"/>
    <x v="0"/>
    <x v="1"/>
    <x v="1"/>
    <s v="Dell Inspiron 15 Laptop"/>
    <n v="54539.9"/>
    <n v="1"/>
    <n v="6411.16"/>
    <x v="4"/>
    <x v="2"/>
  </r>
  <r>
    <d v="2025-05-28T00:00:00"/>
    <x v="26"/>
    <x v="8"/>
    <x v="0"/>
    <x v="0"/>
    <x v="2"/>
    <s v="Samsung Galaxy S24"/>
    <n v="335089.78999999998"/>
    <n v="5"/>
    <n v="39240"/>
    <x v="4"/>
    <x v="2"/>
  </r>
  <r>
    <d v="2025-05-28T00:00:00"/>
    <x v="6"/>
    <x v="3"/>
    <x v="0"/>
    <x v="4"/>
    <x v="11"/>
    <s v="Braun Electric Shaver"/>
    <n v="5216.3900000000003"/>
    <n v="1"/>
    <n v="1111.08"/>
    <x v="4"/>
    <x v="2"/>
  </r>
  <r>
    <d v="2025-05-29T00:00:00"/>
    <x v="9"/>
    <x v="11"/>
    <x v="0"/>
    <x v="2"/>
    <x v="8"/>
    <s v="Sony 55 inch Bravia 4K TV"/>
    <n v="217853.67"/>
    <n v="3"/>
    <n v="18791.27"/>
    <x v="4"/>
    <x v="2"/>
  </r>
  <r>
    <d v="2025-05-30T00:00:00"/>
    <x v="28"/>
    <x v="4"/>
    <x v="0"/>
    <x v="3"/>
    <x v="9"/>
    <s v="Whirlpool 265L Frost Free Refrigerator"/>
    <n v="56542.45"/>
    <n v="2"/>
    <n v="9757.32"/>
    <x v="4"/>
    <x v="2"/>
  </r>
  <r>
    <d v="2025-05-31T00:00:00"/>
    <x v="29"/>
    <x v="0"/>
    <x v="0"/>
    <x v="3"/>
    <x v="9"/>
    <s v="LG 260L Double Door Refrigerator"/>
    <n v="31798.75"/>
    <n v="1"/>
    <n v="3884.03"/>
    <x v="4"/>
    <x v="2"/>
  </r>
  <r>
    <d v="2025-06-01T00:00:00"/>
    <x v="3"/>
    <x v="2"/>
    <x v="0"/>
    <x v="3"/>
    <x v="4"/>
    <s v="LG 7kg Fully Automatic Washing Machine"/>
    <n v="129115.97"/>
    <n v="5"/>
    <n v="25172.69"/>
    <x v="5"/>
    <x v="2"/>
  </r>
  <r>
    <d v="2025-06-01T00:00:00"/>
    <x v="25"/>
    <x v="0"/>
    <x v="0"/>
    <x v="3"/>
    <x v="7"/>
    <s v="Bajaj Mixer Grinder"/>
    <n v="9866.58"/>
    <n v="2"/>
    <n v="1556.36"/>
    <x v="5"/>
    <x v="2"/>
  </r>
  <r>
    <d v="2025-06-02T00:00:00"/>
    <x v="19"/>
    <x v="12"/>
    <x v="0"/>
    <x v="1"/>
    <x v="1"/>
    <s v="Apple MacBook Air M2"/>
    <n v="83100.100000000006"/>
    <n v="1"/>
    <n v="9823.4599999999991"/>
    <x v="5"/>
    <x v="2"/>
  </r>
  <r>
    <d v="2025-06-02T00:00:00"/>
    <x v="16"/>
    <x v="10"/>
    <x v="0"/>
    <x v="2"/>
    <x v="3"/>
    <s v="boAt Home Theatre System"/>
    <n v="11377.04"/>
    <n v="1"/>
    <n v="1276.1199999999999"/>
    <x v="5"/>
    <x v="2"/>
  </r>
  <r>
    <d v="2025-06-05T00:00:00"/>
    <x v="8"/>
    <x v="13"/>
    <x v="0"/>
    <x v="2"/>
    <x v="3"/>
    <s v="boAt Home Theatre System"/>
    <n v="22996.46"/>
    <n v="2"/>
    <n v="2181.5700000000002"/>
    <x v="5"/>
    <x v="2"/>
  </r>
  <r>
    <d v="2025-06-07T00:00:00"/>
    <x v="18"/>
    <x v="11"/>
    <x v="0"/>
    <x v="0"/>
    <x v="0"/>
    <s v="Apple 20W USB-C Power Adapter"/>
    <n v="1763.03"/>
    <n v="1"/>
    <n v="178.8"/>
    <x v="5"/>
    <x v="2"/>
  </r>
  <r>
    <d v="2025-06-07T00:00:00"/>
    <x v="13"/>
    <x v="1"/>
    <x v="0"/>
    <x v="4"/>
    <x v="11"/>
    <s v="Braun Electric Shaver"/>
    <n v="5244.01"/>
    <n v="1"/>
    <n v="1192.97"/>
    <x v="5"/>
    <x v="2"/>
  </r>
  <r>
    <d v="2025-06-08T00:00:00"/>
    <x v="17"/>
    <x v="11"/>
    <x v="0"/>
    <x v="2"/>
    <x v="3"/>
    <s v="Sony Bluetooth Soundbar"/>
    <n v="23896.54"/>
    <n v="1"/>
    <n v="4226.8999999999996"/>
    <x v="5"/>
    <x v="2"/>
  </r>
  <r>
    <d v="2025-06-09T00:00:00"/>
    <x v="15"/>
    <x v="12"/>
    <x v="0"/>
    <x v="1"/>
    <x v="5"/>
    <s v="Logitech Wireless Keyboard"/>
    <n v="2074.27"/>
    <n v="1"/>
    <n v="294.73"/>
    <x v="5"/>
    <x v="2"/>
  </r>
  <r>
    <d v="2025-06-09T00:00:00"/>
    <x v="1"/>
    <x v="11"/>
    <x v="0"/>
    <x v="2"/>
    <x v="3"/>
    <s v="Sony Wireless Headphones"/>
    <n v="28781.16"/>
    <n v="3"/>
    <n v="3043.98"/>
    <x v="5"/>
    <x v="2"/>
  </r>
  <r>
    <d v="2025-06-09T00:00:00"/>
    <x v="13"/>
    <x v="12"/>
    <x v="0"/>
    <x v="3"/>
    <x v="4"/>
    <s v="Samsung 8kg Front Load Washing Machine"/>
    <n v="71328.600000000006"/>
    <n v="2"/>
    <n v="9836.7099999999991"/>
    <x v="5"/>
    <x v="2"/>
  </r>
  <r>
    <d v="2025-06-10T00:00:00"/>
    <x v="10"/>
    <x v="7"/>
    <x v="0"/>
    <x v="0"/>
    <x v="2"/>
    <s v="Apple iPhone 15"/>
    <n v="65726.36"/>
    <n v="1"/>
    <n v="-4311.32"/>
    <x v="5"/>
    <x v="2"/>
  </r>
  <r>
    <d v="2025-06-10T00:00:00"/>
    <x v="10"/>
    <x v="10"/>
    <x v="0"/>
    <x v="2"/>
    <x v="8"/>
    <s v="Sony 55 inch Bravia 4K TV"/>
    <n v="219596.98"/>
    <n v="3"/>
    <n v="25165.63"/>
    <x v="5"/>
    <x v="2"/>
  </r>
  <r>
    <d v="2025-06-11T00:00:00"/>
    <x v="10"/>
    <x v="7"/>
    <x v="0"/>
    <x v="3"/>
    <x v="9"/>
    <s v="Samsung 253L Refrigerator"/>
    <n v="30070.74"/>
    <n v="1"/>
    <n v="4823.83"/>
    <x v="5"/>
    <x v="2"/>
  </r>
  <r>
    <d v="2025-06-11T00:00:00"/>
    <x v="0"/>
    <x v="9"/>
    <x v="0"/>
    <x v="0"/>
    <x v="2"/>
    <s v="Nothing Phone 2"/>
    <n v="168044.57"/>
    <n v="4"/>
    <n v="23737.85"/>
    <x v="5"/>
    <x v="2"/>
  </r>
  <r>
    <d v="2025-06-12T00:00:00"/>
    <x v="19"/>
    <x v="12"/>
    <x v="0"/>
    <x v="2"/>
    <x v="3"/>
    <s v="JBL 5.1 Soundbar"/>
    <n v="29661.5"/>
    <n v="1"/>
    <n v="4500.82"/>
    <x v="5"/>
    <x v="2"/>
  </r>
  <r>
    <d v="2025-06-13T00:00:00"/>
    <x v="20"/>
    <x v="11"/>
    <x v="0"/>
    <x v="2"/>
    <x v="8"/>
    <s v="Samsung 55 inch 4K Smart TV"/>
    <n v="134257.25"/>
    <n v="2"/>
    <n v="20775.98"/>
    <x v="5"/>
    <x v="2"/>
  </r>
  <r>
    <d v="2025-06-15T00:00:00"/>
    <x v="8"/>
    <x v="0"/>
    <x v="0"/>
    <x v="2"/>
    <x v="8"/>
    <s v="LG 55 inch OLED Smart TV"/>
    <n v="90477.42"/>
    <n v="1"/>
    <n v="14385.95"/>
    <x v="5"/>
    <x v="2"/>
  </r>
  <r>
    <d v="2025-06-16T00:00:00"/>
    <x v="29"/>
    <x v="13"/>
    <x v="0"/>
    <x v="3"/>
    <x v="9"/>
    <s v="LG 260L Double Door Refrigerator"/>
    <n v="146871.99"/>
    <n v="5"/>
    <n v="15967.29"/>
    <x v="5"/>
    <x v="2"/>
  </r>
  <r>
    <d v="2025-06-16T00:00:00"/>
    <x v="2"/>
    <x v="7"/>
    <x v="0"/>
    <x v="0"/>
    <x v="0"/>
    <s v="Samsung 25W Charger"/>
    <n v="1234.8499999999999"/>
    <n v="1"/>
    <n v="175.28"/>
    <x v="5"/>
    <x v="2"/>
  </r>
  <r>
    <d v="2025-06-16T00:00:00"/>
    <x v="13"/>
    <x v="9"/>
    <x v="0"/>
    <x v="3"/>
    <x v="9"/>
    <s v="Whirlpool 265L Frost Free Refrigerator"/>
    <n v="103402.85"/>
    <n v="4"/>
    <n v="10617.03"/>
    <x v="5"/>
    <x v="2"/>
  </r>
  <r>
    <d v="2025-06-18T00:00:00"/>
    <x v="23"/>
    <x v="5"/>
    <x v="0"/>
    <x v="3"/>
    <x v="10"/>
    <s v="Daikin 1.5 Ton Inverter AC"/>
    <n v="138428.31"/>
    <n v="3"/>
    <n v="23968.28"/>
    <x v="5"/>
    <x v="2"/>
  </r>
  <r>
    <d v="2025-06-18T00:00:00"/>
    <x v="5"/>
    <x v="9"/>
    <x v="0"/>
    <x v="1"/>
    <x v="5"/>
    <s v="Logitech Wireless Keyboard"/>
    <n v="2107.4299999999998"/>
    <n v="1"/>
    <n v="189.35"/>
    <x v="5"/>
    <x v="2"/>
  </r>
  <r>
    <d v="2025-06-19T00:00:00"/>
    <x v="9"/>
    <x v="2"/>
    <x v="0"/>
    <x v="1"/>
    <x v="5"/>
    <s v="Dell 27 inch Monitor"/>
    <n v="17983.61"/>
    <n v="1"/>
    <n v="2911.61"/>
    <x v="5"/>
    <x v="2"/>
  </r>
  <r>
    <d v="2025-06-21T00:00:00"/>
    <x v="14"/>
    <x v="6"/>
    <x v="0"/>
    <x v="1"/>
    <x v="5"/>
    <s v="TP-Link Wi-Fi Router"/>
    <n v="4954.78"/>
    <n v="2"/>
    <n v="751.59"/>
    <x v="5"/>
    <x v="2"/>
  </r>
  <r>
    <d v="2025-06-24T00:00:00"/>
    <x v="27"/>
    <x v="0"/>
    <x v="0"/>
    <x v="2"/>
    <x v="8"/>
    <s v="Sony 55 inch Bravia 4K TV"/>
    <n v="80656.84"/>
    <n v="1"/>
    <n v="11925"/>
    <x v="5"/>
    <x v="2"/>
  </r>
  <r>
    <d v="2025-06-24T00:00:00"/>
    <x v="6"/>
    <x v="9"/>
    <x v="0"/>
    <x v="3"/>
    <x v="9"/>
    <s v="LG 260L Double Door Refrigerator"/>
    <n v="30770.18"/>
    <n v="1"/>
    <n v="5259.49"/>
    <x v="5"/>
    <x v="2"/>
  </r>
  <r>
    <d v="2025-06-25T00:00:00"/>
    <x v="2"/>
    <x v="7"/>
    <x v="0"/>
    <x v="4"/>
    <x v="6"/>
    <s v="Dyson V8 Vacuum Cleaner"/>
    <n v="69221.31"/>
    <n v="2"/>
    <n v="16226.53"/>
    <x v="5"/>
    <x v="2"/>
  </r>
  <r>
    <d v="2025-06-25T00:00:00"/>
    <x v="5"/>
    <x v="1"/>
    <x v="0"/>
    <x v="0"/>
    <x v="2"/>
    <s v="Samsung Galaxy S24"/>
    <n v="357225.08"/>
    <n v="5"/>
    <n v="49667.11"/>
    <x v="5"/>
    <x v="2"/>
  </r>
  <r>
    <d v="2025-06-26T00:00:00"/>
    <x v="17"/>
    <x v="4"/>
    <x v="0"/>
    <x v="4"/>
    <x v="11"/>
    <s v="Philips Hair Dryer"/>
    <n v="5173.53"/>
    <n v="3"/>
    <n v="671.78"/>
    <x v="5"/>
    <x v="2"/>
  </r>
  <r>
    <d v="2025-06-27T00:00:00"/>
    <x v="5"/>
    <x v="13"/>
    <x v="0"/>
    <x v="1"/>
    <x v="1"/>
    <s v="HP Pavilion 15 Laptop"/>
    <n v="64333.51"/>
    <n v="1"/>
    <n v="6809.47"/>
    <x v="5"/>
    <x v="2"/>
  </r>
  <r>
    <d v="2025-06-27T00:00:00"/>
    <x v="28"/>
    <x v="2"/>
    <x v="0"/>
    <x v="0"/>
    <x v="0"/>
    <s v="Portronics Power Bank 20000mAh"/>
    <n v="2442.2399999999998"/>
    <n v="1"/>
    <n v="283.76"/>
    <x v="5"/>
    <x v="2"/>
  </r>
  <r>
    <d v="2025-06-27T00:00:00"/>
    <x v="3"/>
    <x v="9"/>
    <x v="0"/>
    <x v="0"/>
    <x v="0"/>
    <s v="Apple 20W USB-C Power Adapter"/>
    <n v="1979.64"/>
    <n v="1"/>
    <n v="194.76"/>
    <x v="5"/>
    <x v="2"/>
  </r>
  <r>
    <d v="2025-06-27T00:00:00"/>
    <x v="14"/>
    <x v="11"/>
    <x v="0"/>
    <x v="3"/>
    <x v="9"/>
    <s v="Samsung 253L Refrigerator"/>
    <n v="29924.400000000001"/>
    <n v="1"/>
    <n v="4684.04"/>
    <x v="5"/>
    <x v="2"/>
  </r>
  <r>
    <d v="2025-06-29T00:00:00"/>
    <x v="24"/>
    <x v="5"/>
    <x v="0"/>
    <x v="1"/>
    <x v="5"/>
    <s v="Logitech Wireless Mouse"/>
    <n v="2513.1999999999998"/>
    <n v="2"/>
    <n v="233.74"/>
    <x v="5"/>
    <x v="2"/>
  </r>
  <r>
    <d v="2025-06-29T00:00:00"/>
    <x v="3"/>
    <x v="2"/>
    <x v="0"/>
    <x v="1"/>
    <x v="1"/>
    <s v="ASUS Vivobook 15"/>
    <n v="151359.47"/>
    <n v="3"/>
    <n v="10733.2"/>
    <x v="5"/>
    <x v="2"/>
  </r>
  <r>
    <d v="2025-06-30T00:00:00"/>
    <x v="22"/>
    <x v="7"/>
    <x v="0"/>
    <x v="1"/>
    <x v="5"/>
    <s v="Dell 27 inch Monitor"/>
    <n v="16070.13"/>
    <n v="1"/>
    <n v="1325.85"/>
    <x v="5"/>
    <x v="2"/>
  </r>
  <r>
    <d v="2025-06-30T00:00:00"/>
    <x v="8"/>
    <x v="3"/>
    <x v="0"/>
    <x v="1"/>
    <x v="5"/>
    <s v="TP-Link Wi-Fi Router"/>
    <n v="2903.35"/>
    <n v="1"/>
    <n v="426.2"/>
    <x v="5"/>
    <x v="2"/>
  </r>
  <r>
    <d v="2025-06-30T00:00:00"/>
    <x v="13"/>
    <x v="2"/>
    <x v="0"/>
    <x v="3"/>
    <x v="10"/>
    <s v="LG 1.5 Ton 5 Star Split AC"/>
    <n v="40895.199999999997"/>
    <n v="1"/>
    <n v="7760.12"/>
    <x v="5"/>
    <x v="2"/>
  </r>
  <r>
    <d v="2025-06-30T00:00:00"/>
    <x v="21"/>
    <x v="5"/>
    <x v="0"/>
    <x v="0"/>
    <x v="2"/>
    <s v="OnePlus 12"/>
    <n v="254952.21"/>
    <n v="4"/>
    <n v="30969.78"/>
    <x v="5"/>
    <x v="2"/>
  </r>
  <r>
    <d v="2025-07-01T00:00:00"/>
    <x v="0"/>
    <x v="2"/>
    <x v="0"/>
    <x v="4"/>
    <x v="11"/>
    <s v="Philips Hair Dryer"/>
    <n v="3767.04"/>
    <n v="2"/>
    <n v="859.75"/>
    <x v="6"/>
    <x v="2"/>
  </r>
  <r>
    <d v="2025-07-02T00:00:00"/>
    <x v="29"/>
    <x v="9"/>
    <x v="0"/>
    <x v="3"/>
    <x v="7"/>
    <s v="Prestige Induction Cooktop"/>
    <n v="7636.88"/>
    <n v="3"/>
    <n v="865.09"/>
    <x v="6"/>
    <x v="2"/>
  </r>
  <r>
    <d v="2025-07-02T00:00:00"/>
    <x v="5"/>
    <x v="7"/>
    <x v="0"/>
    <x v="3"/>
    <x v="10"/>
    <s v="Daikin 1.5 Ton Inverter AC"/>
    <n v="41941.18"/>
    <n v="1"/>
    <n v="7124.77"/>
    <x v="6"/>
    <x v="2"/>
  </r>
  <r>
    <d v="2025-07-02T00:00:00"/>
    <x v="6"/>
    <x v="10"/>
    <x v="0"/>
    <x v="1"/>
    <x v="5"/>
    <s v="Logitech Wireless Mouse"/>
    <n v="2635.97"/>
    <n v="2"/>
    <n v="325.14"/>
    <x v="6"/>
    <x v="2"/>
  </r>
  <r>
    <d v="2025-07-02T00:00:00"/>
    <x v="7"/>
    <x v="8"/>
    <x v="0"/>
    <x v="4"/>
    <x v="11"/>
    <s v="Philips Hair Dryer"/>
    <n v="1727.96"/>
    <n v="1"/>
    <n v="332.4"/>
    <x v="6"/>
    <x v="2"/>
  </r>
  <r>
    <d v="2025-07-02T00:00:00"/>
    <x v="0"/>
    <x v="13"/>
    <x v="0"/>
    <x v="3"/>
    <x v="10"/>
    <s v="LG 1.5 Ton 5 Star Split AC"/>
    <n v="176925.08"/>
    <n v="4"/>
    <n v="18007.72"/>
    <x v="6"/>
    <x v="2"/>
  </r>
  <r>
    <d v="2025-07-04T00:00:00"/>
    <x v="26"/>
    <x v="14"/>
    <x v="0"/>
    <x v="1"/>
    <x v="5"/>
    <s v="TP-Link Wi-Fi Router"/>
    <n v="7896.48"/>
    <n v="3"/>
    <n v="1278.05"/>
    <x v="6"/>
    <x v="2"/>
  </r>
  <r>
    <d v="2025-07-07T00:00:00"/>
    <x v="11"/>
    <x v="12"/>
    <x v="0"/>
    <x v="2"/>
    <x v="3"/>
    <s v="Sony Wireless Headphones"/>
    <n v="8329.7800000000007"/>
    <n v="1"/>
    <n v="1035.5"/>
    <x v="6"/>
    <x v="2"/>
  </r>
  <r>
    <d v="2025-07-08T00:00:00"/>
    <x v="0"/>
    <x v="1"/>
    <x v="0"/>
    <x v="2"/>
    <x v="3"/>
    <s v="Sony Wireless Headphones"/>
    <n v="38564.480000000003"/>
    <n v="4"/>
    <n v="5701.01"/>
    <x v="6"/>
    <x v="2"/>
  </r>
  <r>
    <d v="2025-07-08T00:00:00"/>
    <x v="9"/>
    <x v="4"/>
    <x v="0"/>
    <x v="1"/>
    <x v="1"/>
    <s v="HP Pavilion 15 Laptop"/>
    <n v="230133.14"/>
    <n v="4"/>
    <n v="38114.269999999997"/>
    <x v="6"/>
    <x v="2"/>
  </r>
  <r>
    <d v="2025-07-09T00:00:00"/>
    <x v="21"/>
    <x v="11"/>
    <x v="0"/>
    <x v="1"/>
    <x v="1"/>
    <s v="Lenovo IdeaPad Slim 5"/>
    <n v="202398.07999999999"/>
    <n v="3"/>
    <n v="16559.95"/>
    <x v="6"/>
    <x v="2"/>
  </r>
  <r>
    <d v="2025-07-09T00:00:00"/>
    <x v="29"/>
    <x v="1"/>
    <x v="0"/>
    <x v="2"/>
    <x v="3"/>
    <s v="boAt Home Theatre System"/>
    <n v="36252.21"/>
    <n v="3"/>
    <n v="4412.96"/>
    <x v="6"/>
    <x v="2"/>
  </r>
  <r>
    <d v="2025-07-10T00:00:00"/>
    <x v="14"/>
    <x v="4"/>
    <x v="0"/>
    <x v="4"/>
    <x v="6"/>
    <s v="Eureka Forbes Vacuum Cleaner"/>
    <n v="30941.32"/>
    <n v="3"/>
    <n v="5865.58"/>
    <x v="6"/>
    <x v="2"/>
  </r>
  <r>
    <d v="2025-07-11T00:00:00"/>
    <x v="14"/>
    <x v="4"/>
    <x v="0"/>
    <x v="4"/>
    <x v="11"/>
    <s v="Philips Trimmer"/>
    <n v="2167.84"/>
    <n v="1"/>
    <n v="384.69"/>
    <x v="6"/>
    <x v="2"/>
  </r>
  <r>
    <d v="2025-07-11T00:00:00"/>
    <x v="19"/>
    <x v="10"/>
    <x v="0"/>
    <x v="3"/>
    <x v="10"/>
    <s v="Voltas 1.5 Ton Split AC"/>
    <n v="191031.31"/>
    <n v="5"/>
    <n v="19382.18"/>
    <x v="6"/>
    <x v="2"/>
  </r>
  <r>
    <d v="2025-07-12T00:00:00"/>
    <x v="5"/>
    <x v="0"/>
    <x v="0"/>
    <x v="2"/>
    <x v="8"/>
    <s v="TCL 50 inch 4K Smart TV"/>
    <n v="38046.32"/>
    <n v="1"/>
    <n v="5614.2"/>
    <x v="6"/>
    <x v="2"/>
  </r>
  <r>
    <d v="2025-07-13T00:00:00"/>
    <x v="28"/>
    <x v="6"/>
    <x v="0"/>
    <x v="0"/>
    <x v="0"/>
    <s v="Apple 20W USB-C Power Adapter"/>
    <n v="1656.57"/>
    <n v="1"/>
    <n v="110.46"/>
    <x v="6"/>
    <x v="2"/>
  </r>
  <r>
    <d v="2025-07-14T00:00:00"/>
    <x v="28"/>
    <x v="4"/>
    <x v="0"/>
    <x v="0"/>
    <x v="0"/>
    <s v="Portronics Power Bank 20000mAh"/>
    <n v="4373.0200000000004"/>
    <n v="2"/>
    <n v="607.66999999999996"/>
    <x v="6"/>
    <x v="2"/>
  </r>
  <r>
    <d v="2025-07-14T00:00:00"/>
    <x v="2"/>
    <x v="8"/>
    <x v="0"/>
    <x v="1"/>
    <x v="1"/>
    <s v="HP Pavilion 15 Laptop"/>
    <n v="56964.39"/>
    <n v="1"/>
    <n v="8694.9699999999993"/>
    <x v="6"/>
    <x v="2"/>
  </r>
  <r>
    <d v="2025-07-14T00:00:00"/>
    <x v="2"/>
    <x v="1"/>
    <x v="0"/>
    <x v="1"/>
    <x v="5"/>
    <s v="Logitech Wireless Mouse"/>
    <n v="2525.29"/>
    <n v="2"/>
    <n v="415.73"/>
    <x v="6"/>
    <x v="2"/>
  </r>
  <r>
    <d v="2025-07-15T00:00:00"/>
    <x v="12"/>
    <x v="14"/>
    <x v="0"/>
    <x v="0"/>
    <x v="2"/>
    <s v="Nothing Phone 2"/>
    <n v="74609.41"/>
    <n v="2"/>
    <n v="5367.71"/>
    <x v="6"/>
    <x v="2"/>
  </r>
  <r>
    <d v="2025-07-15T00:00:00"/>
    <x v="12"/>
    <x v="1"/>
    <x v="0"/>
    <x v="4"/>
    <x v="11"/>
    <s v="Philips Trimmer"/>
    <n v="4387.7700000000004"/>
    <n v="2"/>
    <n v="766.1"/>
    <x v="6"/>
    <x v="2"/>
  </r>
  <r>
    <d v="2025-07-16T00:00:00"/>
    <x v="17"/>
    <x v="13"/>
    <x v="0"/>
    <x v="4"/>
    <x v="11"/>
    <s v="Philips Hair Dryer"/>
    <n v="5131.75"/>
    <n v="3"/>
    <n v="716.46"/>
    <x v="6"/>
    <x v="2"/>
  </r>
  <r>
    <d v="2025-07-17T00:00:00"/>
    <x v="10"/>
    <x v="7"/>
    <x v="0"/>
    <x v="1"/>
    <x v="1"/>
    <s v="Lenovo IdeaPad Slim 5"/>
    <n v="59788.26"/>
    <n v="1"/>
    <n v="8381.24"/>
    <x v="6"/>
    <x v="2"/>
  </r>
  <r>
    <d v="2025-07-17T00:00:00"/>
    <x v="3"/>
    <x v="3"/>
    <x v="0"/>
    <x v="0"/>
    <x v="2"/>
    <s v="Samsung Galaxy S24"/>
    <n v="205352.28"/>
    <n v="3"/>
    <n v="14466.22"/>
    <x v="6"/>
    <x v="2"/>
  </r>
  <r>
    <d v="2025-07-18T00:00:00"/>
    <x v="21"/>
    <x v="6"/>
    <x v="0"/>
    <x v="4"/>
    <x v="6"/>
    <s v="Philips Air Purifier"/>
    <n v="14939.49"/>
    <n v="1"/>
    <n v="3286.03"/>
    <x v="6"/>
    <x v="2"/>
  </r>
  <r>
    <d v="2025-07-19T00:00:00"/>
    <x v="18"/>
    <x v="13"/>
    <x v="0"/>
    <x v="1"/>
    <x v="5"/>
    <s v="Logitech Wireless Mouse"/>
    <n v="1456.69"/>
    <n v="1"/>
    <n v="243.72"/>
    <x v="6"/>
    <x v="2"/>
  </r>
  <r>
    <d v="2025-07-20T00:00:00"/>
    <x v="28"/>
    <x v="0"/>
    <x v="0"/>
    <x v="1"/>
    <x v="1"/>
    <s v="HP Pavilion 15 Laptop"/>
    <n v="56728.42"/>
    <n v="1"/>
    <n v="7567.98"/>
    <x v="6"/>
    <x v="2"/>
  </r>
  <r>
    <d v="2025-07-20T00:00:00"/>
    <x v="27"/>
    <x v="11"/>
    <x v="0"/>
    <x v="3"/>
    <x v="10"/>
    <s v="LG 1.5 Ton 5 Star Split AC"/>
    <n v="41024.949999999997"/>
    <n v="1"/>
    <n v="5089.25"/>
    <x v="6"/>
    <x v="2"/>
  </r>
  <r>
    <d v="2025-07-20T00:00:00"/>
    <x v="12"/>
    <x v="2"/>
    <x v="0"/>
    <x v="2"/>
    <x v="3"/>
    <s v="boAt Home Theatre System"/>
    <n v="12327.79"/>
    <n v="1"/>
    <n v="1887.36"/>
    <x v="6"/>
    <x v="2"/>
  </r>
  <r>
    <d v="2025-07-21T00:00:00"/>
    <x v="19"/>
    <x v="10"/>
    <x v="0"/>
    <x v="0"/>
    <x v="0"/>
    <s v="Portronics Power Bank 20000mAh"/>
    <n v="2428.2399999999998"/>
    <n v="1"/>
    <n v="314.7"/>
    <x v="6"/>
    <x v="2"/>
  </r>
  <r>
    <d v="2025-07-21T00:00:00"/>
    <x v="6"/>
    <x v="8"/>
    <x v="0"/>
    <x v="1"/>
    <x v="5"/>
    <s v="Logitech Wireless Mouse"/>
    <n v="1457.95"/>
    <n v="1"/>
    <n v="-113.81"/>
    <x v="6"/>
    <x v="2"/>
  </r>
  <r>
    <d v="2025-07-21T00:00:00"/>
    <x v="19"/>
    <x v="13"/>
    <x v="0"/>
    <x v="4"/>
    <x v="6"/>
    <s v="Dyson V8 Vacuum Cleaner"/>
    <n v="99370.33"/>
    <n v="3"/>
    <n v="13672.57"/>
    <x v="6"/>
    <x v="2"/>
  </r>
  <r>
    <d v="2025-07-22T00:00:00"/>
    <x v="27"/>
    <x v="12"/>
    <x v="0"/>
    <x v="1"/>
    <x v="5"/>
    <s v="TP-Link Wi-Fi Router"/>
    <n v="2473.1799999999998"/>
    <n v="1"/>
    <n v="256.18"/>
    <x v="6"/>
    <x v="2"/>
  </r>
  <r>
    <d v="2025-07-23T00:00:00"/>
    <x v="17"/>
    <x v="10"/>
    <x v="0"/>
    <x v="0"/>
    <x v="2"/>
    <s v="Google Pixel 8"/>
    <n v="51711.040000000001"/>
    <n v="1"/>
    <n v="5894.83"/>
    <x v="6"/>
    <x v="2"/>
  </r>
  <r>
    <d v="2025-07-23T00:00:00"/>
    <x v="0"/>
    <x v="10"/>
    <x v="0"/>
    <x v="1"/>
    <x v="1"/>
    <s v="Apple MacBook Air M2"/>
    <n v="410166.44"/>
    <n v="5"/>
    <n v="64874.54"/>
    <x v="6"/>
    <x v="2"/>
  </r>
  <r>
    <d v="2025-07-24T00:00:00"/>
    <x v="11"/>
    <x v="5"/>
    <x v="0"/>
    <x v="4"/>
    <x v="11"/>
    <s v="Philips Trimmer"/>
    <n v="9422.8799999999992"/>
    <n v="4"/>
    <n v="1460.67"/>
    <x v="6"/>
    <x v="2"/>
  </r>
  <r>
    <d v="2025-07-24T00:00:00"/>
    <x v="10"/>
    <x v="13"/>
    <x v="0"/>
    <x v="4"/>
    <x v="6"/>
    <s v="Philips Air Purifier"/>
    <n v="27099.49"/>
    <n v="2"/>
    <n v="6158.34"/>
    <x v="6"/>
    <x v="2"/>
  </r>
  <r>
    <d v="2025-07-24T00:00:00"/>
    <x v="6"/>
    <x v="13"/>
    <x v="0"/>
    <x v="1"/>
    <x v="5"/>
    <s v="Logitech Wireless Mouse"/>
    <n v="2841.19"/>
    <n v="2"/>
    <n v="441.91"/>
    <x v="6"/>
    <x v="2"/>
  </r>
  <r>
    <d v="2025-07-25T00:00:00"/>
    <x v="25"/>
    <x v="3"/>
    <x v="0"/>
    <x v="0"/>
    <x v="0"/>
    <s v="Samsung 25W Charger"/>
    <n v="4248.47"/>
    <n v="3"/>
    <n v="421.68"/>
    <x v="6"/>
    <x v="2"/>
  </r>
  <r>
    <d v="2025-07-28T00:00:00"/>
    <x v="27"/>
    <x v="10"/>
    <x v="0"/>
    <x v="2"/>
    <x v="8"/>
    <s v="OnePlus 43 inch 4K Smart TV"/>
    <n v="28459.9"/>
    <n v="1"/>
    <n v="4154.0200000000004"/>
    <x v="6"/>
    <x v="2"/>
  </r>
  <r>
    <d v="2025-07-29T00:00:00"/>
    <x v="18"/>
    <x v="3"/>
    <x v="0"/>
    <x v="3"/>
    <x v="9"/>
    <s v="Whirlpool 265L Frost Free Refrigerator"/>
    <n v="26596.48"/>
    <n v="1"/>
    <n v="4953.71"/>
    <x v="6"/>
    <x v="2"/>
  </r>
  <r>
    <d v="2025-07-29T00:00:00"/>
    <x v="20"/>
    <x v="5"/>
    <x v="0"/>
    <x v="0"/>
    <x v="2"/>
    <s v="Samsung Galaxy S24"/>
    <n v="62922"/>
    <n v="1"/>
    <n v="4300.72"/>
    <x v="6"/>
    <x v="2"/>
  </r>
  <r>
    <d v="2025-07-31T00:00:00"/>
    <x v="25"/>
    <x v="13"/>
    <x v="0"/>
    <x v="1"/>
    <x v="1"/>
    <s v="ASUS Vivobook 15"/>
    <n v="157744.81"/>
    <n v="3"/>
    <n v="20331.28"/>
    <x v="6"/>
    <x v="2"/>
  </r>
  <r>
    <d v="2025-08-01T00:00:00"/>
    <x v="8"/>
    <x v="7"/>
    <x v="0"/>
    <x v="3"/>
    <x v="7"/>
    <s v="Prestige Induction Cooktop"/>
    <n v="2745.45"/>
    <n v="1"/>
    <n v="226.96"/>
    <x v="7"/>
    <x v="2"/>
  </r>
  <r>
    <d v="2025-08-01T00:00:00"/>
    <x v="22"/>
    <x v="8"/>
    <x v="0"/>
    <x v="3"/>
    <x v="4"/>
    <s v="IFB 7kg Front Load Washing Machine"/>
    <n v="27384.52"/>
    <n v="1"/>
    <n v="4374.41"/>
    <x v="7"/>
    <x v="2"/>
  </r>
  <r>
    <d v="2025-08-01T00:00:00"/>
    <x v="15"/>
    <x v="8"/>
    <x v="0"/>
    <x v="1"/>
    <x v="5"/>
    <s v="Logitech Wireless Mouse"/>
    <n v="4947.28"/>
    <n v="4"/>
    <n v="587.86"/>
    <x v="7"/>
    <x v="2"/>
  </r>
  <r>
    <d v="2025-08-02T00:00:00"/>
    <x v="3"/>
    <x v="9"/>
    <x v="0"/>
    <x v="4"/>
    <x v="6"/>
    <s v="Philips Air Purifier"/>
    <n v="14910.45"/>
    <n v="1"/>
    <n v="2917.23"/>
    <x v="7"/>
    <x v="2"/>
  </r>
  <r>
    <d v="2025-08-02T00:00:00"/>
    <x v="17"/>
    <x v="6"/>
    <x v="0"/>
    <x v="0"/>
    <x v="0"/>
    <s v="Samsung 25W Charger"/>
    <n v="1244.8499999999999"/>
    <n v="1"/>
    <n v="121.49"/>
    <x v="7"/>
    <x v="2"/>
  </r>
  <r>
    <d v="2025-08-04T00:00:00"/>
    <x v="8"/>
    <x v="3"/>
    <x v="0"/>
    <x v="1"/>
    <x v="5"/>
    <s v="Dell 27 inch Monitor"/>
    <n v="31826.38"/>
    <n v="2"/>
    <n v="3707.31"/>
    <x v="7"/>
    <x v="2"/>
  </r>
  <r>
    <d v="2025-08-05T00:00:00"/>
    <x v="14"/>
    <x v="10"/>
    <x v="0"/>
    <x v="1"/>
    <x v="5"/>
    <s v="TP-Link Wi-Fi Router"/>
    <n v="2650.52"/>
    <n v="1"/>
    <n v="207.26"/>
    <x v="7"/>
    <x v="2"/>
  </r>
  <r>
    <d v="2025-08-08T00:00:00"/>
    <x v="12"/>
    <x v="8"/>
    <x v="0"/>
    <x v="0"/>
    <x v="2"/>
    <s v="Samsung Galaxy A55"/>
    <n v="69722.679999999993"/>
    <n v="2"/>
    <n v="6930.09"/>
    <x v="7"/>
    <x v="2"/>
  </r>
  <r>
    <d v="2025-08-08T00:00:00"/>
    <x v="2"/>
    <x v="7"/>
    <x v="0"/>
    <x v="3"/>
    <x v="4"/>
    <s v="LG 7kg Fully Automatic Washing Machine"/>
    <n v="28972.58"/>
    <n v="1"/>
    <n v="5203.01"/>
    <x v="7"/>
    <x v="2"/>
  </r>
  <r>
    <d v="2025-08-09T00:00:00"/>
    <x v="17"/>
    <x v="4"/>
    <x v="0"/>
    <x v="0"/>
    <x v="0"/>
    <s v="boAt Wireless Earphones"/>
    <n v="3096.93"/>
    <n v="2"/>
    <n v="320.64999999999998"/>
    <x v="7"/>
    <x v="2"/>
  </r>
  <r>
    <d v="2025-08-10T00:00:00"/>
    <x v="29"/>
    <x v="0"/>
    <x v="0"/>
    <x v="4"/>
    <x v="11"/>
    <s v="Philips Hair Dryer"/>
    <n v="1874.66"/>
    <n v="1"/>
    <n v="341.68"/>
    <x v="7"/>
    <x v="2"/>
  </r>
  <r>
    <d v="2025-08-10T00:00:00"/>
    <x v="23"/>
    <x v="0"/>
    <x v="0"/>
    <x v="1"/>
    <x v="5"/>
    <s v="Logitech Wireless Keyboard"/>
    <n v="4990.83"/>
    <n v="2"/>
    <n v="449.51"/>
    <x v="7"/>
    <x v="2"/>
  </r>
  <r>
    <d v="2025-08-11T00:00:00"/>
    <x v="24"/>
    <x v="9"/>
    <x v="0"/>
    <x v="0"/>
    <x v="0"/>
    <s v="Apple 20W USB-C Power Adapter"/>
    <n v="1752.71"/>
    <n v="1"/>
    <n v="217.19"/>
    <x v="7"/>
    <x v="2"/>
  </r>
  <r>
    <d v="2025-08-11T00:00:00"/>
    <x v="6"/>
    <x v="11"/>
    <x v="0"/>
    <x v="1"/>
    <x v="5"/>
    <s v="Logitech Wireless Mouse"/>
    <n v="2617.62"/>
    <n v="2"/>
    <n v="330.02"/>
    <x v="7"/>
    <x v="2"/>
  </r>
  <r>
    <d v="2025-08-11T00:00:00"/>
    <x v="24"/>
    <x v="6"/>
    <x v="0"/>
    <x v="1"/>
    <x v="1"/>
    <s v="Apple MacBook Air M2"/>
    <n v="94885.45"/>
    <n v="1"/>
    <n v="8655.2199999999993"/>
    <x v="7"/>
    <x v="2"/>
  </r>
  <r>
    <d v="2025-08-13T00:00:00"/>
    <x v="7"/>
    <x v="0"/>
    <x v="0"/>
    <x v="3"/>
    <x v="4"/>
    <s v="LG 7kg Fully Automatic Washing Machine"/>
    <n v="27475.62"/>
    <n v="1"/>
    <n v="3464.62"/>
    <x v="7"/>
    <x v="2"/>
  </r>
  <r>
    <d v="2025-08-16T00:00:00"/>
    <x v="11"/>
    <x v="3"/>
    <x v="0"/>
    <x v="1"/>
    <x v="5"/>
    <s v="Logitech Wireless Mouse"/>
    <n v="1414.47"/>
    <n v="1"/>
    <n v="237.42"/>
    <x v="7"/>
    <x v="2"/>
  </r>
  <r>
    <d v="2025-08-17T00:00:00"/>
    <x v="15"/>
    <x v="7"/>
    <x v="0"/>
    <x v="4"/>
    <x v="11"/>
    <s v="Philips Hair Dryer"/>
    <n v="3674.61"/>
    <n v="2"/>
    <n v="789.01"/>
    <x v="7"/>
    <x v="2"/>
  </r>
  <r>
    <d v="2025-08-17T00:00:00"/>
    <x v="11"/>
    <x v="2"/>
    <x v="0"/>
    <x v="1"/>
    <x v="5"/>
    <s v="Dell 27 inch Monitor"/>
    <n v="50067.55"/>
    <n v="3"/>
    <n v="7182.61"/>
    <x v="7"/>
    <x v="2"/>
  </r>
  <r>
    <d v="2025-08-18T00:00:00"/>
    <x v="1"/>
    <x v="4"/>
    <x v="0"/>
    <x v="1"/>
    <x v="1"/>
    <s v="ASUS Vivobook 15"/>
    <n v="107257.74"/>
    <n v="2"/>
    <n v="-6812.77"/>
    <x v="7"/>
    <x v="2"/>
  </r>
  <r>
    <d v="2025-08-19T00:00:00"/>
    <x v="22"/>
    <x v="7"/>
    <x v="0"/>
    <x v="1"/>
    <x v="1"/>
    <s v="Lenovo IdeaPad Slim 5"/>
    <n v="67430.53"/>
    <n v="1"/>
    <n v="10546.71"/>
    <x v="7"/>
    <x v="2"/>
  </r>
  <r>
    <d v="2025-08-19T00:00:00"/>
    <x v="26"/>
    <x v="9"/>
    <x v="0"/>
    <x v="2"/>
    <x v="8"/>
    <s v="Samsung 55 inch 4K Smart TV"/>
    <n v="182366.01"/>
    <n v="3"/>
    <n v="21414.47"/>
    <x v="7"/>
    <x v="2"/>
  </r>
  <r>
    <d v="2025-08-19T00:00:00"/>
    <x v="29"/>
    <x v="2"/>
    <x v="0"/>
    <x v="1"/>
    <x v="1"/>
    <s v="Lenovo IdeaPad Slim 5"/>
    <n v="127031.85"/>
    <n v="2"/>
    <n v="16687.03"/>
    <x v="7"/>
    <x v="2"/>
  </r>
  <r>
    <d v="2025-08-20T00:00:00"/>
    <x v="2"/>
    <x v="11"/>
    <x v="0"/>
    <x v="2"/>
    <x v="3"/>
    <s v="boAt Home Theatre System"/>
    <n v="23873.3"/>
    <n v="2"/>
    <n v="3550.88"/>
    <x v="7"/>
    <x v="2"/>
  </r>
  <r>
    <d v="2025-08-20T00:00:00"/>
    <x v="13"/>
    <x v="3"/>
    <x v="0"/>
    <x v="2"/>
    <x v="8"/>
    <s v="TCL 50 inch 4K Smart TV"/>
    <n v="41698.22"/>
    <n v="1"/>
    <n v="3640.32"/>
    <x v="7"/>
    <x v="2"/>
  </r>
  <r>
    <d v="2025-08-20T00:00:00"/>
    <x v="3"/>
    <x v="6"/>
    <x v="0"/>
    <x v="3"/>
    <x v="7"/>
    <s v="Bajaj Mixer Grinder"/>
    <n v="4453.07"/>
    <n v="1"/>
    <n v="556.64"/>
    <x v="7"/>
    <x v="2"/>
  </r>
  <r>
    <d v="2025-08-20T00:00:00"/>
    <x v="29"/>
    <x v="11"/>
    <x v="0"/>
    <x v="1"/>
    <x v="1"/>
    <s v="ASUS Vivobook 15"/>
    <n v="146452.24"/>
    <n v="3"/>
    <n v="11442.43"/>
    <x v="7"/>
    <x v="2"/>
  </r>
  <r>
    <d v="2025-08-21T00:00:00"/>
    <x v="2"/>
    <x v="1"/>
    <x v="0"/>
    <x v="0"/>
    <x v="2"/>
    <s v="Google Pixel 8"/>
    <n v="57142.74"/>
    <n v="1"/>
    <n v="5309.7"/>
    <x v="7"/>
    <x v="2"/>
  </r>
  <r>
    <d v="2025-08-21T00:00:00"/>
    <x v="9"/>
    <x v="10"/>
    <x v="0"/>
    <x v="1"/>
    <x v="5"/>
    <s v="Dell 27 inch Monitor"/>
    <n v="51469.15"/>
    <n v="3"/>
    <n v="4989.84"/>
    <x v="7"/>
    <x v="2"/>
  </r>
  <r>
    <d v="2025-08-22T00:00:00"/>
    <x v="22"/>
    <x v="3"/>
    <x v="0"/>
    <x v="0"/>
    <x v="2"/>
    <s v="Apple iPhone 15"/>
    <n v="69398.899999999994"/>
    <n v="1"/>
    <n v="4541.62"/>
    <x v="7"/>
    <x v="2"/>
  </r>
  <r>
    <d v="2025-08-25T00:00:00"/>
    <x v="7"/>
    <x v="4"/>
    <x v="0"/>
    <x v="1"/>
    <x v="5"/>
    <s v="Logitech Wireless Mouse"/>
    <n v="2626.81"/>
    <n v="2"/>
    <n v="248.17"/>
    <x v="7"/>
    <x v="2"/>
  </r>
  <r>
    <d v="2025-08-26T00:00:00"/>
    <x v="0"/>
    <x v="6"/>
    <x v="0"/>
    <x v="3"/>
    <x v="7"/>
    <s v="Bajaj Mixer Grinder"/>
    <n v="4406.03"/>
    <n v="1"/>
    <n v="539.80999999999995"/>
    <x v="7"/>
    <x v="2"/>
  </r>
  <r>
    <d v="2025-08-27T00:00:00"/>
    <x v="13"/>
    <x v="7"/>
    <x v="0"/>
    <x v="4"/>
    <x v="11"/>
    <s v="Philips Hair Dryer"/>
    <n v="1778.46"/>
    <n v="1"/>
    <n v="355.45"/>
    <x v="7"/>
    <x v="2"/>
  </r>
  <r>
    <d v="2025-08-28T00:00:00"/>
    <x v="5"/>
    <x v="1"/>
    <x v="0"/>
    <x v="2"/>
    <x v="8"/>
    <s v="TCL 50 inch 4K Smart TV"/>
    <n v="109249.95"/>
    <n v="3"/>
    <n v="11962.63"/>
    <x v="7"/>
    <x v="2"/>
  </r>
  <r>
    <d v="2025-08-29T00:00:00"/>
    <x v="12"/>
    <x v="9"/>
    <x v="0"/>
    <x v="2"/>
    <x v="8"/>
    <s v="Samsung 55 inch 4K Smart TV"/>
    <n v="132797.4"/>
    <n v="2"/>
    <n v="16396.12"/>
    <x v="7"/>
    <x v="2"/>
  </r>
  <r>
    <d v="2025-08-29T00:00:00"/>
    <x v="22"/>
    <x v="14"/>
    <x v="0"/>
    <x v="4"/>
    <x v="11"/>
    <s v="Philips Hair Dryer"/>
    <n v="1848.52"/>
    <n v="1"/>
    <n v="369.01"/>
    <x v="7"/>
    <x v="2"/>
  </r>
  <r>
    <d v="2025-08-30T00:00:00"/>
    <x v="5"/>
    <x v="5"/>
    <x v="0"/>
    <x v="4"/>
    <x v="6"/>
    <s v="Philips Air Purifier"/>
    <n v="13056.01"/>
    <n v="1"/>
    <n v="2144.5"/>
    <x v="7"/>
    <x v="2"/>
  </r>
  <r>
    <d v="2025-08-31T00:00:00"/>
    <x v="1"/>
    <x v="5"/>
    <x v="0"/>
    <x v="2"/>
    <x v="3"/>
    <s v="Sony Bluetooth Soundbar"/>
    <n v="22741.26"/>
    <n v="1"/>
    <n v="3379.23"/>
    <x v="7"/>
    <x v="2"/>
  </r>
  <r>
    <d v="2025-09-01T00:00:00"/>
    <x v="26"/>
    <x v="3"/>
    <x v="0"/>
    <x v="4"/>
    <x v="11"/>
    <s v="Braun Electric Shaver"/>
    <n v="10768.45"/>
    <n v="2"/>
    <n v="1953.83"/>
    <x v="8"/>
    <x v="2"/>
  </r>
  <r>
    <d v="2025-09-03T00:00:00"/>
    <x v="13"/>
    <x v="0"/>
    <x v="0"/>
    <x v="2"/>
    <x v="8"/>
    <s v="Sony 55 inch Bravia 4K TV"/>
    <n v="164881.25"/>
    <n v="2"/>
    <n v="18667.12"/>
    <x v="8"/>
    <x v="2"/>
  </r>
  <r>
    <d v="2025-09-04T00:00:00"/>
    <x v="14"/>
    <x v="3"/>
    <x v="0"/>
    <x v="4"/>
    <x v="11"/>
    <s v="Philips Trimmer"/>
    <n v="7398.42"/>
    <n v="3"/>
    <n v="1235.25"/>
    <x v="8"/>
    <x v="2"/>
  </r>
  <r>
    <d v="2025-09-05T00:00:00"/>
    <x v="3"/>
    <x v="2"/>
    <x v="0"/>
    <x v="1"/>
    <x v="1"/>
    <s v="Dell Inspiron 15 Laptop"/>
    <n v="54153.72"/>
    <n v="1"/>
    <n v="7478.99"/>
    <x v="8"/>
    <x v="2"/>
  </r>
  <r>
    <d v="2025-09-05T00:00:00"/>
    <x v="12"/>
    <x v="13"/>
    <x v="0"/>
    <x v="4"/>
    <x v="11"/>
    <s v="Philips Hair Dryer"/>
    <n v="1952.29"/>
    <n v="1"/>
    <n v="452.78"/>
    <x v="8"/>
    <x v="2"/>
  </r>
  <r>
    <d v="2025-09-06T00:00:00"/>
    <x v="4"/>
    <x v="12"/>
    <x v="0"/>
    <x v="2"/>
    <x v="8"/>
    <s v="LG 55 inch OLED Smart TV"/>
    <n v="197868.94"/>
    <n v="2"/>
    <n v="34478.01"/>
    <x v="8"/>
    <x v="2"/>
  </r>
  <r>
    <d v="2025-09-06T00:00:00"/>
    <x v="18"/>
    <x v="11"/>
    <x v="0"/>
    <x v="4"/>
    <x v="6"/>
    <s v="Dyson V8 Vacuum Cleaner"/>
    <n v="90309.6"/>
    <n v="3"/>
    <n v="14811.45"/>
    <x v="8"/>
    <x v="2"/>
  </r>
  <r>
    <d v="2025-09-07T00:00:00"/>
    <x v="20"/>
    <x v="14"/>
    <x v="0"/>
    <x v="4"/>
    <x v="11"/>
    <s v="Philips Trimmer"/>
    <n v="9002.65"/>
    <n v="4"/>
    <n v="1877.7"/>
    <x v="8"/>
    <x v="2"/>
  </r>
  <r>
    <d v="2025-09-08T00:00:00"/>
    <x v="26"/>
    <x v="7"/>
    <x v="0"/>
    <x v="1"/>
    <x v="5"/>
    <s v="Logitech Wireless Keyboard"/>
    <n v="2413.52"/>
    <n v="1"/>
    <n v="347.9"/>
    <x v="8"/>
    <x v="2"/>
  </r>
  <r>
    <d v="2025-09-09T00:00:00"/>
    <x v="16"/>
    <x v="0"/>
    <x v="0"/>
    <x v="1"/>
    <x v="1"/>
    <s v="ASUS Vivobook 15"/>
    <n v="147223.06"/>
    <n v="3"/>
    <n v="21547.41"/>
    <x v="8"/>
    <x v="2"/>
  </r>
  <r>
    <d v="2025-09-11T00:00:00"/>
    <x v="17"/>
    <x v="14"/>
    <x v="0"/>
    <x v="0"/>
    <x v="2"/>
    <s v="Nothing Phone 2"/>
    <n v="44104.53"/>
    <n v="1"/>
    <n v="4925.32"/>
    <x v="8"/>
    <x v="2"/>
  </r>
  <r>
    <d v="2025-09-14T00:00:00"/>
    <x v="0"/>
    <x v="7"/>
    <x v="0"/>
    <x v="0"/>
    <x v="0"/>
    <s v="Portronics Power Bank 20000mAh"/>
    <n v="2155.96"/>
    <n v="1"/>
    <n v="240.75"/>
    <x v="8"/>
    <x v="2"/>
  </r>
  <r>
    <d v="2025-09-14T00:00:00"/>
    <x v="21"/>
    <x v="6"/>
    <x v="0"/>
    <x v="3"/>
    <x v="7"/>
    <s v="Philips Air Fryer"/>
    <n v="22518.85"/>
    <n v="3"/>
    <n v="3409.85"/>
    <x v="8"/>
    <x v="2"/>
  </r>
  <r>
    <d v="2025-09-15T00:00:00"/>
    <x v="5"/>
    <x v="8"/>
    <x v="0"/>
    <x v="4"/>
    <x v="11"/>
    <s v="Braun Electric Shaver"/>
    <n v="11917.29"/>
    <n v="2"/>
    <n v="2540.38"/>
    <x v="8"/>
    <x v="2"/>
  </r>
  <r>
    <d v="2025-09-15T00:00:00"/>
    <x v="0"/>
    <x v="3"/>
    <x v="0"/>
    <x v="1"/>
    <x v="5"/>
    <s v="Logitech Wireless Keyboard"/>
    <n v="2123.16"/>
    <n v="1"/>
    <n v="200.08"/>
    <x v="8"/>
    <x v="2"/>
  </r>
  <r>
    <d v="2025-09-15T00:00:00"/>
    <x v="26"/>
    <x v="0"/>
    <x v="0"/>
    <x v="0"/>
    <x v="0"/>
    <s v="Apple 20W USB-C Power Adapter"/>
    <n v="1743.86"/>
    <n v="1"/>
    <n v="222.73"/>
    <x v="8"/>
    <x v="2"/>
  </r>
  <r>
    <d v="2025-09-16T00:00:00"/>
    <x v="20"/>
    <x v="1"/>
    <x v="0"/>
    <x v="2"/>
    <x v="8"/>
    <s v="LG 55 inch OLED Smart TV"/>
    <n v="88155.79"/>
    <n v="1"/>
    <n v="12396.12"/>
    <x v="8"/>
    <x v="2"/>
  </r>
  <r>
    <d v="2025-09-16T00:00:00"/>
    <x v="1"/>
    <x v="8"/>
    <x v="0"/>
    <x v="3"/>
    <x v="10"/>
    <s v="Voltas 1.5 Ton Split AC"/>
    <n v="32524.94"/>
    <n v="1"/>
    <n v="-825.05"/>
    <x v="8"/>
    <x v="2"/>
  </r>
  <r>
    <d v="2025-09-17T00:00:00"/>
    <x v="14"/>
    <x v="12"/>
    <x v="0"/>
    <x v="4"/>
    <x v="6"/>
    <s v="Dyson V8 Vacuum Cleaner"/>
    <n v="89273.67"/>
    <n v="3"/>
    <n v="10010.51"/>
    <x v="8"/>
    <x v="2"/>
  </r>
  <r>
    <d v="2025-09-18T00:00:00"/>
    <x v="16"/>
    <x v="10"/>
    <x v="0"/>
    <x v="4"/>
    <x v="6"/>
    <s v="Dyson V8 Vacuum Cleaner"/>
    <n v="118052.3"/>
    <n v="4"/>
    <n v="28014.81"/>
    <x v="8"/>
    <x v="2"/>
  </r>
  <r>
    <d v="2025-09-19T00:00:00"/>
    <x v="10"/>
    <x v="14"/>
    <x v="0"/>
    <x v="1"/>
    <x v="5"/>
    <s v="Logitech Wireless Keyboard"/>
    <n v="4787.04"/>
    <n v="2"/>
    <n v="495.86"/>
    <x v="8"/>
    <x v="2"/>
  </r>
  <r>
    <d v="2025-09-19T00:00:00"/>
    <x v="19"/>
    <x v="0"/>
    <x v="0"/>
    <x v="2"/>
    <x v="3"/>
    <s v="Sony Bluetooth Soundbar"/>
    <n v="22788.84"/>
    <n v="1"/>
    <n v="2349.12"/>
    <x v="8"/>
    <x v="2"/>
  </r>
  <r>
    <d v="2025-09-20T00:00:00"/>
    <x v="4"/>
    <x v="10"/>
    <x v="0"/>
    <x v="0"/>
    <x v="2"/>
    <s v="Apple iPhone 15"/>
    <n v="118745.23"/>
    <n v="2"/>
    <n v="7298.71"/>
    <x v="8"/>
    <x v="2"/>
  </r>
  <r>
    <d v="2025-09-20T00:00:00"/>
    <x v="1"/>
    <x v="8"/>
    <x v="0"/>
    <x v="4"/>
    <x v="6"/>
    <s v="Philips Air Purifier"/>
    <n v="28955.89"/>
    <n v="2"/>
    <n v="3652.14"/>
    <x v="8"/>
    <x v="2"/>
  </r>
  <r>
    <d v="2025-09-20T00:00:00"/>
    <x v="5"/>
    <x v="6"/>
    <x v="0"/>
    <x v="4"/>
    <x v="11"/>
    <s v="Philips Trimmer"/>
    <n v="10319.34"/>
    <n v="5"/>
    <n v="1892.32"/>
    <x v="8"/>
    <x v="2"/>
  </r>
  <r>
    <d v="2025-09-21T00:00:00"/>
    <x v="24"/>
    <x v="5"/>
    <x v="0"/>
    <x v="3"/>
    <x v="9"/>
    <s v="LG 260L Double Door Refrigerator"/>
    <n v="32135.77"/>
    <n v="1"/>
    <n v="4918.01"/>
    <x v="8"/>
    <x v="2"/>
  </r>
  <r>
    <d v="2025-09-21T00:00:00"/>
    <x v="0"/>
    <x v="5"/>
    <x v="0"/>
    <x v="3"/>
    <x v="4"/>
    <s v="IFB 7kg Front Load Washing Machine"/>
    <n v="30459.73"/>
    <n v="1"/>
    <n v="6082.09"/>
    <x v="8"/>
    <x v="2"/>
  </r>
  <r>
    <d v="2025-09-22T00:00:00"/>
    <x v="26"/>
    <x v="14"/>
    <x v="0"/>
    <x v="2"/>
    <x v="8"/>
    <s v="Samsung 55 inch 4K Smart TV"/>
    <n v="60061.1"/>
    <n v="1"/>
    <n v="7854.13"/>
    <x v="8"/>
    <x v="2"/>
  </r>
  <r>
    <d v="2025-09-22T00:00:00"/>
    <x v="15"/>
    <x v="3"/>
    <x v="0"/>
    <x v="2"/>
    <x v="8"/>
    <s v="OnePlus 43 inch 4K Smart TV"/>
    <n v="25992.83"/>
    <n v="1"/>
    <n v="2627.28"/>
    <x v="8"/>
    <x v="2"/>
  </r>
  <r>
    <d v="2025-09-23T00:00:00"/>
    <x v="2"/>
    <x v="5"/>
    <x v="0"/>
    <x v="4"/>
    <x v="6"/>
    <s v="Philips Air Purifier"/>
    <n v="26254.9"/>
    <n v="2"/>
    <n v="4077.38"/>
    <x v="8"/>
    <x v="2"/>
  </r>
  <r>
    <d v="2025-09-23T00:00:00"/>
    <x v="15"/>
    <x v="10"/>
    <x v="0"/>
    <x v="1"/>
    <x v="1"/>
    <s v="Apple MacBook Air M2"/>
    <n v="97269.06"/>
    <n v="1"/>
    <n v="13521.72"/>
    <x v="8"/>
    <x v="2"/>
  </r>
  <r>
    <d v="2025-09-24T00:00:00"/>
    <x v="10"/>
    <x v="10"/>
    <x v="0"/>
    <x v="2"/>
    <x v="3"/>
    <s v="JBL 5.1 Soundbar"/>
    <n v="59720.81"/>
    <n v="2"/>
    <n v="7037.41"/>
    <x v="8"/>
    <x v="2"/>
  </r>
  <r>
    <d v="2025-09-24T00:00:00"/>
    <x v="17"/>
    <x v="10"/>
    <x v="0"/>
    <x v="2"/>
    <x v="8"/>
    <s v="Samsung 55 inch 4K Smart TV"/>
    <n v="69110.53"/>
    <n v="1"/>
    <n v="6866.12"/>
    <x v="8"/>
    <x v="2"/>
  </r>
  <r>
    <d v="2025-09-24T00:00:00"/>
    <x v="22"/>
    <x v="0"/>
    <x v="0"/>
    <x v="2"/>
    <x v="8"/>
    <s v="Samsung 55 inch 4K Smart TV"/>
    <n v="311946.52"/>
    <n v="5"/>
    <n v="43642.78"/>
    <x v="8"/>
    <x v="2"/>
  </r>
  <r>
    <d v="2025-09-25T00:00:00"/>
    <x v="7"/>
    <x v="10"/>
    <x v="0"/>
    <x v="2"/>
    <x v="3"/>
    <s v="boAt Home Theatre System"/>
    <n v="22931.48"/>
    <n v="2"/>
    <n v="3778.67"/>
    <x v="8"/>
    <x v="2"/>
  </r>
  <r>
    <d v="2025-09-26T00:00:00"/>
    <x v="17"/>
    <x v="5"/>
    <x v="0"/>
    <x v="0"/>
    <x v="2"/>
    <s v="Nothing Phone 2"/>
    <n v="199284.53"/>
    <n v="5"/>
    <n v="24463.37"/>
    <x v="8"/>
    <x v="2"/>
  </r>
  <r>
    <d v="2025-09-26T00:00:00"/>
    <x v="18"/>
    <x v="5"/>
    <x v="0"/>
    <x v="4"/>
    <x v="6"/>
    <s v="Philips Air Purifier"/>
    <n v="24987.02"/>
    <n v="2"/>
    <n v="3837.06"/>
    <x v="8"/>
    <x v="2"/>
  </r>
  <r>
    <d v="2025-09-27T00:00:00"/>
    <x v="18"/>
    <x v="6"/>
    <x v="0"/>
    <x v="2"/>
    <x v="3"/>
    <s v="Sony Wireless Headphones"/>
    <n v="9958.99"/>
    <n v="1"/>
    <n v="1089.75"/>
    <x v="8"/>
    <x v="2"/>
  </r>
  <r>
    <d v="2025-09-27T00:00:00"/>
    <x v="21"/>
    <x v="9"/>
    <x v="0"/>
    <x v="2"/>
    <x v="8"/>
    <s v="TCL 50 inch 4K Smart TV"/>
    <n v="41186.69"/>
    <n v="1"/>
    <n v="6011.49"/>
    <x v="8"/>
    <x v="2"/>
  </r>
  <r>
    <d v="2025-09-27T00:00:00"/>
    <x v="2"/>
    <x v="13"/>
    <x v="0"/>
    <x v="4"/>
    <x v="11"/>
    <s v="Braun Electric Shaver"/>
    <n v="10322.44"/>
    <n v="2"/>
    <n v="2464.62"/>
    <x v="8"/>
    <x v="2"/>
  </r>
  <r>
    <d v="2025-09-28T00:00:00"/>
    <x v="28"/>
    <x v="2"/>
    <x v="0"/>
    <x v="4"/>
    <x v="6"/>
    <s v="Eureka Forbes Vacuum Cleaner"/>
    <n v="10890.48"/>
    <n v="1"/>
    <n v="-461.39"/>
    <x v="8"/>
    <x v="2"/>
  </r>
  <r>
    <d v="2025-09-28T00:00:00"/>
    <x v="22"/>
    <x v="12"/>
    <x v="0"/>
    <x v="4"/>
    <x v="11"/>
    <s v="Braun Electric Shaver"/>
    <n v="10834.71"/>
    <n v="2"/>
    <n v="2437.38"/>
    <x v="8"/>
    <x v="2"/>
  </r>
  <r>
    <d v="2025-09-28T00:00:00"/>
    <x v="10"/>
    <x v="4"/>
    <x v="0"/>
    <x v="4"/>
    <x v="11"/>
    <s v="Philips Hair Dryer"/>
    <n v="3287.46"/>
    <n v="2"/>
    <n v="549.42999999999995"/>
    <x v="8"/>
    <x v="2"/>
  </r>
  <r>
    <d v="2025-09-28T00:00:00"/>
    <x v="6"/>
    <x v="12"/>
    <x v="0"/>
    <x v="2"/>
    <x v="8"/>
    <s v="Sony 55 inch Bravia 4K TV"/>
    <n v="81699.259999999995"/>
    <n v="1"/>
    <n v="13488.45"/>
    <x v="8"/>
    <x v="2"/>
  </r>
  <r>
    <d v="2025-09-29T00:00:00"/>
    <x v="4"/>
    <x v="6"/>
    <x v="0"/>
    <x v="0"/>
    <x v="2"/>
    <s v="Samsung Galaxy A55"/>
    <n v="36907.33"/>
    <n v="1"/>
    <n v="3639.52"/>
    <x v="8"/>
    <x v="2"/>
  </r>
  <r>
    <d v="2025-09-29T00:00:00"/>
    <x v="13"/>
    <x v="12"/>
    <x v="0"/>
    <x v="2"/>
    <x v="8"/>
    <s v="OnePlus 43 inch 4K Smart TV"/>
    <n v="26158.91"/>
    <n v="1"/>
    <n v="2431.17"/>
    <x v="8"/>
    <x v="2"/>
  </r>
  <r>
    <d v="2025-09-30T00:00:00"/>
    <x v="16"/>
    <x v="5"/>
    <x v="0"/>
    <x v="1"/>
    <x v="5"/>
    <s v="TP-Link Wi-Fi Router"/>
    <n v="2658.36"/>
    <n v="1"/>
    <n v="-181.91"/>
    <x v="8"/>
    <x v="2"/>
  </r>
  <r>
    <d v="2025-10-01T00:00:00"/>
    <x v="8"/>
    <x v="1"/>
    <x v="0"/>
    <x v="4"/>
    <x v="6"/>
    <s v="Dyson V8 Vacuum Cleaner"/>
    <n v="68011.039999999994"/>
    <n v="2"/>
    <n v="7331.81"/>
    <x v="9"/>
    <x v="2"/>
  </r>
  <r>
    <d v="2025-10-01T00:00:00"/>
    <x v="13"/>
    <x v="10"/>
    <x v="0"/>
    <x v="4"/>
    <x v="6"/>
    <s v="Philips Air Purifier"/>
    <n v="28014.15"/>
    <n v="2"/>
    <n v="2854.6"/>
    <x v="9"/>
    <x v="2"/>
  </r>
  <r>
    <d v="2025-10-02T00:00:00"/>
    <x v="4"/>
    <x v="12"/>
    <x v="0"/>
    <x v="1"/>
    <x v="1"/>
    <s v="Lenovo IdeaPad Slim 5"/>
    <n v="115614.34"/>
    <n v="2"/>
    <n v="14020.01"/>
    <x v="9"/>
    <x v="2"/>
  </r>
  <r>
    <d v="2025-10-02T00:00:00"/>
    <x v="0"/>
    <x v="12"/>
    <x v="0"/>
    <x v="4"/>
    <x v="11"/>
    <s v="Philips Trimmer"/>
    <n v="4233.6000000000004"/>
    <n v="2"/>
    <n v="480.84"/>
    <x v="9"/>
    <x v="2"/>
  </r>
  <r>
    <d v="2025-10-04T00:00:00"/>
    <x v="7"/>
    <x v="9"/>
    <x v="0"/>
    <x v="4"/>
    <x v="6"/>
    <s v="Eureka Forbes Vacuum Cleaner"/>
    <n v="23539.040000000001"/>
    <n v="2"/>
    <n v="3809.12"/>
    <x v="9"/>
    <x v="2"/>
  </r>
  <r>
    <d v="2025-10-05T00:00:00"/>
    <x v="7"/>
    <x v="3"/>
    <x v="0"/>
    <x v="2"/>
    <x v="8"/>
    <s v="TCL 50 inch 4K Smart TV"/>
    <n v="37801.64"/>
    <n v="1"/>
    <n v="5833.32"/>
    <x v="9"/>
    <x v="2"/>
  </r>
  <r>
    <d v="2025-10-07T00:00:00"/>
    <x v="27"/>
    <x v="6"/>
    <x v="0"/>
    <x v="4"/>
    <x v="11"/>
    <s v="Philips Trimmer"/>
    <n v="2451.67"/>
    <n v="1"/>
    <n v="508.27"/>
    <x v="9"/>
    <x v="2"/>
  </r>
  <r>
    <d v="2025-10-08T00:00:00"/>
    <x v="21"/>
    <x v="10"/>
    <x v="0"/>
    <x v="4"/>
    <x v="6"/>
    <s v="Dyson V8 Vacuum Cleaner"/>
    <n v="94546.85"/>
    <n v="3"/>
    <n v="17554.78"/>
    <x v="9"/>
    <x v="2"/>
  </r>
  <r>
    <d v="2025-10-08T00:00:00"/>
    <x v="18"/>
    <x v="13"/>
    <x v="0"/>
    <x v="3"/>
    <x v="4"/>
    <s v="LG 7kg Fully Automatic Washing Machine"/>
    <n v="84558.82"/>
    <n v="3"/>
    <n v="9810.5400000000009"/>
    <x v="9"/>
    <x v="2"/>
  </r>
  <r>
    <d v="2025-10-09T00:00:00"/>
    <x v="14"/>
    <x v="11"/>
    <x v="0"/>
    <x v="2"/>
    <x v="3"/>
    <s v="JBL 5.1 Soundbar"/>
    <n v="31214.14"/>
    <n v="1"/>
    <n v="4107.2"/>
    <x v="9"/>
    <x v="2"/>
  </r>
  <r>
    <d v="2025-10-09T00:00:00"/>
    <x v="25"/>
    <x v="13"/>
    <x v="0"/>
    <x v="3"/>
    <x v="7"/>
    <s v="Philips Air Fryer"/>
    <n v="15195.17"/>
    <n v="2"/>
    <n v="1726.54"/>
    <x v="9"/>
    <x v="2"/>
  </r>
  <r>
    <d v="2025-10-10T00:00:00"/>
    <x v="2"/>
    <x v="13"/>
    <x v="0"/>
    <x v="3"/>
    <x v="9"/>
    <s v="Samsung 253L Refrigerator"/>
    <n v="27862.720000000001"/>
    <n v="1"/>
    <n v="5064.5600000000004"/>
    <x v="9"/>
    <x v="2"/>
  </r>
  <r>
    <d v="2025-10-10T00:00:00"/>
    <x v="21"/>
    <x v="5"/>
    <x v="0"/>
    <x v="4"/>
    <x v="6"/>
    <s v="Eureka Forbes Vacuum Cleaner"/>
    <n v="11453.18"/>
    <n v="1"/>
    <n v="1968.56"/>
    <x v="9"/>
    <x v="2"/>
  </r>
  <r>
    <d v="2025-10-11T00:00:00"/>
    <x v="18"/>
    <x v="1"/>
    <x v="0"/>
    <x v="0"/>
    <x v="2"/>
    <s v="OnePlus 12"/>
    <n v="166100.22"/>
    <n v="3"/>
    <n v="15450.24"/>
    <x v="9"/>
    <x v="2"/>
  </r>
  <r>
    <d v="2025-10-11T00:00:00"/>
    <x v="26"/>
    <x v="9"/>
    <x v="0"/>
    <x v="2"/>
    <x v="3"/>
    <s v="boAt Home Theatre System"/>
    <n v="24650.36"/>
    <n v="2"/>
    <n v="1979.69"/>
    <x v="9"/>
    <x v="2"/>
  </r>
  <r>
    <d v="2025-10-12T00:00:00"/>
    <x v="22"/>
    <x v="12"/>
    <x v="0"/>
    <x v="3"/>
    <x v="4"/>
    <s v="IFB 7kg Front Load Washing Machine"/>
    <n v="28318.720000000001"/>
    <n v="1"/>
    <n v="2982.04"/>
    <x v="9"/>
    <x v="2"/>
  </r>
  <r>
    <d v="2025-10-13T00:00:00"/>
    <x v="19"/>
    <x v="13"/>
    <x v="0"/>
    <x v="3"/>
    <x v="7"/>
    <s v="Bajaj Mixer Grinder"/>
    <n v="14368.78"/>
    <n v="3"/>
    <n v="1650.38"/>
    <x v="9"/>
    <x v="2"/>
  </r>
  <r>
    <d v="2025-10-13T00:00:00"/>
    <x v="29"/>
    <x v="3"/>
    <x v="0"/>
    <x v="2"/>
    <x v="8"/>
    <s v="Sony 55 inch Bravia 4K TV"/>
    <n v="76050.86"/>
    <n v="1"/>
    <n v="9049.68"/>
    <x v="9"/>
    <x v="2"/>
  </r>
  <r>
    <d v="2025-10-14T00:00:00"/>
    <x v="19"/>
    <x v="14"/>
    <x v="0"/>
    <x v="1"/>
    <x v="5"/>
    <s v="Dell 27 inch Monitor"/>
    <n v="16085.1"/>
    <n v="1"/>
    <n v="-223.18"/>
    <x v="9"/>
    <x v="2"/>
  </r>
  <r>
    <d v="2025-10-14T00:00:00"/>
    <x v="13"/>
    <x v="12"/>
    <x v="0"/>
    <x v="1"/>
    <x v="1"/>
    <s v="ASUS Vivobook 15"/>
    <n v="45337.37"/>
    <n v="1"/>
    <n v="4975.09"/>
    <x v="9"/>
    <x v="2"/>
  </r>
  <r>
    <d v="2025-10-15T00:00:00"/>
    <x v="18"/>
    <x v="1"/>
    <x v="0"/>
    <x v="3"/>
    <x v="4"/>
    <s v="Samsung 8kg Front Load Washing Machine"/>
    <n v="34843.86"/>
    <n v="1"/>
    <n v="4990.8100000000004"/>
    <x v="9"/>
    <x v="2"/>
  </r>
  <r>
    <d v="2025-10-15T00:00:00"/>
    <x v="7"/>
    <x v="6"/>
    <x v="0"/>
    <x v="0"/>
    <x v="2"/>
    <s v="OnePlus 12"/>
    <n v="107324.99"/>
    <n v="2"/>
    <n v="13987.68"/>
    <x v="9"/>
    <x v="2"/>
  </r>
  <r>
    <d v="2025-10-15T00:00:00"/>
    <x v="9"/>
    <x v="9"/>
    <x v="0"/>
    <x v="1"/>
    <x v="5"/>
    <s v="Logitech Wireless Mouse"/>
    <n v="1335.27"/>
    <n v="1"/>
    <n v="160.12"/>
    <x v="9"/>
    <x v="2"/>
  </r>
  <r>
    <d v="2025-10-16T00:00:00"/>
    <x v="20"/>
    <x v="5"/>
    <x v="0"/>
    <x v="2"/>
    <x v="8"/>
    <s v="TCL 50 inch 4K Smart TV"/>
    <n v="78867.5"/>
    <n v="2"/>
    <n v="11568.61"/>
    <x v="9"/>
    <x v="2"/>
  </r>
  <r>
    <d v="2025-10-17T00:00:00"/>
    <x v="16"/>
    <x v="8"/>
    <x v="0"/>
    <x v="0"/>
    <x v="0"/>
    <s v="Apple 20W USB-C Power Adapter"/>
    <n v="4969.74"/>
    <n v="3"/>
    <n v="323.25"/>
    <x v="9"/>
    <x v="2"/>
  </r>
  <r>
    <d v="2025-10-18T00:00:00"/>
    <x v="3"/>
    <x v="0"/>
    <x v="0"/>
    <x v="3"/>
    <x v="9"/>
    <s v="LG 260L Double Door Refrigerator"/>
    <n v="29418.58"/>
    <n v="1"/>
    <n v="4440.46"/>
    <x v="9"/>
    <x v="2"/>
  </r>
  <r>
    <d v="2025-10-19T00:00:00"/>
    <x v="18"/>
    <x v="4"/>
    <x v="0"/>
    <x v="1"/>
    <x v="5"/>
    <s v="Dell 27 inch Monitor"/>
    <n v="67186.240000000005"/>
    <n v="4"/>
    <n v="7999.16"/>
    <x v="9"/>
    <x v="2"/>
  </r>
  <r>
    <d v="2025-10-19T00:00:00"/>
    <x v="15"/>
    <x v="6"/>
    <x v="0"/>
    <x v="4"/>
    <x v="6"/>
    <s v="Philips Air Purifier"/>
    <n v="56116.71"/>
    <n v="4"/>
    <n v="10849.31"/>
    <x v="9"/>
    <x v="2"/>
  </r>
  <r>
    <d v="2025-10-21T00:00:00"/>
    <x v="2"/>
    <x v="12"/>
    <x v="0"/>
    <x v="4"/>
    <x v="11"/>
    <s v="Braun Electric Shaver"/>
    <n v="11758.55"/>
    <n v="2"/>
    <n v="1951.18"/>
    <x v="9"/>
    <x v="2"/>
  </r>
  <r>
    <d v="2025-10-22T00:00:00"/>
    <x v="23"/>
    <x v="7"/>
    <x v="0"/>
    <x v="4"/>
    <x v="11"/>
    <s v="Philips Trimmer"/>
    <n v="9051.2800000000007"/>
    <n v="4"/>
    <n v="1555.25"/>
    <x v="9"/>
    <x v="2"/>
  </r>
  <r>
    <d v="2025-10-23T00:00:00"/>
    <x v="17"/>
    <x v="1"/>
    <x v="0"/>
    <x v="1"/>
    <x v="5"/>
    <s v="Dell 27 inch Monitor"/>
    <n v="32026.98"/>
    <n v="2"/>
    <n v="3785.76"/>
    <x v="9"/>
    <x v="2"/>
  </r>
  <r>
    <d v="2025-10-24T00:00:00"/>
    <x v="22"/>
    <x v="5"/>
    <x v="0"/>
    <x v="3"/>
    <x v="9"/>
    <s v="Whirlpool 265L Frost Free Refrigerator"/>
    <n v="28870.73"/>
    <n v="1"/>
    <n v="3435.79"/>
    <x v="9"/>
    <x v="2"/>
  </r>
  <r>
    <d v="2025-10-25T00:00:00"/>
    <x v="25"/>
    <x v="13"/>
    <x v="0"/>
    <x v="3"/>
    <x v="4"/>
    <s v="LG 7kg Fully Automatic Washing Machine"/>
    <n v="105014.61"/>
    <n v="4"/>
    <n v="11437.8"/>
    <x v="9"/>
    <x v="2"/>
  </r>
  <r>
    <d v="2025-10-25T00:00:00"/>
    <x v="17"/>
    <x v="12"/>
    <x v="0"/>
    <x v="1"/>
    <x v="1"/>
    <s v="HP Pavilion 15 Laptop"/>
    <n v="62427.86"/>
    <n v="1"/>
    <n v="9962.02"/>
    <x v="9"/>
    <x v="2"/>
  </r>
  <r>
    <d v="2025-10-26T00:00:00"/>
    <x v="7"/>
    <x v="8"/>
    <x v="0"/>
    <x v="4"/>
    <x v="11"/>
    <s v="Philips Hair Dryer"/>
    <n v="1729.17"/>
    <n v="1"/>
    <n v="368.81"/>
    <x v="9"/>
    <x v="2"/>
  </r>
  <r>
    <d v="2025-10-27T00:00:00"/>
    <x v="22"/>
    <x v="3"/>
    <x v="0"/>
    <x v="0"/>
    <x v="0"/>
    <s v="Samsung 25W Charger"/>
    <n v="5413.96"/>
    <n v="4"/>
    <n v="325.42"/>
    <x v="9"/>
    <x v="2"/>
  </r>
  <r>
    <d v="2025-10-29T00:00:00"/>
    <x v="8"/>
    <x v="12"/>
    <x v="0"/>
    <x v="2"/>
    <x v="8"/>
    <s v="LG 55 inch OLED Smart TV"/>
    <n v="88925.64"/>
    <n v="1"/>
    <n v="7461.19"/>
    <x v="9"/>
    <x v="2"/>
  </r>
  <r>
    <d v="2025-10-30T00:00:00"/>
    <x v="5"/>
    <x v="3"/>
    <x v="0"/>
    <x v="1"/>
    <x v="1"/>
    <s v="ASUS Vivobook 15"/>
    <n v="157374.44"/>
    <n v="3"/>
    <n v="-12531.35"/>
    <x v="9"/>
    <x v="2"/>
  </r>
  <r>
    <d v="2025-10-30T00:00:00"/>
    <x v="9"/>
    <x v="3"/>
    <x v="0"/>
    <x v="1"/>
    <x v="1"/>
    <s v="Lenovo IdeaPad Slim 5"/>
    <n v="63008.12"/>
    <n v="1"/>
    <n v="7461.24"/>
    <x v="9"/>
    <x v="2"/>
  </r>
  <r>
    <d v="2025-10-30T00:00:00"/>
    <x v="3"/>
    <x v="9"/>
    <x v="0"/>
    <x v="3"/>
    <x v="9"/>
    <s v="Samsung 253L Refrigerator"/>
    <n v="78759.23"/>
    <n v="3"/>
    <n v="15631.06"/>
    <x v="9"/>
    <x v="2"/>
  </r>
  <r>
    <d v="2025-11-01T00:00:00"/>
    <x v="27"/>
    <x v="9"/>
    <x v="0"/>
    <x v="0"/>
    <x v="0"/>
    <s v="JBL Bluetooth Earbuds"/>
    <n v="5870.91"/>
    <n v="2"/>
    <n v="598.61"/>
    <x v="10"/>
    <x v="2"/>
  </r>
  <r>
    <d v="2025-11-02T00:00:00"/>
    <x v="15"/>
    <x v="9"/>
    <x v="0"/>
    <x v="1"/>
    <x v="1"/>
    <s v="Dell Inspiron 15 Laptop"/>
    <n v="57315.01"/>
    <n v="1"/>
    <n v="8790.66"/>
    <x v="10"/>
    <x v="2"/>
  </r>
  <r>
    <d v="2025-11-02T00:00:00"/>
    <x v="7"/>
    <x v="1"/>
    <x v="0"/>
    <x v="0"/>
    <x v="0"/>
    <s v="JBL Bluetooth Earbuds"/>
    <n v="10262.219999999999"/>
    <n v="4"/>
    <n v="1499.35"/>
    <x v="10"/>
    <x v="2"/>
  </r>
  <r>
    <d v="2025-11-03T00:00:00"/>
    <x v="2"/>
    <x v="4"/>
    <x v="0"/>
    <x v="4"/>
    <x v="6"/>
    <s v="Dyson V8 Vacuum Cleaner"/>
    <n v="68941.710000000006"/>
    <n v="2"/>
    <n v="12073.01"/>
    <x v="10"/>
    <x v="2"/>
  </r>
  <r>
    <d v="2025-11-04T00:00:00"/>
    <x v="22"/>
    <x v="4"/>
    <x v="0"/>
    <x v="4"/>
    <x v="6"/>
    <s v="Eureka Forbes Vacuum Cleaner"/>
    <n v="21454.37"/>
    <n v="2"/>
    <n v="3889.71"/>
    <x v="10"/>
    <x v="2"/>
  </r>
  <r>
    <d v="2025-11-05T00:00:00"/>
    <x v="4"/>
    <x v="1"/>
    <x v="0"/>
    <x v="4"/>
    <x v="11"/>
    <s v="Philips Trimmer"/>
    <n v="7438.25"/>
    <n v="3"/>
    <n v="1146.71"/>
    <x v="10"/>
    <x v="2"/>
  </r>
  <r>
    <d v="2025-11-05T00:00:00"/>
    <x v="0"/>
    <x v="8"/>
    <x v="0"/>
    <x v="2"/>
    <x v="3"/>
    <s v="Sony Bluetooth Soundbar"/>
    <n v="21406.68"/>
    <n v="1"/>
    <n v="3179.41"/>
    <x v="10"/>
    <x v="2"/>
  </r>
  <r>
    <d v="2025-11-06T00:00:00"/>
    <x v="13"/>
    <x v="2"/>
    <x v="0"/>
    <x v="2"/>
    <x v="8"/>
    <s v="Sony 55 inch Bravia 4K TV"/>
    <n v="215757.09"/>
    <n v="3"/>
    <n v="24593.62"/>
    <x v="10"/>
    <x v="2"/>
  </r>
  <r>
    <d v="2025-11-07T00:00:00"/>
    <x v="13"/>
    <x v="7"/>
    <x v="0"/>
    <x v="4"/>
    <x v="6"/>
    <s v="Dyson V8 Vacuum Cleaner"/>
    <n v="67833.45"/>
    <n v="2"/>
    <n v="10052.23"/>
    <x v="10"/>
    <x v="2"/>
  </r>
  <r>
    <d v="2025-11-09T00:00:00"/>
    <x v="28"/>
    <x v="9"/>
    <x v="0"/>
    <x v="0"/>
    <x v="0"/>
    <s v="boAt Wireless Earphones"/>
    <n v="1656.98"/>
    <n v="1"/>
    <n v="175.28"/>
    <x v="10"/>
    <x v="2"/>
  </r>
  <r>
    <d v="2025-11-13T00:00:00"/>
    <x v="8"/>
    <x v="7"/>
    <x v="0"/>
    <x v="1"/>
    <x v="5"/>
    <s v="HP 24 inch Monitor"/>
    <n v="21900.62"/>
    <n v="2"/>
    <n v="2269.5300000000002"/>
    <x v="10"/>
    <x v="2"/>
  </r>
  <r>
    <d v="2025-11-13T00:00:00"/>
    <x v="23"/>
    <x v="14"/>
    <x v="0"/>
    <x v="2"/>
    <x v="3"/>
    <s v="boAt Home Theatre System"/>
    <n v="24878.09"/>
    <n v="2"/>
    <n v="3164.91"/>
    <x v="10"/>
    <x v="2"/>
  </r>
  <r>
    <d v="2025-11-14T00:00:00"/>
    <x v="9"/>
    <x v="14"/>
    <x v="0"/>
    <x v="3"/>
    <x v="10"/>
    <s v="Voltas 1.5 Ton Split AC"/>
    <n v="64738.03"/>
    <n v="2"/>
    <n v="12236.37"/>
    <x v="10"/>
    <x v="2"/>
  </r>
  <r>
    <d v="2025-11-15T00:00:00"/>
    <x v="11"/>
    <x v="9"/>
    <x v="0"/>
    <x v="2"/>
    <x v="8"/>
    <s v="OnePlus 43 inch 4K Smart TV"/>
    <n v="86849.02"/>
    <n v="3"/>
    <n v="8523"/>
    <x v="10"/>
    <x v="2"/>
  </r>
  <r>
    <d v="2025-11-17T00:00:00"/>
    <x v="24"/>
    <x v="11"/>
    <x v="0"/>
    <x v="3"/>
    <x v="9"/>
    <s v="Samsung 253L Refrigerator"/>
    <n v="30253.06"/>
    <n v="1"/>
    <n v="2457.54"/>
    <x v="10"/>
    <x v="2"/>
  </r>
  <r>
    <d v="2025-11-17T00:00:00"/>
    <x v="7"/>
    <x v="1"/>
    <x v="0"/>
    <x v="3"/>
    <x v="7"/>
    <s v="Philips Air Fryer"/>
    <n v="7832.23"/>
    <n v="1"/>
    <n v="1390.53"/>
    <x v="10"/>
    <x v="2"/>
  </r>
  <r>
    <d v="2025-11-19T00:00:00"/>
    <x v="29"/>
    <x v="4"/>
    <x v="0"/>
    <x v="0"/>
    <x v="2"/>
    <s v="Google Pixel 8"/>
    <n v="197121.31"/>
    <n v="4"/>
    <n v="27209.5"/>
    <x v="10"/>
    <x v="2"/>
  </r>
  <r>
    <d v="2025-11-21T00:00:00"/>
    <x v="9"/>
    <x v="7"/>
    <x v="0"/>
    <x v="4"/>
    <x v="6"/>
    <s v="Dyson V8 Vacuum Cleaner"/>
    <n v="30915.69"/>
    <n v="1"/>
    <n v="4329.91"/>
    <x v="10"/>
    <x v="2"/>
  </r>
  <r>
    <d v="2025-11-21T00:00:00"/>
    <x v="10"/>
    <x v="10"/>
    <x v="0"/>
    <x v="4"/>
    <x v="6"/>
    <s v="Eureka Forbes Vacuum Cleaner"/>
    <n v="22252.89"/>
    <n v="2"/>
    <n v="2331.19"/>
    <x v="10"/>
    <x v="2"/>
  </r>
  <r>
    <d v="2025-11-23T00:00:00"/>
    <x v="23"/>
    <x v="10"/>
    <x v="0"/>
    <x v="0"/>
    <x v="2"/>
    <s v="Apple iPhone 15"/>
    <n v="63523.5"/>
    <n v="1"/>
    <n v="4586.9399999999996"/>
    <x v="10"/>
    <x v="2"/>
  </r>
  <r>
    <d v="2025-11-27T00:00:00"/>
    <x v="14"/>
    <x v="10"/>
    <x v="0"/>
    <x v="0"/>
    <x v="2"/>
    <s v="Nothing Phone 2"/>
    <n v="40292.94"/>
    <n v="1"/>
    <n v="3597.73"/>
    <x v="10"/>
    <x v="2"/>
  </r>
  <r>
    <d v="2025-11-28T00:00:00"/>
    <x v="11"/>
    <x v="13"/>
    <x v="0"/>
    <x v="2"/>
    <x v="3"/>
    <s v="Sony Bluetooth Soundbar"/>
    <n v="74565.429999999993"/>
    <n v="3"/>
    <n v="7486.94"/>
    <x v="10"/>
    <x v="2"/>
  </r>
  <r>
    <d v="2025-11-28T00:00:00"/>
    <x v="24"/>
    <x v="12"/>
    <x v="0"/>
    <x v="4"/>
    <x v="6"/>
    <s v="Philips Air Purifier"/>
    <n v="12840.08"/>
    <n v="1"/>
    <n v="1938.28"/>
    <x v="10"/>
    <x v="2"/>
  </r>
  <r>
    <d v="2025-11-30T00:00:00"/>
    <x v="20"/>
    <x v="6"/>
    <x v="0"/>
    <x v="4"/>
    <x v="11"/>
    <s v="Philips Trimmer"/>
    <n v="2072.1799999999998"/>
    <n v="1"/>
    <n v="474.34"/>
    <x v="10"/>
    <x v="2"/>
  </r>
  <r>
    <d v="2025-11-30T00:00:00"/>
    <x v="14"/>
    <x v="2"/>
    <x v="0"/>
    <x v="0"/>
    <x v="0"/>
    <s v="Apple 20W USB-C Power Adapter"/>
    <n v="1945.67"/>
    <n v="1"/>
    <n v="219.69"/>
    <x v="10"/>
    <x v="2"/>
  </r>
  <r>
    <d v="2025-12-03T00:00:00"/>
    <x v="2"/>
    <x v="8"/>
    <x v="0"/>
    <x v="0"/>
    <x v="2"/>
    <s v="Google Pixel 8"/>
    <n v="166185.96"/>
    <n v="3"/>
    <n v="11585.91"/>
    <x v="11"/>
    <x v="2"/>
  </r>
  <r>
    <d v="2025-12-03T00:00:00"/>
    <x v="17"/>
    <x v="14"/>
    <x v="0"/>
    <x v="4"/>
    <x v="11"/>
    <s v="Braun Electric Shaver"/>
    <n v="11466.91"/>
    <n v="2"/>
    <n v="2087.9899999999998"/>
    <x v="11"/>
    <x v="2"/>
  </r>
  <r>
    <d v="2025-12-04T00:00:00"/>
    <x v="26"/>
    <x v="6"/>
    <x v="0"/>
    <x v="3"/>
    <x v="9"/>
    <s v="LG 260L Double Door Refrigerator"/>
    <n v="59663.42"/>
    <n v="2"/>
    <n v="11663.32"/>
    <x v="11"/>
    <x v="2"/>
  </r>
  <r>
    <d v="2025-12-06T00:00:00"/>
    <x v="8"/>
    <x v="4"/>
    <x v="0"/>
    <x v="0"/>
    <x v="2"/>
    <s v="Samsung Galaxy S24"/>
    <n v="65616.12"/>
    <n v="1"/>
    <n v="9709.9599999999991"/>
    <x v="11"/>
    <x v="2"/>
  </r>
  <r>
    <d v="2025-12-07T00:00:00"/>
    <x v="19"/>
    <x v="6"/>
    <x v="0"/>
    <x v="1"/>
    <x v="1"/>
    <s v="Lenovo IdeaPad Slim 5"/>
    <n v="58430.45"/>
    <n v="1"/>
    <n v="5660.53"/>
    <x v="11"/>
    <x v="2"/>
  </r>
  <r>
    <d v="2025-12-07T00:00:00"/>
    <x v="14"/>
    <x v="4"/>
    <x v="0"/>
    <x v="4"/>
    <x v="11"/>
    <s v="Braun Electric Shaver"/>
    <n v="10000.73"/>
    <n v="2"/>
    <n v="1051.71"/>
    <x v="11"/>
    <x v="2"/>
  </r>
  <r>
    <d v="2025-12-08T00:00:00"/>
    <x v="24"/>
    <x v="8"/>
    <x v="0"/>
    <x v="0"/>
    <x v="2"/>
    <s v="OnePlus 12"/>
    <n v="63282.05"/>
    <n v="1"/>
    <n v="9360.42"/>
    <x v="11"/>
    <x v="2"/>
  </r>
  <r>
    <d v="2025-12-09T00:00:00"/>
    <x v="29"/>
    <x v="14"/>
    <x v="0"/>
    <x v="2"/>
    <x v="3"/>
    <s v="Sony Bluetooth Soundbar"/>
    <n v="24545.4"/>
    <n v="1"/>
    <n v="2772.44"/>
    <x v="11"/>
    <x v="2"/>
  </r>
  <r>
    <d v="2025-12-10T00:00:00"/>
    <x v="22"/>
    <x v="13"/>
    <x v="0"/>
    <x v="4"/>
    <x v="11"/>
    <s v="Braun Electric Shaver"/>
    <n v="16315.4"/>
    <n v="3"/>
    <n v="3203.59"/>
    <x v="11"/>
    <x v="2"/>
  </r>
  <r>
    <d v="2025-12-12T00:00:00"/>
    <x v="9"/>
    <x v="10"/>
    <x v="0"/>
    <x v="2"/>
    <x v="3"/>
    <s v="boAt Home Theatre System"/>
    <n v="22835.18"/>
    <n v="2"/>
    <n v="3808.12"/>
    <x v="11"/>
    <x v="2"/>
  </r>
  <r>
    <d v="2025-12-12T00:00:00"/>
    <x v="0"/>
    <x v="4"/>
    <x v="0"/>
    <x v="4"/>
    <x v="11"/>
    <s v="Philips Trimmer"/>
    <n v="7012.39"/>
    <n v="3"/>
    <n v="1235.81"/>
    <x v="11"/>
    <x v="2"/>
  </r>
  <r>
    <d v="2025-12-12T00:00:00"/>
    <x v="23"/>
    <x v="1"/>
    <x v="0"/>
    <x v="4"/>
    <x v="11"/>
    <s v="Philips Trimmer"/>
    <n v="2464.63"/>
    <n v="1"/>
    <n v="529"/>
    <x v="11"/>
    <x v="2"/>
  </r>
  <r>
    <d v="2025-12-12T00:00:00"/>
    <x v="27"/>
    <x v="6"/>
    <x v="0"/>
    <x v="3"/>
    <x v="7"/>
    <s v="Philips Air Fryer"/>
    <n v="8669.94"/>
    <n v="1"/>
    <n v="1677.86"/>
    <x v="11"/>
    <x v="2"/>
  </r>
  <r>
    <d v="2025-12-14T00:00:00"/>
    <x v="28"/>
    <x v="4"/>
    <x v="0"/>
    <x v="3"/>
    <x v="10"/>
    <s v="LG 1.5 Ton 5 Star Split AC"/>
    <n v="43530.19"/>
    <n v="1"/>
    <n v="4601.28"/>
    <x v="11"/>
    <x v="2"/>
  </r>
  <r>
    <d v="2025-12-14T00:00:00"/>
    <x v="3"/>
    <x v="4"/>
    <x v="0"/>
    <x v="1"/>
    <x v="1"/>
    <s v="Apple MacBook Air M2"/>
    <n v="97069.84"/>
    <n v="1"/>
    <n v="14864.74"/>
    <x v="11"/>
    <x v="2"/>
  </r>
  <r>
    <d v="2025-12-14T00:00:00"/>
    <x v="12"/>
    <x v="11"/>
    <x v="0"/>
    <x v="1"/>
    <x v="1"/>
    <s v="Dell Inspiron 15 Laptop"/>
    <n v="57105.7"/>
    <n v="1"/>
    <n v="8579.7000000000007"/>
    <x v="11"/>
    <x v="2"/>
  </r>
  <r>
    <d v="2025-12-14T00:00:00"/>
    <x v="0"/>
    <x v="6"/>
    <x v="0"/>
    <x v="1"/>
    <x v="1"/>
    <s v="HP Pavilion 15 Laptop"/>
    <n v="55052.95"/>
    <n v="1"/>
    <n v="7581.14"/>
    <x v="11"/>
    <x v="2"/>
  </r>
  <r>
    <d v="2025-12-15T00:00:00"/>
    <x v="10"/>
    <x v="4"/>
    <x v="0"/>
    <x v="4"/>
    <x v="11"/>
    <s v="Philips Trimmer"/>
    <n v="2463.38"/>
    <n v="1"/>
    <n v="522.77"/>
    <x v="11"/>
    <x v="2"/>
  </r>
  <r>
    <d v="2025-12-15T00:00:00"/>
    <x v="24"/>
    <x v="5"/>
    <x v="0"/>
    <x v="4"/>
    <x v="6"/>
    <s v="Philips Air Purifier"/>
    <n v="28455.18"/>
    <n v="2"/>
    <n v="3385.22"/>
    <x v="11"/>
    <x v="2"/>
  </r>
  <r>
    <d v="2025-12-16T00:00:00"/>
    <x v="27"/>
    <x v="3"/>
    <x v="0"/>
    <x v="1"/>
    <x v="1"/>
    <s v="Lenovo IdeaPad Slim 5"/>
    <n v="65071.93"/>
    <n v="1"/>
    <n v="8712.82"/>
    <x v="11"/>
    <x v="2"/>
  </r>
  <r>
    <d v="2025-12-16T00:00:00"/>
    <x v="3"/>
    <x v="10"/>
    <x v="0"/>
    <x v="0"/>
    <x v="2"/>
    <s v="Google Pixel 8"/>
    <n v="51332"/>
    <n v="1"/>
    <n v="6421.27"/>
    <x v="11"/>
    <x v="2"/>
  </r>
  <r>
    <d v="2025-12-16T00:00:00"/>
    <x v="22"/>
    <x v="13"/>
    <x v="0"/>
    <x v="3"/>
    <x v="9"/>
    <s v="Samsung 253L Refrigerator"/>
    <n v="63906.83"/>
    <n v="2"/>
    <n v="-1646.63"/>
    <x v="11"/>
    <x v="2"/>
  </r>
  <r>
    <d v="2025-12-17T00:00:00"/>
    <x v="13"/>
    <x v="0"/>
    <x v="0"/>
    <x v="1"/>
    <x v="1"/>
    <s v="Apple MacBook Air M2"/>
    <n v="97634.02"/>
    <n v="1"/>
    <n v="14179.06"/>
    <x v="11"/>
    <x v="2"/>
  </r>
  <r>
    <d v="2025-12-17T00:00:00"/>
    <x v="8"/>
    <x v="5"/>
    <x v="0"/>
    <x v="0"/>
    <x v="0"/>
    <s v="Samsung 25W Charger"/>
    <n v="2522.0700000000002"/>
    <n v="2"/>
    <n v="270.16000000000003"/>
    <x v="11"/>
    <x v="2"/>
  </r>
  <r>
    <d v="2025-12-18T00:00:00"/>
    <x v="3"/>
    <x v="2"/>
    <x v="0"/>
    <x v="4"/>
    <x v="6"/>
    <s v="Eureka Forbes Vacuum Cleaner"/>
    <n v="19697.13"/>
    <n v="2"/>
    <n v="4616.42"/>
    <x v="11"/>
    <x v="2"/>
  </r>
  <r>
    <d v="2025-12-19T00:00:00"/>
    <x v="21"/>
    <x v="4"/>
    <x v="0"/>
    <x v="4"/>
    <x v="6"/>
    <s v="Philips Air Purifier"/>
    <n v="12620.64"/>
    <n v="1"/>
    <n v="1729.35"/>
    <x v="11"/>
    <x v="2"/>
  </r>
  <r>
    <d v="2025-12-19T00:00:00"/>
    <x v="7"/>
    <x v="13"/>
    <x v="0"/>
    <x v="2"/>
    <x v="3"/>
    <s v="Sony Wireless Headphones"/>
    <n v="9707.9699999999993"/>
    <n v="1"/>
    <n v="1319.34"/>
    <x v="11"/>
    <x v="2"/>
  </r>
  <r>
    <d v="2025-12-19T00:00:00"/>
    <x v="16"/>
    <x v="13"/>
    <x v="0"/>
    <x v="4"/>
    <x v="6"/>
    <s v="Philips Air Purifier"/>
    <n v="14722.7"/>
    <n v="1"/>
    <n v="1571.13"/>
    <x v="11"/>
    <x v="2"/>
  </r>
  <r>
    <d v="2025-12-19T00:00:00"/>
    <x v="19"/>
    <x v="2"/>
    <x v="0"/>
    <x v="2"/>
    <x v="3"/>
    <s v="Sony Bluetooth Soundbar"/>
    <n v="99835.66"/>
    <n v="4"/>
    <n v="15668.68"/>
    <x v="11"/>
    <x v="2"/>
  </r>
  <r>
    <d v="2025-12-20T00:00:00"/>
    <x v="10"/>
    <x v="2"/>
    <x v="0"/>
    <x v="0"/>
    <x v="2"/>
    <s v="Nothing Phone 2"/>
    <n v="44233.5"/>
    <n v="1"/>
    <n v="5650.24"/>
    <x v="11"/>
    <x v="2"/>
  </r>
  <r>
    <d v="2025-12-20T00:00:00"/>
    <x v="20"/>
    <x v="12"/>
    <x v="0"/>
    <x v="3"/>
    <x v="10"/>
    <s v="LG 1.5 Ton 5 Star Split AC"/>
    <n v="40479.78"/>
    <n v="1"/>
    <n v="6696.89"/>
    <x v="11"/>
    <x v="2"/>
  </r>
  <r>
    <d v="2025-12-21T00:00:00"/>
    <x v="25"/>
    <x v="1"/>
    <x v="0"/>
    <x v="3"/>
    <x v="7"/>
    <s v="Prestige Induction Cooktop"/>
    <n v="5028.18"/>
    <n v="2"/>
    <n v="587.19000000000005"/>
    <x v="11"/>
    <x v="2"/>
  </r>
  <r>
    <d v="2025-12-21T00:00:00"/>
    <x v="12"/>
    <x v="3"/>
    <x v="0"/>
    <x v="4"/>
    <x v="11"/>
    <s v="Philips Hair Dryer"/>
    <n v="6704.1"/>
    <n v="4"/>
    <n v="839.98"/>
    <x v="11"/>
    <x v="2"/>
  </r>
  <r>
    <d v="2025-12-22T00:00:00"/>
    <x v="16"/>
    <x v="12"/>
    <x v="0"/>
    <x v="0"/>
    <x v="2"/>
    <s v="Samsung Galaxy S24"/>
    <n v="207607.07"/>
    <n v="3"/>
    <n v="15930.18"/>
    <x v="11"/>
    <x v="2"/>
  </r>
  <r>
    <d v="2025-12-22T00:00:00"/>
    <x v="13"/>
    <x v="4"/>
    <x v="0"/>
    <x v="0"/>
    <x v="2"/>
    <s v="Apple iPhone 15"/>
    <n v="69790.929999999993"/>
    <n v="1"/>
    <n v="-4863.18"/>
    <x v="11"/>
    <x v="2"/>
  </r>
  <r>
    <d v="2025-12-26T00:00:00"/>
    <x v="0"/>
    <x v="12"/>
    <x v="0"/>
    <x v="3"/>
    <x v="7"/>
    <s v="Prestige Induction Cooktop"/>
    <n v="2529.21"/>
    <n v="1"/>
    <n v="205.94"/>
    <x v="11"/>
    <x v="2"/>
  </r>
  <r>
    <d v="2025-12-26T00:00:00"/>
    <x v="26"/>
    <x v="8"/>
    <x v="0"/>
    <x v="0"/>
    <x v="2"/>
    <s v="Google Pixel 8"/>
    <n v="110408.05"/>
    <n v="2"/>
    <n v="-4020.81"/>
    <x v="11"/>
    <x v="2"/>
  </r>
  <r>
    <d v="2025-12-28T00:00:00"/>
    <x v="28"/>
    <x v="1"/>
    <x v="0"/>
    <x v="2"/>
    <x v="8"/>
    <s v="LG 55 inch OLED Smart TV"/>
    <n v="174039.81"/>
    <n v="2"/>
    <n v="24455.01"/>
    <x v="11"/>
    <x v="2"/>
  </r>
  <r>
    <d v="2025-12-28T00:00:00"/>
    <x v="10"/>
    <x v="10"/>
    <x v="0"/>
    <x v="1"/>
    <x v="5"/>
    <s v="HP 24 inch Monitor"/>
    <n v="21833.55"/>
    <n v="2"/>
    <n v="1743.65"/>
    <x v="11"/>
    <x v="2"/>
  </r>
  <r>
    <d v="2025-12-28T00:00:00"/>
    <x v="23"/>
    <x v="5"/>
    <x v="0"/>
    <x v="2"/>
    <x v="3"/>
    <s v="boAt Home Theatre System"/>
    <n v="11162.73"/>
    <n v="1"/>
    <n v="1690.99"/>
    <x v="11"/>
    <x v="2"/>
  </r>
  <r>
    <d v="2025-12-29T00:00:00"/>
    <x v="2"/>
    <x v="2"/>
    <x v="0"/>
    <x v="3"/>
    <x v="9"/>
    <s v="Whirlpool 265L Frost Free Refrigerator"/>
    <n v="27933.99"/>
    <n v="1"/>
    <n v="-801.38"/>
    <x v="11"/>
    <x v="2"/>
  </r>
  <r>
    <d v="2025-12-30T00:00:00"/>
    <x v="9"/>
    <x v="14"/>
    <x v="0"/>
    <x v="3"/>
    <x v="4"/>
    <s v="Samsung 8kg Front Load Washing Machine"/>
    <n v="34027.42"/>
    <n v="1"/>
    <n v="4101.3500000000004"/>
    <x v="11"/>
    <x v="2"/>
  </r>
  <r>
    <d v="2025-12-30T00:00:00"/>
    <x v="25"/>
    <x v="9"/>
    <x v="0"/>
    <x v="4"/>
    <x v="6"/>
    <s v="Eureka Forbes Vacuum Cleaner"/>
    <n v="20263.27"/>
    <n v="2"/>
    <n v="4158.34"/>
    <x v="11"/>
    <x v="2"/>
  </r>
  <r>
    <d v="2025-12-31T00:00:00"/>
    <x v="21"/>
    <x v="4"/>
    <x v="0"/>
    <x v="4"/>
    <x v="11"/>
    <s v="Braun Electric Shaver"/>
    <n v="10484.35"/>
    <n v="2"/>
    <n v="1154.98"/>
    <x v="11"/>
    <x v="2"/>
  </r>
  <r>
    <d v="2025-12-31T00:00:00"/>
    <x v="23"/>
    <x v="13"/>
    <x v="0"/>
    <x v="4"/>
    <x v="11"/>
    <s v="Philips Hair Dryer"/>
    <n v="1810.83"/>
    <n v="1"/>
    <n v="243.12"/>
    <x v="11"/>
    <x v="2"/>
  </r>
  <r>
    <d v="2026-01-02T00:00:00"/>
    <x v="10"/>
    <x v="14"/>
    <x v="0"/>
    <x v="0"/>
    <x v="2"/>
    <s v="OnePlus 12"/>
    <n v="62695.95"/>
    <n v="1"/>
    <n v="8555.89"/>
    <x v="0"/>
    <x v="3"/>
  </r>
  <r>
    <d v="2026-01-02T00:00:00"/>
    <x v="7"/>
    <x v="13"/>
    <x v="0"/>
    <x v="1"/>
    <x v="1"/>
    <s v="Dell Inspiron 15 Laptop"/>
    <n v="113464.09"/>
    <n v="2"/>
    <n v="19654.560000000001"/>
    <x v="0"/>
    <x v="3"/>
  </r>
  <r>
    <d v="2026-01-03T00:00:00"/>
    <x v="8"/>
    <x v="8"/>
    <x v="0"/>
    <x v="1"/>
    <x v="1"/>
    <s v="ASUS Vivobook 15"/>
    <n v="45290.63"/>
    <n v="1"/>
    <n v="9483.75"/>
    <x v="0"/>
    <x v="3"/>
  </r>
  <r>
    <d v="2026-01-04T00:00:00"/>
    <x v="16"/>
    <x v="5"/>
    <x v="0"/>
    <x v="4"/>
    <x v="11"/>
    <s v="Philips Hair Dryer"/>
    <n v="1822"/>
    <n v="1"/>
    <n v="195.06"/>
    <x v="0"/>
    <x v="3"/>
  </r>
  <r>
    <d v="2026-01-05T00:00:00"/>
    <x v="15"/>
    <x v="2"/>
    <x v="0"/>
    <x v="3"/>
    <x v="10"/>
    <s v="LG 1.5 Ton 5 Star Split AC"/>
    <n v="44670.09"/>
    <n v="1"/>
    <n v="4404.1099999999997"/>
    <x v="0"/>
    <x v="3"/>
  </r>
  <r>
    <d v="2026-01-06T00:00:00"/>
    <x v="14"/>
    <x v="5"/>
    <x v="0"/>
    <x v="1"/>
    <x v="1"/>
    <s v="ASUS Vivobook 15"/>
    <n v="109880.85"/>
    <n v="2"/>
    <n v="17370.98"/>
    <x v="0"/>
    <x v="3"/>
  </r>
  <r>
    <d v="2026-01-06T00:00:00"/>
    <x v="5"/>
    <x v="9"/>
    <x v="0"/>
    <x v="2"/>
    <x v="3"/>
    <s v="Sony Wireless Headphones"/>
    <n v="18777.400000000001"/>
    <n v="2"/>
    <n v="2047.16"/>
    <x v="0"/>
    <x v="3"/>
  </r>
  <r>
    <d v="2026-01-06T00:00:00"/>
    <x v="8"/>
    <x v="11"/>
    <x v="0"/>
    <x v="2"/>
    <x v="3"/>
    <s v="Sony Bluetooth Soundbar"/>
    <n v="62608.92"/>
    <n v="3"/>
    <n v="11639.18"/>
    <x v="0"/>
    <x v="3"/>
  </r>
  <r>
    <d v="2026-01-07T00:00:00"/>
    <x v="2"/>
    <x v="11"/>
    <x v="0"/>
    <x v="1"/>
    <x v="5"/>
    <s v="Logitech Wireless Keyboard"/>
    <n v="4392.46"/>
    <n v="2"/>
    <n v="456.63"/>
    <x v="0"/>
    <x v="3"/>
  </r>
  <r>
    <d v="2026-01-08T00:00:00"/>
    <x v="18"/>
    <x v="3"/>
    <x v="0"/>
    <x v="0"/>
    <x v="2"/>
    <s v="Samsung Galaxy S24"/>
    <n v="68824.66"/>
    <n v="1"/>
    <n v="8400.15"/>
    <x v="0"/>
    <x v="3"/>
  </r>
  <r>
    <d v="2026-01-08T00:00:00"/>
    <x v="17"/>
    <x v="14"/>
    <x v="0"/>
    <x v="0"/>
    <x v="0"/>
    <s v="Apple 20W USB-C Power Adapter"/>
    <n v="1646.85"/>
    <n v="1"/>
    <n v="322.35000000000002"/>
    <x v="0"/>
    <x v="3"/>
  </r>
  <r>
    <d v="2026-01-08T00:00:00"/>
    <x v="28"/>
    <x v="4"/>
    <x v="0"/>
    <x v="2"/>
    <x v="3"/>
    <s v="JBL 5.1 Soundbar"/>
    <n v="29575.91"/>
    <n v="1"/>
    <n v="5513.22"/>
    <x v="0"/>
    <x v="3"/>
  </r>
  <r>
    <d v="2026-01-09T00:00:00"/>
    <x v="7"/>
    <x v="13"/>
    <x v="0"/>
    <x v="1"/>
    <x v="5"/>
    <s v="Dell 27 inch Monitor"/>
    <n v="16003.84"/>
    <n v="1"/>
    <n v="3181.76"/>
    <x v="0"/>
    <x v="3"/>
  </r>
  <r>
    <d v="2026-01-09T00:00:00"/>
    <x v="2"/>
    <x v="7"/>
    <x v="0"/>
    <x v="0"/>
    <x v="0"/>
    <s v="Portronics Power Bank 20000mAh"/>
    <n v="2263.42"/>
    <n v="1"/>
    <n v="275.31"/>
    <x v="0"/>
    <x v="3"/>
  </r>
  <r>
    <d v="2026-01-10T00:00:00"/>
    <x v="10"/>
    <x v="5"/>
    <x v="0"/>
    <x v="2"/>
    <x v="8"/>
    <s v="OnePlus 43 inch 4K Smart TV"/>
    <n v="53259.15"/>
    <n v="2"/>
    <n v="10913.88"/>
    <x v="0"/>
    <x v="3"/>
  </r>
  <r>
    <d v="2026-01-10T00:00:00"/>
    <x v="9"/>
    <x v="7"/>
    <x v="0"/>
    <x v="3"/>
    <x v="9"/>
    <s v="LG 260L Double Door Refrigerator"/>
    <n v="31410.59"/>
    <n v="1"/>
    <n v="5610.48"/>
    <x v="0"/>
    <x v="3"/>
  </r>
  <r>
    <d v="2026-01-11T00:00:00"/>
    <x v="10"/>
    <x v="10"/>
    <x v="0"/>
    <x v="2"/>
    <x v="8"/>
    <s v="Samsung 55 inch 4K Smart TV"/>
    <n v="60297.45"/>
    <n v="1"/>
    <n v="9587.49"/>
    <x v="0"/>
    <x v="3"/>
  </r>
  <r>
    <d v="2026-01-11T00:00:00"/>
    <x v="26"/>
    <x v="9"/>
    <x v="0"/>
    <x v="0"/>
    <x v="2"/>
    <s v="Samsung Galaxy A55"/>
    <n v="38768.89"/>
    <n v="1"/>
    <n v="3515.27"/>
    <x v="0"/>
    <x v="3"/>
  </r>
  <r>
    <d v="2026-01-12T00:00:00"/>
    <x v="8"/>
    <x v="2"/>
    <x v="0"/>
    <x v="2"/>
    <x v="3"/>
    <s v="JBL 5.1 Soundbar"/>
    <n v="104329.65"/>
    <n v="3"/>
    <n v="17099.98"/>
    <x v="0"/>
    <x v="3"/>
  </r>
  <r>
    <d v="2026-01-12T00:00:00"/>
    <x v="21"/>
    <x v="8"/>
    <x v="0"/>
    <x v="1"/>
    <x v="5"/>
    <s v="Logitech Wireless Keyboard"/>
    <n v="6763.81"/>
    <n v="3"/>
    <n v="1459.53"/>
    <x v="0"/>
    <x v="3"/>
  </r>
  <r>
    <d v="2026-01-12T00:00:00"/>
    <x v="2"/>
    <x v="13"/>
    <x v="0"/>
    <x v="0"/>
    <x v="0"/>
    <s v="Samsung 25W Charger"/>
    <n v="1424.65"/>
    <n v="1"/>
    <n v="245"/>
    <x v="0"/>
    <x v="3"/>
  </r>
  <r>
    <d v="2026-01-12T00:00:00"/>
    <x v="5"/>
    <x v="12"/>
    <x v="0"/>
    <x v="4"/>
    <x v="11"/>
    <s v="Philips Trimmer"/>
    <n v="2163.73"/>
    <n v="1"/>
    <n v="241.65"/>
    <x v="0"/>
    <x v="3"/>
  </r>
  <r>
    <d v="2026-01-12T00:00:00"/>
    <x v="12"/>
    <x v="12"/>
    <x v="0"/>
    <x v="2"/>
    <x v="3"/>
    <s v="boAt Home Theatre System"/>
    <n v="12739.73"/>
    <n v="1"/>
    <n v="-427.51"/>
    <x v="0"/>
    <x v="3"/>
  </r>
  <r>
    <d v="2026-01-12T00:00:00"/>
    <x v="2"/>
    <x v="11"/>
    <x v="0"/>
    <x v="3"/>
    <x v="9"/>
    <s v="Whirlpool 265L Frost Free Refrigerator"/>
    <n v="28109.63"/>
    <n v="1"/>
    <n v="3058.67"/>
    <x v="0"/>
    <x v="3"/>
  </r>
  <r>
    <d v="2026-01-12T00:00:00"/>
    <x v="5"/>
    <x v="6"/>
    <x v="0"/>
    <x v="2"/>
    <x v="8"/>
    <s v="OnePlus 43 inch 4K Smart TV"/>
    <n v="136539.44"/>
    <n v="5"/>
    <n v="28048.99"/>
    <x v="0"/>
    <x v="3"/>
  </r>
  <r>
    <d v="2026-01-13T00:00:00"/>
    <x v="1"/>
    <x v="4"/>
    <x v="0"/>
    <x v="4"/>
    <x v="6"/>
    <s v="Dyson V8 Vacuum Cleaner"/>
    <n v="137974.10999999999"/>
    <n v="4"/>
    <n v="19355.55"/>
    <x v="0"/>
    <x v="3"/>
  </r>
  <r>
    <d v="2026-01-13T00:00:00"/>
    <x v="7"/>
    <x v="12"/>
    <x v="0"/>
    <x v="4"/>
    <x v="6"/>
    <s v="Dyson V8 Vacuum Cleaner"/>
    <n v="165364.54999999999"/>
    <n v="5"/>
    <n v="18227.22"/>
    <x v="0"/>
    <x v="3"/>
  </r>
  <r>
    <d v="2026-01-13T00:00:00"/>
    <x v="1"/>
    <x v="12"/>
    <x v="0"/>
    <x v="3"/>
    <x v="7"/>
    <s v="Philips Air Fryer"/>
    <n v="8982.42"/>
    <n v="1"/>
    <n v="1067.92"/>
    <x v="0"/>
    <x v="3"/>
  </r>
  <r>
    <d v="2026-01-13T00:00:00"/>
    <x v="2"/>
    <x v="1"/>
    <x v="0"/>
    <x v="4"/>
    <x v="6"/>
    <s v="Eureka Forbes Vacuum Cleaner"/>
    <n v="10804.61"/>
    <n v="1"/>
    <n v="818.2"/>
    <x v="0"/>
    <x v="3"/>
  </r>
  <r>
    <d v="2026-01-14T00:00:00"/>
    <x v="1"/>
    <x v="12"/>
    <x v="0"/>
    <x v="2"/>
    <x v="3"/>
    <s v="boAt Home Theatre System"/>
    <n v="11015.79"/>
    <n v="1"/>
    <n v="2053.71"/>
    <x v="0"/>
    <x v="3"/>
  </r>
  <r>
    <d v="2026-01-14T00:00:00"/>
    <x v="2"/>
    <x v="14"/>
    <x v="0"/>
    <x v="1"/>
    <x v="5"/>
    <s v="Dell 27 inch Monitor"/>
    <n v="34463.97"/>
    <n v="2"/>
    <n v="-367.36"/>
    <x v="0"/>
    <x v="3"/>
  </r>
  <r>
    <d v="2026-01-15T00:00:00"/>
    <x v="8"/>
    <x v="7"/>
    <x v="0"/>
    <x v="0"/>
    <x v="2"/>
    <s v="Google Pixel 8"/>
    <n v="57603.18"/>
    <n v="1"/>
    <n v="8426.94"/>
    <x v="0"/>
    <x v="3"/>
  </r>
  <r>
    <d v="2026-01-17T00:00:00"/>
    <x v="15"/>
    <x v="14"/>
    <x v="0"/>
    <x v="0"/>
    <x v="0"/>
    <s v="Portronics Power Bank 20000mAh"/>
    <n v="4573.93"/>
    <n v="2"/>
    <n v="498.11"/>
    <x v="0"/>
    <x v="3"/>
  </r>
  <r>
    <d v="2026-01-17T00:00:00"/>
    <x v="16"/>
    <x v="6"/>
    <x v="0"/>
    <x v="3"/>
    <x v="10"/>
    <s v="LG 1.5 Ton 5 Star Split AC"/>
    <n v="111589.45"/>
    <n v="3"/>
    <n v="19674.96"/>
    <x v="0"/>
    <x v="3"/>
  </r>
  <r>
    <d v="2026-01-18T00:00:00"/>
    <x v="7"/>
    <x v="6"/>
    <x v="0"/>
    <x v="0"/>
    <x v="0"/>
    <s v="Apple 20W USB-C Power Adapter"/>
    <n v="1649.91"/>
    <n v="1"/>
    <n v="-80.06"/>
    <x v="0"/>
    <x v="3"/>
  </r>
  <r>
    <d v="2026-01-18T00:00:00"/>
    <x v="27"/>
    <x v="0"/>
    <x v="0"/>
    <x v="3"/>
    <x v="4"/>
    <s v="LG 7kg Fully Automatic Washing Machine"/>
    <n v="26114.52"/>
    <n v="1"/>
    <n v="4223.96"/>
    <x v="0"/>
    <x v="3"/>
  </r>
  <r>
    <d v="2026-01-19T00:00:00"/>
    <x v="27"/>
    <x v="10"/>
    <x v="0"/>
    <x v="4"/>
    <x v="6"/>
    <s v="Eureka Forbes Vacuum Cleaner"/>
    <n v="21595.5"/>
    <n v="2"/>
    <n v="2828.19"/>
    <x v="0"/>
    <x v="3"/>
  </r>
  <r>
    <d v="2026-01-19T00:00:00"/>
    <x v="10"/>
    <x v="13"/>
    <x v="0"/>
    <x v="2"/>
    <x v="3"/>
    <s v="boAt Home Theatre System"/>
    <n v="11518.68"/>
    <n v="1"/>
    <n v="-593.27"/>
    <x v="0"/>
    <x v="3"/>
  </r>
  <r>
    <d v="2026-01-20T00:00:00"/>
    <x v="2"/>
    <x v="8"/>
    <x v="0"/>
    <x v="2"/>
    <x v="8"/>
    <s v="LG 55 inch OLED Smart TV"/>
    <n v="82553.570000000007"/>
    <n v="1"/>
    <n v="9127.08"/>
    <x v="0"/>
    <x v="3"/>
  </r>
  <r>
    <d v="2026-01-20T00:00:00"/>
    <x v="11"/>
    <x v="10"/>
    <x v="0"/>
    <x v="2"/>
    <x v="8"/>
    <s v="Sony 55 inch Bravia 4K TV"/>
    <n v="157880.78"/>
    <n v="2"/>
    <n v="32116.639999999999"/>
    <x v="0"/>
    <x v="3"/>
  </r>
  <r>
    <d v="2026-01-22T00:00:00"/>
    <x v="24"/>
    <x v="6"/>
    <x v="0"/>
    <x v="4"/>
    <x v="6"/>
    <s v="Dyson V8 Vacuum Cleaner"/>
    <n v="31116.97"/>
    <n v="1"/>
    <n v="4877.84"/>
    <x v="0"/>
    <x v="3"/>
  </r>
  <r>
    <d v="2026-01-22T00:00:00"/>
    <x v="15"/>
    <x v="1"/>
    <x v="0"/>
    <x v="2"/>
    <x v="3"/>
    <s v="Sony Bluetooth Soundbar"/>
    <n v="61667.1"/>
    <n v="3"/>
    <n v="6988.95"/>
    <x v="0"/>
    <x v="3"/>
  </r>
  <r>
    <d v="2026-01-22T00:00:00"/>
    <x v="11"/>
    <x v="11"/>
    <x v="0"/>
    <x v="3"/>
    <x v="10"/>
    <s v="LG 1.5 Ton 5 Star Split AC"/>
    <n v="88570.94"/>
    <n v="2"/>
    <n v="-2338.08"/>
    <x v="0"/>
    <x v="3"/>
  </r>
  <r>
    <d v="2026-01-23T00:00:00"/>
    <x v="0"/>
    <x v="11"/>
    <x v="0"/>
    <x v="0"/>
    <x v="0"/>
    <s v="boAt Wireless Earphones"/>
    <n v="3312.3"/>
    <n v="2"/>
    <n v="541.16"/>
    <x v="0"/>
    <x v="3"/>
  </r>
  <r>
    <d v="2026-01-23T00:00:00"/>
    <x v="26"/>
    <x v="9"/>
    <x v="0"/>
    <x v="1"/>
    <x v="1"/>
    <s v="Lenovo IdeaPad Slim 5"/>
    <n v="241032.19"/>
    <n v="4"/>
    <n v="35662.32"/>
    <x v="0"/>
    <x v="3"/>
  </r>
  <r>
    <d v="2026-01-24T00:00:00"/>
    <x v="10"/>
    <x v="10"/>
    <x v="0"/>
    <x v="2"/>
    <x v="8"/>
    <s v="Samsung 55 inch 4K Smart TV"/>
    <n v="65270.59"/>
    <n v="1"/>
    <n v="9144.17"/>
    <x v="0"/>
    <x v="3"/>
  </r>
  <r>
    <d v="2026-01-26T00:00:00"/>
    <x v="18"/>
    <x v="6"/>
    <x v="0"/>
    <x v="3"/>
    <x v="4"/>
    <s v="LG 7kg Fully Automatic Washing Machine"/>
    <n v="26569.95"/>
    <n v="1"/>
    <n v="5352.74"/>
    <x v="0"/>
    <x v="3"/>
  </r>
  <r>
    <d v="2026-01-26T00:00:00"/>
    <x v="16"/>
    <x v="9"/>
    <x v="0"/>
    <x v="1"/>
    <x v="5"/>
    <s v="Dell 27 inch Monitor"/>
    <n v="18201.650000000001"/>
    <n v="1"/>
    <n v="2320.5"/>
    <x v="0"/>
    <x v="3"/>
  </r>
  <r>
    <d v="2026-01-26T00:00:00"/>
    <x v="11"/>
    <x v="7"/>
    <x v="0"/>
    <x v="2"/>
    <x v="8"/>
    <s v="Sony 55 inch Bravia 4K TV"/>
    <n v="251718.81"/>
    <n v="3"/>
    <n v="52607.14"/>
    <x v="0"/>
    <x v="3"/>
  </r>
  <r>
    <d v="2026-01-26T00:00:00"/>
    <x v="16"/>
    <x v="10"/>
    <x v="0"/>
    <x v="3"/>
    <x v="7"/>
    <s v="Philips Air Fryer"/>
    <n v="7811.7"/>
    <n v="1"/>
    <n v="991.36"/>
    <x v="0"/>
    <x v="3"/>
  </r>
  <r>
    <d v="2026-01-27T00:00:00"/>
    <x v="17"/>
    <x v="9"/>
    <x v="0"/>
    <x v="0"/>
    <x v="0"/>
    <s v="JBL Bluetooth Earbuds"/>
    <n v="2757.63"/>
    <n v="1"/>
    <n v="521.28"/>
    <x v="0"/>
    <x v="3"/>
  </r>
  <r>
    <d v="2026-01-28T00:00:00"/>
    <x v="9"/>
    <x v="2"/>
    <x v="0"/>
    <x v="0"/>
    <x v="2"/>
    <s v="OnePlus 12"/>
    <n v="108130.01"/>
    <n v="2"/>
    <n v="-3654.93"/>
    <x v="0"/>
    <x v="3"/>
  </r>
  <r>
    <d v="2026-01-28T00:00:00"/>
    <x v="0"/>
    <x v="14"/>
    <x v="0"/>
    <x v="2"/>
    <x v="3"/>
    <s v="Sony Wireless Headphones"/>
    <n v="8526.17"/>
    <n v="1"/>
    <n v="1153.74"/>
    <x v="0"/>
    <x v="3"/>
  </r>
  <r>
    <d v="2026-01-28T00:00:00"/>
    <x v="15"/>
    <x v="10"/>
    <x v="0"/>
    <x v="1"/>
    <x v="5"/>
    <s v="HP 24 inch Monitor"/>
    <n v="20730.849999999999"/>
    <n v="2"/>
    <n v="3548.14"/>
    <x v="0"/>
    <x v="3"/>
  </r>
  <r>
    <d v="2026-01-29T00:00:00"/>
    <x v="18"/>
    <x v="11"/>
    <x v="0"/>
    <x v="0"/>
    <x v="2"/>
    <s v="OnePlus 12"/>
    <n v="116570.14"/>
    <n v="2"/>
    <n v="24236.07"/>
    <x v="0"/>
    <x v="3"/>
  </r>
  <r>
    <d v="2026-01-30T00:00:00"/>
    <x v="8"/>
    <x v="6"/>
    <x v="0"/>
    <x v="4"/>
    <x v="11"/>
    <s v="Braun Electric Shaver"/>
    <n v="16463.63"/>
    <n v="3"/>
    <n v="1434.07"/>
    <x v="0"/>
    <x v="3"/>
  </r>
  <r>
    <d v="2026-01-31T00:00:00"/>
    <x v="17"/>
    <x v="1"/>
    <x v="0"/>
    <x v="4"/>
    <x v="11"/>
    <s v="Philips Hair Dryer"/>
    <n v="5326.13"/>
    <n v="3"/>
    <n v="708.87"/>
    <x v="0"/>
    <x v="3"/>
  </r>
  <r>
    <d v="2026-02-01T00:00:00"/>
    <x v="8"/>
    <x v="10"/>
    <x v="0"/>
    <x v="3"/>
    <x v="7"/>
    <s v="Morphy Richards OTG"/>
    <n v="13174.04"/>
    <n v="2"/>
    <n v="2850.24"/>
    <x v="1"/>
    <x v="3"/>
  </r>
  <r>
    <d v="2026-02-01T00:00:00"/>
    <x v="11"/>
    <x v="10"/>
    <x v="0"/>
    <x v="0"/>
    <x v="0"/>
    <s v="boAt Wireless Earphones"/>
    <n v="6505.22"/>
    <n v="4"/>
    <n v="907.43"/>
    <x v="1"/>
    <x v="3"/>
  </r>
  <r>
    <d v="2026-02-01T00:00:00"/>
    <x v="21"/>
    <x v="9"/>
    <x v="0"/>
    <x v="2"/>
    <x v="8"/>
    <s v="Sony 55 inch Bravia 4K TV"/>
    <n v="147970.25"/>
    <n v="2"/>
    <n v="24735.42"/>
    <x v="1"/>
    <x v="3"/>
  </r>
  <r>
    <d v="2026-02-02T00:00:00"/>
    <x v="7"/>
    <x v="10"/>
    <x v="0"/>
    <x v="3"/>
    <x v="9"/>
    <s v="Whirlpool 265L Frost Free Refrigerator"/>
    <n v="28572.59"/>
    <n v="1"/>
    <n v="3292.26"/>
    <x v="1"/>
    <x v="3"/>
  </r>
  <r>
    <d v="2026-02-02T00:00:00"/>
    <x v="27"/>
    <x v="0"/>
    <x v="0"/>
    <x v="1"/>
    <x v="1"/>
    <s v="Lenovo IdeaPad Slim 5"/>
    <n v="57382.15"/>
    <n v="1"/>
    <n v="6285.84"/>
    <x v="1"/>
    <x v="3"/>
  </r>
  <r>
    <d v="2026-02-02T00:00:00"/>
    <x v="11"/>
    <x v="6"/>
    <x v="0"/>
    <x v="3"/>
    <x v="10"/>
    <s v="Daikin 1.5 Ton Inverter AC"/>
    <n v="47025.36"/>
    <n v="1"/>
    <n v="7237.37"/>
    <x v="1"/>
    <x v="3"/>
  </r>
  <r>
    <d v="2026-02-03T00:00:00"/>
    <x v="13"/>
    <x v="10"/>
    <x v="0"/>
    <x v="3"/>
    <x v="9"/>
    <s v="Samsung 253L Refrigerator"/>
    <n v="26628.57"/>
    <n v="1"/>
    <n v="1971.37"/>
    <x v="1"/>
    <x v="3"/>
  </r>
  <r>
    <d v="2026-02-04T00:00:00"/>
    <x v="19"/>
    <x v="12"/>
    <x v="0"/>
    <x v="1"/>
    <x v="5"/>
    <s v="HP 24 inch Monitor"/>
    <n v="34901.599999999999"/>
    <n v="3"/>
    <n v="6249.22"/>
    <x v="1"/>
    <x v="3"/>
  </r>
  <r>
    <d v="2026-02-04T00:00:00"/>
    <x v="17"/>
    <x v="6"/>
    <x v="0"/>
    <x v="3"/>
    <x v="9"/>
    <s v="Whirlpool 265L Frost Free Refrigerator"/>
    <n v="75069.47"/>
    <n v="3"/>
    <n v="-1692.65"/>
    <x v="1"/>
    <x v="3"/>
  </r>
  <r>
    <d v="2026-02-05T00:00:00"/>
    <x v="27"/>
    <x v="8"/>
    <x v="0"/>
    <x v="0"/>
    <x v="2"/>
    <s v="Samsung Galaxy S24"/>
    <n v="126716.97"/>
    <n v="2"/>
    <n v="-3416.19"/>
    <x v="1"/>
    <x v="3"/>
  </r>
  <r>
    <d v="2026-02-05T00:00:00"/>
    <x v="3"/>
    <x v="4"/>
    <x v="0"/>
    <x v="2"/>
    <x v="3"/>
    <s v="Sony Wireless Headphones"/>
    <n v="36775.32"/>
    <n v="4"/>
    <n v="5124.03"/>
    <x v="1"/>
    <x v="3"/>
  </r>
  <r>
    <d v="2026-02-06T00:00:00"/>
    <x v="11"/>
    <x v="14"/>
    <x v="0"/>
    <x v="4"/>
    <x v="6"/>
    <s v="Eureka Forbes Vacuum Cleaner"/>
    <n v="10246.49"/>
    <n v="1"/>
    <n v="1226.4000000000001"/>
    <x v="1"/>
    <x v="3"/>
  </r>
  <r>
    <d v="2026-02-06T00:00:00"/>
    <x v="14"/>
    <x v="1"/>
    <x v="0"/>
    <x v="1"/>
    <x v="1"/>
    <s v="Apple MacBook Air M2"/>
    <n v="96991.23"/>
    <n v="1"/>
    <n v="12692.47"/>
    <x v="1"/>
    <x v="3"/>
  </r>
  <r>
    <d v="2026-02-06T00:00:00"/>
    <x v="13"/>
    <x v="7"/>
    <x v="0"/>
    <x v="3"/>
    <x v="9"/>
    <s v="LG 260L Double Door Refrigerator"/>
    <n v="81236.05"/>
    <n v="3"/>
    <n v="6206.96"/>
    <x v="1"/>
    <x v="3"/>
  </r>
  <r>
    <d v="2026-02-06T00:00:00"/>
    <x v="18"/>
    <x v="10"/>
    <x v="0"/>
    <x v="3"/>
    <x v="4"/>
    <s v="IFB 7kg Front Load Washing Machine"/>
    <n v="59982.49"/>
    <n v="2"/>
    <n v="8972.4"/>
    <x v="1"/>
    <x v="3"/>
  </r>
  <r>
    <d v="2026-02-07T00:00:00"/>
    <x v="5"/>
    <x v="10"/>
    <x v="0"/>
    <x v="0"/>
    <x v="2"/>
    <s v="Apple iPhone 15"/>
    <n v="67907.58"/>
    <n v="1"/>
    <n v="8500.82"/>
    <x v="1"/>
    <x v="3"/>
  </r>
  <r>
    <d v="2026-02-07T00:00:00"/>
    <x v="21"/>
    <x v="9"/>
    <x v="0"/>
    <x v="4"/>
    <x v="6"/>
    <s v="Philips Air Purifier"/>
    <n v="13184.66"/>
    <n v="1"/>
    <n v="1579.82"/>
    <x v="1"/>
    <x v="3"/>
  </r>
  <r>
    <d v="2026-02-07T00:00:00"/>
    <x v="15"/>
    <x v="5"/>
    <x v="0"/>
    <x v="0"/>
    <x v="2"/>
    <s v="Google Pixel 8"/>
    <n v="58679.16"/>
    <n v="1"/>
    <n v="10523.26"/>
    <x v="1"/>
    <x v="3"/>
  </r>
  <r>
    <d v="2026-02-07T00:00:00"/>
    <x v="9"/>
    <x v="14"/>
    <x v="0"/>
    <x v="1"/>
    <x v="1"/>
    <s v="Dell Inspiron 15 Laptop"/>
    <n v="53115.44"/>
    <n v="1"/>
    <n v="6905.02"/>
    <x v="1"/>
    <x v="3"/>
  </r>
  <r>
    <d v="2026-02-08T00:00:00"/>
    <x v="19"/>
    <x v="6"/>
    <x v="0"/>
    <x v="2"/>
    <x v="8"/>
    <s v="OnePlus 43 inch 4K Smart TV"/>
    <n v="87181.07"/>
    <n v="3"/>
    <n v="13000.55"/>
    <x v="1"/>
    <x v="3"/>
  </r>
  <r>
    <d v="2026-02-08T00:00:00"/>
    <x v="3"/>
    <x v="10"/>
    <x v="0"/>
    <x v="1"/>
    <x v="5"/>
    <s v="TP-Link Wi-Fi Router"/>
    <n v="5073.21"/>
    <n v="2"/>
    <n v="737.29"/>
    <x v="1"/>
    <x v="3"/>
  </r>
  <r>
    <d v="2026-02-08T00:00:00"/>
    <x v="13"/>
    <x v="12"/>
    <x v="0"/>
    <x v="4"/>
    <x v="6"/>
    <s v="Eureka Forbes Vacuum Cleaner"/>
    <n v="21665.040000000001"/>
    <n v="2"/>
    <n v="-547.30999999999995"/>
    <x v="1"/>
    <x v="3"/>
  </r>
  <r>
    <d v="2026-02-09T00:00:00"/>
    <x v="7"/>
    <x v="11"/>
    <x v="0"/>
    <x v="4"/>
    <x v="11"/>
    <s v="Braun Electric Shaver"/>
    <n v="16537.82"/>
    <n v="3"/>
    <n v="3027.63"/>
    <x v="1"/>
    <x v="3"/>
  </r>
  <r>
    <d v="2026-02-10T00:00:00"/>
    <x v="28"/>
    <x v="0"/>
    <x v="0"/>
    <x v="0"/>
    <x v="0"/>
    <s v="Samsung 25W Charger"/>
    <n v="3882.1"/>
    <n v="3"/>
    <n v="440.56"/>
    <x v="1"/>
    <x v="3"/>
  </r>
  <r>
    <d v="2026-02-11T00:00:00"/>
    <x v="8"/>
    <x v="7"/>
    <x v="0"/>
    <x v="2"/>
    <x v="3"/>
    <s v="boAt Home Theatre System"/>
    <n v="12030.11"/>
    <n v="1"/>
    <n v="984.05"/>
    <x v="1"/>
    <x v="3"/>
  </r>
  <r>
    <d v="2026-02-11T00:00:00"/>
    <x v="28"/>
    <x v="0"/>
    <x v="0"/>
    <x v="1"/>
    <x v="5"/>
    <s v="Logitech Wireless Keyboard"/>
    <n v="2125.29"/>
    <n v="1"/>
    <n v="218.46"/>
    <x v="1"/>
    <x v="3"/>
  </r>
  <r>
    <d v="2026-02-12T00:00:00"/>
    <x v="18"/>
    <x v="14"/>
    <x v="0"/>
    <x v="4"/>
    <x v="6"/>
    <s v="Dyson V8 Vacuum Cleaner"/>
    <n v="30920.48"/>
    <n v="1"/>
    <n v="2947.88"/>
    <x v="1"/>
    <x v="3"/>
  </r>
  <r>
    <d v="2026-02-12T00:00:00"/>
    <x v="11"/>
    <x v="2"/>
    <x v="0"/>
    <x v="4"/>
    <x v="11"/>
    <s v="Braun Electric Shaver"/>
    <n v="9947.8700000000008"/>
    <n v="2"/>
    <n v="1339.84"/>
    <x v="1"/>
    <x v="3"/>
  </r>
  <r>
    <d v="2026-02-12T00:00:00"/>
    <x v="24"/>
    <x v="13"/>
    <x v="0"/>
    <x v="4"/>
    <x v="6"/>
    <s v="Dyson V8 Vacuum Cleaner"/>
    <n v="32884.78"/>
    <n v="1"/>
    <n v="7217.76"/>
    <x v="1"/>
    <x v="3"/>
  </r>
  <r>
    <d v="2026-02-12T00:00:00"/>
    <x v="15"/>
    <x v="5"/>
    <x v="0"/>
    <x v="0"/>
    <x v="0"/>
    <s v="Portronics Power Bank 20000mAh"/>
    <n v="6792.97"/>
    <n v="3"/>
    <n v="557.91"/>
    <x v="1"/>
    <x v="3"/>
  </r>
  <r>
    <d v="2026-02-13T00:00:00"/>
    <x v="1"/>
    <x v="0"/>
    <x v="0"/>
    <x v="0"/>
    <x v="0"/>
    <s v="Portronics Power Bank 20000mAh"/>
    <n v="4494.96"/>
    <n v="2"/>
    <n v="387.5"/>
    <x v="1"/>
    <x v="3"/>
  </r>
  <r>
    <d v="2026-02-13T00:00:00"/>
    <x v="18"/>
    <x v="7"/>
    <x v="0"/>
    <x v="1"/>
    <x v="1"/>
    <s v="HP Pavilion 15 Laptop"/>
    <n v="128315.92"/>
    <n v="2"/>
    <n v="20568.22"/>
    <x v="1"/>
    <x v="3"/>
  </r>
  <r>
    <d v="2026-02-13T00:00:00"/>
    <x v="19"/>
    <x v="0"/>
    <x v="0"/>
    <x v="1"/>
    <x v="1"/>
    <s v="Lenovo IdeaPad Slim 5"/>
    <n v="56834.79"/>
    <n v="1"/>
    <n v="5841.64"/>
    <x v="1"/>
    <x v="3"/>
  </r>
  <r>
    <d v="2026-02-13T00:00:00"/>
    <x v="27"/>
    <x v="4"/>
    <x v="0"/>
    <x v="4"/>
    <x v="11"/>
    <s v="Philips Trimmer"/>
    <n v="11063.75"/>
    <n v="5"/>
    <n v="1904.49"/>
    <x v="1"/>
    <x v="3"/>
  </r>
  <r>
    <d v="2026-02-13T00:00:00"/>
    <x v="11"/>
    <x v="12"/>
    <x v="0"/>
    <x v="1"/>
    <x v="5"/>
    <s v="TP-Link Wi-Fi Router"/>
    <n v="8155.79"/>
    <n v="3"/>
    <n v="1209.68"/>
    <x v="1"/>
    <x v="3"/>
  </r>
  <r>
    <d v="2026-02-14T00:00:00"/>
    <x v="1"/>
    <x v="8"/>
    <x v="0"/>
    <x v="4"/>
    <x v="11"/>
    <s v="Philips Hair Dryer"/>
    <n v="3457.91"/>
    <n v="2"/>
    <n v="324.60000000000002"/>
    <x v="1"/>
    <x v="3"/>
  </r>
  <r>
    <d v="2026-02-14T00:00:00"/>
    <x v="24"/>
    <x v="0"/>
    <x v="0"/>
    <x v="2"/>
    <x v="8"/>
    <s v="LG 55 inch OLED Smart TV"/>
    <n v="89409.32"/>
    <n v="1"/>
    <n v="18152.8"/>
    <x v="1"/>
    <x v="3"/>
  </r>
  <r>
    <d v="2026-02-15T00:00:00"/>
    <x v="21"/>
    <x v="10"/>
    <x v="0"/>
    <x v="3"/>
    <x v="4"/>
    <s v="LG 7kg Fully Automatic Washing Machine"/>
    <n v="80880.59"/>
    <n v="3"/>
    <n v="-2179.85"/>
    <x v="1"/>
    <x v="3"/>
  </r>
  <r>
    <d v="2026-02-15T00:00:00"/>
    <x v="19"/>
    <x v="9"/>
    <x v="0"/>
    <x v="2"/>
    <x v="8"/>
    <s v="OnePlus 43 inch 4K Smart TV"/>
    <n v="27009.24"/>
    <n v="1"/>
    <n v="3743.75"/>
    <x v="1"/>
    <x v="3"/>
  </r>
  <r>
    <d v="2026-02-15T00:00:00"/>
    <x v="22"/>
    <x v="4"/>
    <x v="0"/>
    <x v="3"/>
    <x v="7"/>
    <s v="Prestige Induction Cooktop"/>
    <n v="2960.06"/>
    <n v="1"/>
    <n v="485.29"/>
    <x v="1"/>
    <x v="3"/>
  </r>
  <r>
    <d v="2026-02-16T00:00:00"/>
    <x v="1"/>
    <x v="5"/>
    <x v="0"/>
    <x v="3"/>
    <x v="7"/>
    <s v="Prestige Induction Cooktop"/>
    <n v="2725.49"/>
    <n v="1"/>
    <n v="388.78"/>
    <x v="1"/>
    <x v="3"/>
  </r>
  <r>
    <d v="2026-02-16T00:00:00"/>
    <x v="11"/>
    <x v="6"/>
    <x v="0"/>
    <x v="3"/>
    <x v="10"/>
    <s v="LG 1.5 Ton 5 Star Split AC"/>
    <n v="130230.08"/>
    <n v="3"/>
    <n v="15554.88"/>
    <x v="1"/>
    <x v="3"/>
  </r>
  <r>
    <d v="2026-02-18T00:00:00"/>
    <x v="18"/>
    <x v="6"/>
    <x v="0"/>
    <x v="0"/>
    <x v="2"/>
    <s v="Samsung Galaxy S24"/>
    <n v="72037.08"/>
    <n v="1"/>
    <n v="10050.58"/>
    <x v="1"/>
    <x v="3"/>
  </r>
  <r>
    <d v="2026-02-19T00:00:00"/>
    <x v="21"/>
    <x v="1"/>
    <x v="0"/>
    <x v="0"/>
    <x v="2"/>
    <s v="Samsung Galaxy A55"/>
    <n v="38871.300000000003"/>
    <n v="1"/>
    <n v="5444.5"/>
    <x v="1"/>
    <x v="3"/>
  </r>
  <r>
    <d v="2026-02-20T00:00:00"/>
    <x v="10"/>
    <x v="2"/>
    <x v="0"/>
    <x v="2"/>
    <x v="8"/>
    <s v="OnePlus 43 inch 4K Smart TV"/>
    <n v="118955.19"/>
    <n v="4"/>
    <n v="23816.53"/>
    <x v="1"/>
    <x v="3"/>
  </r>
  <r>
    <d v="2026-02-20T00:00:00"/>
    <x v="18"/>
    <x v="11"/>
    <x v="0"/>
    <x v="0"/>
    <x v="2"/>
    <s v="Samsung Galaxy A55"/>
    <n v="39730.31"/>
    <n v="1"/>
    <n v="5895.48"/>
    <x v="1"/>
    <x v="3"/>
  </r>
  <r>
    <d v="2026-02-20T00:00:00"/>
    <x v="12"/>
    <x v="11"/>
    <x v="0"/>
    <x v="2"/>
    <x v="3"/>
    <s v="Sony Bluetooth Soundbar"/>
    <n v="48873.4"/>
    <n v="2"/>
    <n v="7512.2"/>
    <x v="1"/>
    <x v="3"/>
  </r>
  <r>
    <d v="2026-02-20T00:00:00"/>
    <x v="26"/>
    <x v="8"/>
    <x v="0"/>
    <x v="3"/>
    <x v="9"/>
    <s v="LG 260L Double Door Refrigerator"/>
    <n v="138182.26999999999"/>
    <n v="5"/>
    <n v="11384.34"/>
    <x v="1"/>
    <x v="3"/>
  </r>
  <r>
    <d v="2026-02-20T00:00:00"/>
    <x v="24"/>
    <x v="0"/>
    <x v="0"/>
    <x v="1"/>
    <x v="1"/>
    <s v="Lenovo IdeaPad Slim 5"/>
    <n v="58983.4"/>
    <n v="1"/>
    <n v="8665.7000000000007"/>
    <x v="1"/>
    <x v="3"/>
  </r>
  <r>
    <d v="2026-02-20T00:00:00"/>
    <x v="14"/>
    <x v="0"/>
    <x v="0"/>
    <x v="1"/>
    <x v="1"/>
    <s v="ASUS Vivobook 15"/>
    <n v="48925.18"/>
    <n v="1"/>
    <n v="5070"/>
    <x v="1"/>
    <x v="3"/>
  </r>
  <r>
    <d v="2026-02-22T00:00:00"/>
    <x v="26"/>
    <x v="13"/>
    <x v="0"/>
    <x v="1"/>
    <x v="5"/>
    <s v="Logitech Wireless Mouse"/>
    <n v="3958.96"/>
    <n v="3"/>
    <n v="375.63"/>
    <x v="1"/>
    <x v="3"/>
  </r>
  <r>
    <d v="2026-02-22T00:00:00"/>
    <x v="3"/>
    <x v="12"/>
    <x v="0"/>
    <x v="1"/>
    <x v="5"/>
    <s v="Dell 27 inch Monitor"/>
    <n v="51849.58"/>
    <n v="3"/>
    <n v="4612.74"/>
    <x v="1"/>
    <x v="3"/>
  </r>
  <r>
    <d v="2026-02-22T00:00:00"/>
    <x v="10"/>
    <x v="13"/>
    <x v="0"/>
    <x v="2"/>
    <x v="8"/>
    <s v="TCL 50 inch 4K Smart TV"/>
    <n v="36857.620000000003"/>
    <n v="1"/>
    <n v="-519.82000000000005"/>
    <x v="1"/>
    <x v="3"/>
  </r>
  <r>
    <d v="2026-02-22T00:00:00"/>
    <x v="24"/>
    <x v="8"/>
    <x v="0"/>
    <x v="2"/>
    <x v="8"/>
    <s v="Samsung 55 inch 4K Smart TV"/>
    <n v="62492.07"/>
    <n v="1"/>
    <n v="13121.8"/>
    <x v="1"/>
    <x v="3"/>
  </r>
  <r>
    <d v="2026-02-23T00:00:00"/>
    <x v="2"/>
    <x v="3"/>
    <x v="0"/>
    <x v="1"/>
    <x v="5"/>
    <s v="Logitech Wireless Keyboard"/>
    <n v="2371.27"/>
    <n v="1"/>
    <n v="212.57"/>
    <x v="1"/>
    <x v="3"/>
  </r>
  <r>
    <d v="2026-02-24T00:00:00"/>
    <x v="14"/>
    <x v="4"/>
    <x v="0"/>
    <x v="0"/>
    <x v="2"/>
    <s v="Apple iPhone 15"/>
    <n v="126525.46"/>
    <n v="2"/>
    <n v="15520.6"/>
    <x v="1"/>
    <x v="3"/>
  </r>
  <r>
    <d v="2026-02-24T00:00:00"/>
    <x v="5"/>
    <x v="7"/>
    <x v="0"/>
    <x v="3"/>
    <x v="9"/>
    <s v="Samsung 253L Refrigerator"/>
    <n v="61355.95"/>
    <n v="2"/>
    <n v="11678.59"/>
    <x v="1"/>
    <x v="3"/>
  </r>
  <r>
    <d v="2026-02-24T00:00:00"/>
    <x v="18"/>
    <x v="4"/>
    <x v="0"/>
    <x v="2"/>
    <x v="8"/>
    <s v="OnePlus 43 inch 4K Smart TV"/>
    <n v="88388"/>
    <n v="3"/>
    <n v="11940.65"/>
    <x v="1"/>
    <x v="3"/>
  </r>
  <r>
    <d v="2026-02-25T00:00:00"/>
    <x v="7"/>
    <x v="5"/>
    <x v="0"/>
    <x v="1"/>
    <x v="1"/>
    <s v="Apple MacBook Air M2"/>
    <n v="95164.67"/>
    <n v="1"/>
    <n v="14594.47"/>
    <x v="1"/>
    <x v="3"/>
  </r>
  <r>
    <d v="2026-02-25T00:00:00"/>
    <x v="2"/>
    <x v="7"/>
    <x v="0"/>
    <x v="2"/>
    <x v="3"/>
    <s v="boAt Home Theatre System"/>
    <n v="36449.629999999997"/>
    <n v="3"/>
    <n v="2781.08"/>
    <x v="1"/>
    <x v="3"/>
  </r>
  <r>
    <d v="2026-02-26T00:00:00"/>
    <x v="3"/>
    <x v="11"/>
    <x v="0"/>
    <x v="0"/>
    <x v="0"/>
    <s v="Apple 20W USB-C Power Adapter"/>
    <n v="1860.5"/>
    <n v="1"/>
    <n v="372.55"/>
    <x v="1"/>
    <x v="3"/>
  </r>
  <r>
    <d v="2026-02-27T00:00:00"/>
    <x v="14"/>
    <x v="1"/>
    <x v="0"/>
    <x v="1"/>
    <x v="1"/>
    <s v="Dell Inspiron 15 Laptop"/>
    <n v="53125.63"/>
    <n v="1"/>
    <n v="9162.5"/>
    <x v="1"/>
    <x v="3"/>
  </r>
  <r>
    <d v="2026-02-27T00:00:00"/>
    <x v="3"/>
    <x v="8"/>
    <x v="0"/>
    <x v="0"/>
    <x v="2"/>
    <s v="Nothing Phone 2"/>
    <n v="220395.19"/>
    <n v="5"/>
    <n v="38221.07"/>
    <x v="1"/>
    <x v="3"/>
  </r>
  <r>
    <d v="2026-02-28T00:00:00"/>
    <x v="26"/>
    <x v="1"/>
    <x v="0"/>
    <x v="3"/>
    <x v="4"/>
    <s v="Samsung 8kg Front Load Washing Machine"/>
    <n v="73009.97"/>
    <n v="2"/>
    <n v="6307.37"/>
    <x v="1"/>
    <x v="3"/>
  </r>
  <r>
    <d v="2026-03-01T00:00:00"/>
    <x v="8"/>
    <x v="9"/>
    <x v="0"/>
    <x v="4"/>
    <x v="6"/>
    <s v="Philips Air Purifier"/>
    <n v="27717.54"/>
    <n v="2"/>
    <n v="2087.39"/>
    <x v="2"/>
    <x v="3"/>
  </r>
  <r>
    <d v="2026-03-01T00:00:00"/>
    <x v="24"/>
    <x v="3"/>
    <x v="0"/>
    <x v="0"/>
    <x v="2"/>
    <s v="Apple iPhone 15"/>
    <n v="69400.820000000007"/>
    <n v="1"/>
    <n v="-3198.54"/>
    <x v="2"/>
    <x v="3"/>
  </r>
  <r>
    <d v="2026-03-02T00:00:00"/>
    <x v="13"/>
    <x v="2"/>
    <x v="0"/>
    <x v="2"/>
    <x v="3"/>
    <s v="Sony Bluetooth Soundbar"/>
    <n v="45707.31"/>
    <n v="2"/>
    <n v="9481.2199999999993"/>
    <x v="2"/>
    <x v="3"/>
  </r>
  <r>
    <d v="2026-03-03T00:00:00"/>
    <x v="19"/>
    <x v="7"/>
    <x v="0"/>
    <x v="1"/>
    <x v="5"/>
    <s v="Logitech Wireless Keyboard"/>
    <n v="2231.0500000000002"/>
    <n v="1"/>
    <n v="302.93"/>
    <x v="2"/>
    <x v="3"/>
  </r>
  <r>
    <d v="2026-03-03T00:00:00"/>
    <x v="13"/>
    <x v="0"/>
    <x v="0"/>
    <x v="4"/>
    <x v="11"/>
    <s v="Philips Trimmer"/>
    <n v="6950.9"/>
    <n v="3"/>
    <n v="904.36"/>
    <x v="2"/>
    <x v="3"/>
  </r>
  <r>
    <d v="2026-03-04T00:00:00"/>
    <x v="10"/>
    <x v="3"/>
    <x v="0"/>
    <x v="2"/>
    <x v="8"/>
    <s v="LG 55 inch OLED Smart TV"/>
    <n v="198884.48000000001"/>
    <n v="2"/>
    <n v="34511.47"/>
    <x v="2"/>
    <x v="3"/>
  </r>
  <r>
    <d v="2026-03-04T00:00:00"/>
    <x v="21"/>
    <x v="4"/>
    <x v="0"/>
    <x v="4"/>
    <x v="11"/>
    <s v="Philips Trimmer"/>
    <n v="2246.11"/>
    <n v="1"/>
    <n v="261.60000000000002"/>
    <x v="2"/>
    <x v="3"/>
  </r>
  <r>
    <d v="2026-03-05T00:00:00"/>
    <x v="2"/>
    <x v="10"/>
    <x v="0"/>
    <x v="1"/>
    <x v="1"/>
    <s v="Dell Inspiron 15 Laptop"/>
    <n v="101558.62"/>
    <n v="2"/>
    <n v="-1683.21"/>
    <x v="2"/>
    <x v="3"/>
  </r>
  <r>
    <d v="2026-03-07T00:00:00"/>
    <x v="12"/>
    <x v="2"/>
    <x v="0"/>
    <x v="1"/>
    <x v="5"/>
    <s v="Logitech Wireless Keyboard"/>
    <n v="4878.1400000000003"/>
    <n v="2"/>
    <n v="693.19"/>
    <x v="2"/>
    <x v="3"/>
  </r>
  <r>
    <d v="2026-03-07T00:00:00"/>
    <x v="1"/>
    <x v="1"/>
    <x v="0"/>
    <x v="4"/>
    <x v="11"/>
    <s v="Philips Trimmer"/>
    <n v="2071.14"/>
    <n v="1"/>
    <n v="148.38999999999999"/>
    <x v="2"/>
    <x v="3"/>
  </r>
  <r>
    <d v="2026-03-07T00:00:00"/>
    <x v="21"/>
    <x v="14"/>
    <x v="0"/>
    <x v="2"/>
    <x v="8"/>
    <s v="Samsung 55 inch 4K Smart TV"/>
    <n v="69363.53"/>
    <n v="1"/>
    <n v="8675.16"/>
    <x v="2"/>
    <x v="3"/>
  </r>
  <r>
    <d v="2026-03-07T00:00:00"/>
    <x v="6"/>
    <x v="3"/>
    <x v="0"/>
    <x v="4"/>
    <x v="6"/>
    <s v="Dyson V8 Vacuum Cleaner"/>
    <n v="65731.09"/>
    <n v="2"/>
    <n v="6285.68"/>
    <x v="2"/>
    <x v="3"/>
  </r>
  <r>
    <d v="2026-03-08T00:00:00"/>
    <x v="16"/>
    <x v="10"/>
    <x v="0"/>
    <x v="3"/>
    <x v="4"/>
    <s v="LG 7kg Fully Automatic Washing Machine"/>
    <n v="48154.45"/>
    <n v="2"/>
    <n v="10140.86"/>
    <x v="2"/>
    <x v="3"/>
  </r>
  <r>
    <d v="2026-03-09T00:00:00"/>
    <x v="7"/>
    <x v="12"/>
    <x v="0"/>
    <x v="2"/>
    <x v="8"/>
    <s v="Samsung 55 inch 4K Smart TV"/>
    <n v="121779.17"/>
    <n v="2"/>
    <n v="11912.96"/>
    <x v="2"/>
    <x v="3"/>
  </r>
  <r>
    <d v="2026-03-09T00:00:00"/>
    <x v="2"/>
    <x v="8"/>
    <x v="0"/>
    <x v="1"/>
    <x v="5"/>
    <s v="HP 24 inch Monitor"/>
    <n v="9918.2199999999993"/>
    <n v="1"/>
    <n v="1534.27"/>
    <x v="2"/>
    <x v="3"/>
  </r>
  <r>
    <d v="2026-03-10T00:00:00"/>
    <x v="0"/>
    <x v="10"/>
    <x v="0"/>
    <x v="2"/>
    <x v="8"/>
    <s v="Sony 55 inch Bravia 4K TV"/>
    <n v="77982.45"/>
    <n v="1"/>
    <n v="-3573.4"/>
    <x v="2"/>
    <x v="3"/>
  </r>
  <r>
    <d v="2026-03-10T00:00:00"/>
    <x v="7"/>
    <x v="8"/>
    <x v="0"/>
    <x v="2"/>
    <x v="3"/>
    <s v="boAt Home Theatre System"/>
    <n v="10690.85"/>
    <n v="1"/>
    <n v="2346.88"/>
    <x v="2"/>
    <x v="3"/>
  </r>
  <r>
    <d v="2026-03-11T00:00:00"/>
    <x v="12"/>
    <x v="9"/>
    <x v="0"/>
    <x v="3"/>
    <x v="7"/>
    <s v="Prestige Induction Cooktop"/>
    <n v="5109.2700000000004"/>
    <n v="2"/>
    <n v="1074.92"/>
    <x v="2"/>
    <x v="3"/>
  </r>
  <r>
    <d v="2026-03-11T00:00:00"/>
    <x v="21"/>
    <x v="0"/>
    <x v="0"/>
    <x v="1"/>
    <x v="5"/>
    <s v="Dell 27 inch Monitor"/>
    <n v="17224.07"/>
    <n v="1"/>
    <n v="3520.65"/>
    <x v="2"/>
    <x v="3"/>
  </r>
  <r>
    <d v="2026-03-11T00:00:00"/>
    <x v="3"/>
    <x v="8"/>
    <x v="0"/>
    <x v="2"/>
    <x v="3"/>
    <s v="boAt Home Theatre System"/>
    <n v="12069.5"/>
    <n v="1"/>
    <n v="1637.88"/>
    <x v="2"/>
    <x v="3"/>
  </r>
  <r>
    <d v="2026-03-12T00:00:00"/>
    <x v="15"/>
    <x v="10"/>
    <x v="0"/>
    <x v="2"/>
    <x v="3"/>
    <s v="boAt Home Theatre System"/>
    <n v="60067.26"/>
    <n v="5"/>
    <n v="-1218.6500000000001"/>
    <x v="2"/>
    <x v="3"/>
  </r>
  <r>
    <d v="2026-03-13T00:00:00"/>
    <x v="17"/>
    <x v="6"/>
    <x v="0"/>
    <x v="3"/>
    <x v="10"/>
    <s v="LG 1.5 Ton 5 Star Split AC"/>
    <n v="130406.5"/>
    <n v="3"/>
    <n v="22918.18"/>
    <x v="2"/>
    <x v="3"/>
  </r>
  <r>
    <d v="2026-03-14T00:00:00"/>
    <x v="24"/>
    <x v="12"/>
    <x v="0"/>
    <x v="1"/>
    <x v="5"/>
    <s v="Logitech Wireless Keyboard"/>
    <n v="4954.74"/>
    <n v="2"/>
    <n v="664.29"/>
    <x v="2"/>
    <x v="3"/>
  </r>
  <r>
    <d v="2026-03-14T00:00:00"/>
    <x v="12"/>
    <x v="8"/>
    <x v="0"/>
    <x v="2"/>
    <x v="8"/>
    <s v="LG 55 inch OLED Smart TV"/>
    <n v="86257.65"/>
    <n v="1"/>
    <n v="15840"/>
    <x v="2"/>
    <x v="3"/>
  </r>
  <r>
    <d v="2026-03-14T00:00:00"/>
    <x v="2"/>
    <x v="9"/>
    <x v="0"/>
    <x v="0"/>
    <x v="0"/>
    <s v="Samsung 25W Charger"/>
    <n v="1437.12"/>
    <n v="1"/>
    <n v="303.27999999999997"/>
    <x v="2"/>
    <x v="3"/>
  </r>
  <r>
    <d v="2026-03-14T00:00:00"/>
    <x v="5"/>
    <x v="4"/>
    <x v="0"/>
    <x v="0"/>
    <x v="0"/>
    <s v="boAt Wireless Earphones"/>
    <n v="2973.59"/>
    <n v="2"/>
    <n v="488.75"/>
    <x v="2"/>
    <x v="3"/>
  </r>
  <r>
    <d v="2026-03-15T00:00:00"/>
    <x v="27"/>
    <x v="2"/>
    <x v="0"/>
    <x v="1"/>
    <x v="5"/>
    <s v="Logitech Wireless Mouse"/>
    <n v="5548.47"/>
    <n v="4"/>
    <n v="512.87"/>
    <x v="2"/>
    <x v="3"/>
  </r>
  <r>
    <d v="2026-03-15T00:00:00"/>
    <x v="24"/>
    <x v="9"/>
    <x v="0"/>
    <x v="0"/>
    <x v="0"/>
    <s v="Apple 20W USB-C Power Adapter"/>
    <n v="1678.66"/>
    <n v="1"/>
    <n v="300.93"/>
    <x v="2"/>
    <x v="3"/>
  </r>
  <r>
    <d v="2026-03-15T00:00:00"/>
    <x v="3"/>
    <x v="13"/>
    <x v="0"/>
    <x v="3"/>
    <x v="10"/>
    <s v="LG 1.5 Ton 5 Star Split AC"/>
    <n v="40301.89"/>
    <n v="1"/>
    <n v="8501.93"/>
    <x v="2"/>
    <x v="3"/>
  </r>
  <r>
    <d v="2026-03-17T00:00:00"/>
    <x v="22"/>
    <x v="12"/>
    <x v="0"/>
    <x v="1"/>
    <x v="5"/>
    <s v="Logitech Wireless Keyboard"/>
    <n v="2108.08"/>
    <n v="1"/>
    <n v="383.51"/>
    <x v="2"/>
    <x v="3"/>
  </r>
  <r>
    <d v="2026-03-17T00:00:00"/>
    <x v="9"/>
    <x v="1"/>
    <x v="0"/>
    <x v="1"/>
    <x v="1"/>
    <s v="HP Pavilion 15 Laptop"/>
    <n v="245401.87"/>
    <n v="4"/>
    <n v="44786.67"/>
    <x v="2"/>
    <x v="3"/>
  </r>
  <r>
    <d v="2026-03-19T00:00:00"/>
    <x v="19"/>
    <x v="8"/>
    <x v="0"/>
    <x v="0"/>
    <x v="0"/>
    <s v="boAt Wireless Earphones"/>
    <n v="1508.2"/>
    <n v="1"/>
    <n v="150.65"/>
    <x v="2"/>
    <x v="3"/>
  </r>
  <r>
    <d v="2026-03-19T00:00:00"/>
    <x v="26"/>
    <x v="5"/>
    <x v="0"/>
    <x v="3"/>
    <x v="10"/>
    <s v="Daikin 1.5 Ton Inverter AC"/>
    <n v="48649.919999999998"/>
    <n v="1"/>
    <n v="4624.92"/>
    <x v="2"/>
    <x v="3"/>
  </r>
  <r>
    <d v="2026-03-19T00:00:00"/>
    <x v="27"/>
    <x v="4"/>
    <x v="0"/>
    <x v="1"/>
    <x v="1"/>
    <s v="Lenovo IdeaPad Slim 5"/>
    <n v="262096.41"/>
    <n v="4"/>
    <n v="28226.01"/>
    <x v="2"/>
    <x v="3"/>
  </r>
  <r>
    <d v="2026-03-21T00:00:00"/>
    <x v="9"/>
    <x v="6"/>
    <x v="0"/>
    <x v="0"/>
    <x v="0"/>
    <s v="boAt Wireless Earphones"/>
    <n v="3543.93"/>
    <n v="2"/>
    <n v="433.72"/>
    <x v="2"/>
    <x v="3"/>
  </r>
  <r>
    <d v="2026-03-21T00:00:00"/>
    <x v="5"/>
    <x v="5"/>
    <x v="0"/>
    <x v="4"/>
    <x v="6"/>
    <s v="Eureka Forbes Vacuum Cleaner"/>
    <n v="32378.15"/>
    <n v="3"/>
    <n v="4369.6000000000004"/>
    <x v="2"/>
    <x v="3"/>
  </r>
  <r>
    <d v="2026-03-21T00:00:00"/>
    <x v="12"/>
    <x v="9"/>
    <x v="0"/>
    <x v="4"/>
    <x v="11"/>
    <s v="Philips Trimmer"/>
    <n v="2184.0100000000002"/>
    <n v="1"/>
    <n v="223.07"/>
    <x v="2"/>
    <x v="3"/>
  </r>
  <r>
    <d v="2026-03-23T00:00:00"/>
    <x v="24"/>
    <x v="0"/>
    <x v="0"/>
    <x v="4"/>
    <x v="11"/>
    <s v="Braun Electric Shaver"/>
    <n v="20446.689999999999"/>
    <n v="4"/>
    <n v="2393.0100000000002"/>
    <x v="2"/>
    <x v="3"/>
  </r>
  <r>
    <d v="2026-03-23T00:00:00"/>
    <x v="7"/>
    <x v="8"/>
    <x v="0"/>
    <x v="3"/>
    <x v="7"/>
    <s v="Morphy Richards OTG"/>
    <n v="6558.07"/>
    <n v="1"/>
    <n v="836.91"/>
    <x v="2"/>
    <x v="3"/>
  </r>
  <r>
    <d v="2026-03-24T00:00:00"/>
    <x v="16"/>
    <x v="4"/>
    <x v="0"/>
    <x v="0"/>
    <x v="2"/>
    <s v="Apple iPhone 15"/>
    <n v="188951.79"/>
    <n v="3"/>
    <n v="14280.62"/>
    <x v="2"/>
    <x v="3"/>
  </r>
  <r>
    <d v="2026-03-25T00:00:00"/>
    <x v="21"/>
    <x v="10"/>
    <x v="0"/>
    <x v="1"/>
    <x v="1"/>
    <s v="Lenovo IdeaPad Slim 5"/>
    <n v="64027.41"/>
    <n v="1"/>
    <n v="5388.79"/>
    <x v="2"/>
    <x v="3"/>
  </r>
  <r>
    <d v="2026-03-25T00:00:00"/>
    <x v="14"/>
    <x v="9"/>
    <x v="0"/>
    <x v="0"/>
    <x v="0"/>
    <s v="Samsung 25W Charger"/>
    <n v="4332.72"/>
    <n v="3"/>
    <n v="571.73"/>
    <x v="2"/>
    <x v="3"/>
  </r>
  <r>
    <d v="2026-03-26T00:00:00"/>
    <x v="17"/>
    <x v="2"/>
    <x v="0"/>
    <x v="3"/>
    <x v="7"/>
    <s v="Prestige Induction Cooktop"/>
    <n v="2563.6999999999998"/>
    <n v="1"/>
    <n v="264.13"/>
    <x v="2"/>
    <x v="3"/>
  </r>
  <r>
    <d v="2026-03-26T00:00:00"/>
    <x v="21"/>
    <x v="11"/>
    <x v="0"/>
    <x v="3"/>
    <x v="4"/>
    <s v="LG 7kg Fully Automatic Washing Machine"/>
    <n v="139594.29999999999"/>
    <n v="5"/>
    <n v="25377.26"/>
    <x v="2"/>
    <x v="3"/>
  </r>
  <r>
    <d v="2026-03-27T00:00:00"/>
    <x v="18"/>
    <x v="0"/>
    <x v="0"/>
    <x v="3"/>
    <x v="9"/>
    <s v="Whirlpool 265L Frost Free Refrigerator"/>
    <n v="28917.79"/>
    <n v="1"/>
    <n v="3109.19"/>
    <x v="2"/>
    <x v="3"/>
  </r>
  <r>
    <d v="2026-03-27T00:00:00"/>
    <x v="1"/>
    <x v="4"/>
    <x v="0"/>
    <x v="4"/>
    <x v="11"/>
    <s v="Philips Hair Dryer"/>
    <n v="1793.29"/>
    <n v="1"/>
    <n v="169.71"/>
    <x v="2"/>
    <x v="3"/>
  </r>
  <r>
    <d v="2026-03-28T00:00:00"/>
    <x v="13"/>
    <x v="11"/>
    <x v="0"/>
    <x v="0"/>
    <x v="2"/>
    <s v="Samsung Galaxy A55"/>
    <n v="113183.64"/>
    <n v="3"/>
    <n v="8919.92"/>
    <x v="2"/>
    <x v="3"/>
  </r>
  <r>
    <d v="2026-03-28T00:00:00"/>
    <x v="18"/>
    <x v="14"/>
    <x v="0"/>
    <x v="4"/>
    <x v="6"/>
    <s v="Eureka Forbes Vacuum Cleaner"/>
    <n v="33915.68"/>
    <n v="3"/>
    <n v="3654.76"/>
    <x v="2"/>
    <x v="3"/>
  </r>
  <r>
    <d v="2026-03-29T00:00:00"/>
    <x v="17"/>
    <x v="0"/>
    <x v="0"/>
    <x v="4"/>
    <x v="6"/>
    <s v="Eureka Forbes Vacuum Cleaner"/>
    <n v="9908.1200000000008"/>
    <n v="1"/>
    <n v="1035.1199999999999"/>
    <x v="2"/>
    <x v="3"/>
  </r>
  <r>
    <d v="2026-03-29T00:00:00"/>
    <x v="28"/>
    <x v="11"/>
    <x v="0"/>
    <x v="0"/>
    <x v="0"/>
    <s v="JBL Bluetooth Earbuds"/>
    <n v="2674.47"/>
    <n v="1"/>
    <n v="409.66"/>
    <x v="2"/>
    <x v="3"/>
  </r>
  <r>
    <d v="2026-03-30T00:00:00"/>
    <x v="5"/>
    <x v="0"/>
    <x v="0"/>
    <x v="3"/>
    <x v="7"/>
    <s v="Morphy Richards OTG"/>
    <n v="7260.13"/>
    <n v="1"/>
    <n v="1073.78"/>
    <x v="2"/>
    <x v="3"/>
  </r>
  <r>
    <d v="2026-03-30T00:00:00"/>
    <x v="28"/>
    <x v="13"/>
    <x v="0"/>
    <x v="2"/>
    <x v="8"/>
    <s v="TCL 50 inch 4K Smart TV"/>
    <n v="125511.39"/>
    <n v="3"/>
    <n v="23826.42"/>
    <x v="2"/>
    <x v="3"/>
  </r>
  <r>
    <d v="2026-03-30T00:00:00"/>
    <x v="18"/>
    <x v="6"/>
    <x v="0"/>
    <x v="4"/>
    <x v="11"/>
    <s v="Braun Electric Shaver"/>
    <n v="5828.77"/>
    <n v="1"/>
    <n v="-333.55"/>
    <x v="2"/>
    <x v="3"/>
  </r>
  <r>
    <d v="2026-03-31T00:00:00"/>
    <x v="22"/>
    <x v="6"/>
    <x v="0"/>
    <x v="1"/>
    <x v="5"/>
    <s v="TP-Link Wi-Fi Router"/>
    <n v="2915.66"/>
    <n v="1"/>
    <n v="529.05999999999995"/>
    <x v="2"/>
    <x v="3"/>
  </r>
  <r>
    <d v="2026-03-31T00:00:00"/>
    <x v="0"/>
    <x v="0"/>
    <x v="0"/>
    <x v="2"/>
    <x v="8"/>
    <s v="LG 55 inch OLED Smart TV"/>
    <n v="187134.98"/>
    <n v="2"/>
    <n v="32328.16"/>
    <x v="2"/>
    <x v="3"/>
  </r>
  <r>
    <d v="2026-04-01T00:00:00"/>
    <x v="12"/>
    <x v="9"/>
    <x v="0"/>
    <x v="0"/>
    <x v="2"/>
    <s v="Samsung Galaxy A55"/>
    <n v="37414.300000000003"/>
    <n v="1"/>
    <n v="4737.04"/>
    <x v="3"/>
    <x v="3"/>
  </r>
  <r>
    <d v="2026-04-02T00:00:00"/>
    <x v="13"/>
    <x v="5"/>
    <x v="0"/>
    <x v="0"/>
    <x v="2"/>
    <s v="Google Pixel 8"/>
    <n v="178426.11"/>
    <n v="3"/>
    <n v="31543.78"/>
    <x v="3"/>
    <x v="3"/>
  </r>
  <r>
    <d v="2026-04-03T00:00:00"/>
    <x v="15"/>
    <x v="13"/>
    <x v="0"/>
    <x v="3"/>
    <x v="9"/>
    <s v="Whirlpool 265L Frost Free Refrigerator"/>
    <n v="27579.86"/>
    <n v="1"/>
    <n v="5087.45"/>
    <x v="3"/>
    <x v="3"/>
  </r>
  <r>
    <d v="2026-04-04T00:00:00"/>
    <x v="11"/>
    <x v="7"/>
    <x v="0"/>
    <x v="3"/>
    <x v="9"/>
    <s v="Samsung 253L Refrigerator"/>
    <n v="27603.05"/>
    <n v="1"/>
    <n v="2148.9699999999998"/>
    <x v="3"/>
    <x v="3"/>
  </r>
  <r>
    <d v="2026-04-05T00:00:00"/>
    <x v="16"/>
    <x v="1"/>
    <x v="0"/>
    <x v="1"/>
    <x v="5"/>
    <s v="Logitech Wireless Mouse"/>
    <n v="2900.18"/>
    <n v="2"/>
    <n v="321.45999999999998"/>
    <x v="3"/>
    <x v="3"/>
  </r>
  <r>
    <d v="2026-04-05T00:00:00"/>
    <x v="15"/>
    <x v="5"/>
    <x v="0"/>
    <x v="2"/>
    <x v="3"/>
    <s v="JBL 5.1 Soundbar"/>
    <n v="57812.21"/>
    <n v="2"/>
    <n v="-1931.43"/>
    <x v="3"/>
    <x v="3"/>
  </r>
  <r>
    <d v="2026-04-05T00:00:00"/>
    <x v="16"/>
    <x v="7"/>
    <x v="0"/>
    <x v="3"/>
    <x v="7"/>
    <s v="Philips Air Fryer"/>
    <n v="8489.17"/>
    <n v="1"/>
    <n v="1400.72"/>
    <x v="3"/>
    <x v="3"/>
  </r>
  <r>
    <d v="2026-04-05T00:00:00"/>
    <x v="16"/>
    <x v="0"/>
    <x v="0"/>
    <x v="0"/>
    <x v="0"/>
    <s v="Samsung 25W Charger"/>
    <n v="1368.81"/>
    <n v="1"/>
    <n v="298.95999999999998"/>
    <x v="3"/>
    <x v="3"/>
  </r>
  <r>
    <d v="2026-04-08T00:00:00"/>
    <x v="17"/>
    <x v="12"/>
    <x v="0"/>
    <x v="1"/>
    <x v="5"/>
    <s v="HP 24 inch Monitor"/>
    <n v="11619.57"/>
    <n v="1"/>
    <n v="2000.86"/>
    <x v="3"/>
    <x v="3"/>
  </r>
  <r>
    <d v="2026-04-09T00:00:00"/>
    <x v="11"/>
    <x v="5"/>
    <x v="0"/>
    <x v="1"/>
    <x v="5"/>
    <s v="Logitech Wireless Mouse"/>
    <n v="2834.55"/>
    <n v="2"/>
    <n v="429.26"/>
    <x v="3"/>
    <x v="3"/>
  </r>
  <r>
    <d v="2026-04-09T00:00:00"/>
    <x v="19"/>
    <x v="2"/>
    <x v="0"/>
    <x v="0"/>
    <x v="0"/>
    <s v="Samsung 25W Charger"/>
    <n v="1494.71"/>
    <n v="1"/>
    <n v="218.18"/>
    <x v="3"/>
    <x v="3"/>
  </r>
  <r>
    <d v="2026-04-09T00:00:00"/>
    <x v="8"/>
    <x v="3"/>
    <x v="0"/>
    <x v="2"/>
    <x v="8"/>
    <s v="TCL 50 inch 4K Smart TV"/>
    <n v="76172.740000000005"/>
    <n v="2"/>
    <n v="-1762.4"/>
    <x v="3"/>
    <x v="3"/>
  </r>
  <r>
    <d v="2026-04-10T00:00:00"/>
    <x v="6"/>
    <x v="2"/>
    <x v="0"/>
    <x v="1"/>
    <x v="1"/>
    <s v="Apple MacBook Air M2"/>
    <n v="187157.07"/>
    <n v="2"/>
    <n v="33962.239999999998"/>
    <x v="3"/>
    <x v="3"/>
  </r>
  <r>
    <d v="2026-04-10T00:00:00"/>
    <x v="15"/>
    <x v="9"/>
    <x v="0"/>
    <x v="3"/>
    <x v="9"/>
    <s v="Samsung 253L Refrigerator"/>
    <n v="30174.959999999999"/>
    <n v="1"/>
    <n v="3356.04"/>
    <x v="3"/>
    <x v="3"/>
  </r>
  <r>
    <d v="2026-04-12T00:00:00"/>
    <x v="12"/>
    <x v="12"/>
    <x v="0"/>
    <x v="4"/>
    <x v="11"/>
    <s v="Philips Trimmer"/>
    <n v="4821.72"/>
    <n v="2"/>
    <n v="734.46"/>
    <x v="3"/>
    <x v="3"/>
  </r>
  <r>
    <d v="2026-04-12T00:00:00"/>
    <x v="2"/>
    <x v="1"/>
    <x v="0"/>
    <x v="2"/>
    <x v="8"/>
    <s v="TCL 50 inch 4K Smart TV"/>
    <n v="155870.01999999999"/>
    <n v="4"/>
    <n v="30043.119999999999"/>
    <x v="3"/>
    <x v="3"/>
  </r>
  <r>
    <d v="2026-04-12T00:00:00"/>
    <x v="14"/>
    <x v="7"/>
    <x v="0"/>
    <x v="4"/>
    <x v="11"/>
    <s v="Philips Hair Dryer"/>
    <n v="3798.67"/>
    <n v="2"/>
    <n v="406.75"/>
    <x v="3"/>
    <x v="3"/>
  </r>
  <r>
    <d v="2026-04-13T00:00:00"/>
    <x v="13"/>
    <x v="9"/>
    <x v="0"/>
    <x v="0"/>
    <x v="0"/>
    <s v="Portronics Power Bank 20000mAh"/>
    <n v="4880.51"/>
    <n v="2"/>
    <n v="765.47"/>
    <x v="3"/>
    <x v="3"/>
  </r>
  <r>
    <d v="2026-04-13T00:00:00"/>
    <x v="0"/>
    <x v="10"/>
    <x v="0"/>
    <x v="0"/>
    <x v="2"/>
    <s v="Apple iPhone 15"/>
    <n v="66813.289999999994"/>
    <n v="1"/>
    <n v="-3506.44"/>
    <x v="3"/>
    <x v="3"/>
  </r>
  <r>
    <d v="2026-04-14T00:00:00"/>
    <x v="7"/>
    <x v="6"/>
    <x v="0"/>
    <x v="0"/>
    <x v="0"/>
    <s v="boAt Wireless Earphones"/>
    <n v="8599.43"/>
    <n v="5"/>
    <n v="667.89"/>
    <x v="3"/>
    <x v="3"/>
  </r>
  <r>
    <d v="2026-04-14T00:00:00"/>
    <x v="18"/>
    <x v="7"/>
    <x v="0"/>
    <x v="0"/>
    <x v="2"/>
    <s v="Google Pixel 8"/>
    <n v="52631.519999999997"/>
    <n v="1"/>
    <n v="-909.76"/>
    <x v="3"/>
    <x v="3"/>
  </r>
  <r>
    <d v="2026-04-14T00:00:00"/>
    <x v="15"/>
    <x v="13"/>
    <x v="0"/>
    <x v="0"/>
    <x v="2"/>
    <s v="Samsung Galaxy S24"/>
    <n v="123606.16"/>
    <n v="2"/>
    <n v="9312.5"/>
    <x v="3"/>
    <x v="3"/>
  </r>
  <r>
    <d v="2026-04-15T00:00:00"/>
    <x v="18"/>
    <x v="6"/>
    <x v="0"/>
    <x v="2"/>
    <x v="8"/>
    <s v="Sony 55 inch Bravia 4K TV"/>
    <n v="238828.79"/>
    <n v="3"/>
    <n v="41334.949999999997"/>
    <x v="3"/>
    <x v="3"/>
  </r>
  <r>
    <d v="2026-04-15T00:00:00"/>
    <x v="24"/>
    <x v="10"/>
    <x v="0"/>
    <x v="2"/>
    <x v="3"/>
    <s v="Sony Bluetooth Soundbar"/>
    <n v="24873.25"/>
    <n v="1"/>
    <n v="3863.05"/>
    <x v="3"/>
    <x v="3"/>
  </r>
  <r>
    <d v="2026-04-17T00:00:00"/>
    <x v="16"/>
    <x v="4"/>
    <x v="0"/>
    <x v="3"/>
    <x v="9"/>
    <s v="LG 260L Double Door Refrigerator"/>
    <n v="30694.5"/>
    <n v="1"/>
    <n v="2999"/>
    <x v="3"/>
    <x v="3"/>
  </r>
  <r>
    <d v="2026-04-18T00:00:00"/>
    <x v="3"/>
    <x v="9"/>
    <x v="0"/>
    <x v="4"/>
    <x v="11"/>
    <s v="Philips Trimmer"/>
    <n v="4690.9799999999996"/>
    <n v="2"/>
    <n v="572.82000000000005"/>
    <x v="3"/>
    <x v="3"/>
  </r>
  <r>
    <d v="2026-04-18T00:00:00"/>
    <x v="0"/>
    <x v="6"/>
    <x v="0"/>
    <x v="1"/>
    <x v="5"/>
    <s v="HP 24 inch Monitor"/>
    <n v="11384.89"/>
    <n v="1"/>
    <n v="2471.65"/>
    <x v="3"/>
    <x v="3"/>
  </r>
  <r>
    <d v="2026-04-18T00:00:00"/>
    <x v="22"/>
    <x v="9"/>
    <x v="0"/>
    <x v="1"/>
    <x v="1"/>
    <s v="Dell Inspiron 15 Laptop"/>
    <n v="54871.47"/>
    <n v="1"/>
    <n v="4065.32"/>
    <x v="3"/>
    <x v="3"/>
  </r>
  <r>
    <d v="2026-04-20T00:00:00"/>
    <x v="15"/>
    <x v="1"/>
    <x v="0"/>
    <x v="4"/>
    <x v="11"/>
    <s v="Braun Electric Shaver"/>
    <n v="11395.57"/>
    <n v="2"/>
    <n v="2385.0500000000002"/>
    <x v="3"/>
    <x v="3"/>
  </r>
  <r>
    <d v="2026-04-20T00:00:00"/>
    <x v="15"/>
    <x v="13"/>
    <x v="0"/>
    <x v="1"/>
    <x v="1"/>
    <s v="Apple MacBook Air M2"/>
    <n v="92365.55"/>
    <n v="1"/>
    <n v="11036.81"/>
    <x v="3"/>
    <x v="3"/>
  </r>
  <r>
    <d v="2026-04-21T00:00:00"/>
    <x v="26"/>
    <x v="7"/>
    <x v="0"/>
    <x v="2"/>
    <x v="8"/>
    <s v="LG 55 inch OLED Smart TV"/>
    <n v="182177.7"/>
    <n v="2"/>
    <n v="22927.51"/>
    <x v="3"/>
    <x v="3"/>
  </r>
  <r>
    <d v="2026-04-21T00:00:00"/>
    <x v="22"/>
    <x v="4"/>
    <x v="0"/>
    <x v="3"/>
    <x v="10"/>
    <s v="Voltas 1.5 Ton Split AC"/>
    <n v="38888.6"/>
    <n v="1"/>
    <n v="4800.1499999999996"/>
    <x v="3"/>
    <x v="3"/>
  </r>
  <r>
    <d v="2026-04-21T00:00:00"/>
    <x v="26"/>
    <x v="3"/>
    <x v="0"/>
    <x v="3"/>
    <x v="7"/>
    <s v="Prestige Induction Cooktop"/>
    <n v="8012.48"/>
    <n v="3"/>
    <n v="1448.4"/>
    <x v="3"/>
    <x v="3"/>
  </r>
  <r>
    <d v="2026-04-21T00:00:00"/>
    <x v="12"/>
    <x v="3"/>
    <x v="0"/>
    <x v="1"/>
    <x v="5"/>
    <s v="Logitech Wireless Mouse"/>
    <n v="4298.83"/>
    <n v="3"/>
    <n v="329.86"/>
    <x v="3"/>
    <x v="3"/>
  </r>
  <r>
    <d v="2026-04-21T00:00:00"/>
    <x v="2"/>
    <x v="1"/>
    <x v="0"/>
    <x v="1"/>
    <x v="1"/>
    <s v="ASUS Vivobook 15"/>
    <n v="149288.20000000001"/>
    <n v="3"/>
    <n v="25612.080000000002"/>
    <x v="3"/>
    <x v="3"/>
  </r>
  <r>
    <d v="2026-04-22T00:00:00"/>
    <x v="28"/>
    <x v="1"/>
    <x v="0"/>
    <x v="3"/>
    <x v="4"/>
    <s v="Samsung 8kg Front Load Washing Machine"/>
    <n v="37512.35"/>
    <n v="1"/>
    <n v="3083.81"/>
    <x v="3"/>
    <x v="3"/>
  </r>
  <r>
    <d v="2026-04-22T00:00:00"/>
    <x v="0"/>
    <x v="3"/>
    <x v="0"/>
    <x v="4"/>
    <x v="6"/>
    <s v="Philips Air Purifier"/>
    <n v="13958.41"/>
    <n v="1"/>
    <n v="2386.54"/>
    <x v="3"/>
    <x v="3"/>
  </r>
  <r>
    <d v="2026-04-24T00:00:00"/>
    <x v="18"/>
    <x v="13"/>
    <x v="0"/>
    <x v="3"/>
    <x v="4"/>
    <s v="IFB 7kg Front Load Washing Machine"/>
    <n v="28756.68"/>
    <n v="1"/>
    <n v="3390.2"/>
    <x v="3"/>
    <x v="3"/>
  </r>
  <r>
    <d v="2026-04-25T00:00:00"/>
    <x v="13"/>
    <x v="5"/>
    <x v="0"/>
    <x v="3"/>
    <x v="7"/>
    <s v="Prestige Induction Cooktop"/>
    <n v="7672.16"/>
    <n v="3"/>
    <n v="654.04"/>
    <x v="3"/>
    <x v="3"/>
  </r>
  <r>
    <d v="2026-04-26T00:00:00"/>
    <x v="24"/>
    <x v="3"/>
    <x v="0"/>
    <x v="3"/>
    <x v="7"/>
    <s v="Morphy Richards OTG"/>
    <n v="14584.68"/>
    <n v="2"/>
    <n v="-431.59"/>
    <x v="3"/>
    <x v="3"/>
  </r>
  <r>
    <d v="2026-04-26T00:00:00"/>
    <x v="22"/>
    <x v="9"/>
    <x v="0"/>
    <x v="2"/>
    <x v="8"/>
    <s v="Sony 55 inch Bravia 4K TV"/>
    <n v="153991.03"/>
    <n v="2"/>
    <n v="16112.88"/>
    <x v="3"/>
    <x v="3"/>
  </r>
  <r>
    <d v="2026-04-26T00:00:00"/>
    <x v="19"/>
    <x v="14"/>
    <x v="0"/>
    <x v="3"/>
    <x v="7"/>
    <s v="Philips Air Fryer"/>
    <n v="8263.2000000000007"/>
    <n v="1"/>
    <n v="1113.8699999999999"/>
    <x v="3"/>
    <x v="3"/>
  </r>
  <r>
    <d v="2026-04-26T00:00:00"/>
    <x v="7"/>
    <x v="6"/>
    <x v="0"/>
    <x v="1"/>
    <x v="5"/>
    <s v="Dell 27 inch Monitor"/>
    <n v="36651.620000000003"/>
    <n v="2"/>
    <n v="4524.76"/>
    <x v="3"/>
    <x v="3"/>
  </r>
  <r>
    <d v="2026-04-27T00:00:00"/>
    <x v="9"/>
    <x v="4"/>
    <x v="0"/>
    <x v="4"/>
    <x v="6"/>
    <s v="Eureka Forbes Vacuum Cleaner"/>
    <n v="10447.370000000001"/>
    <n v="1"/>
    <n v="2201.58"/>
    <x v="3"/>
    <x v="3"/>
  </r>
  <r>
    <d v="2026-04-28T00:00:00"/>
    <x v="5"/>
    <x v="14"/>
    <x v="0"/>
    <x v="2"/>
    <x v="3"/>
    <s v="Sony Wireless Headphones"/>
    <n v="9172.42"/>
    <n v="1"/>
    <n v="1942.96"/>
    <x v="3"/>
    <x v="3"/>
  </r>
  <r>
    <d v="2026-04-29T00:00:00"/>
    <x v="2"/>
    <x v="0"/>
    <x v="0"/>
    <x v="4"/>
    <x v="11"/>
    <s v="Philips Trimmer"/>
    <n v="4112.42"/>
    <n v="2"/>
    <n v="597.19000000000005"/>
    <x v="3"/>
    <x v="3"/>
  </r>
  <r>
    <d v="2026-04-29T00:00:00"/>
    <x v="3"/>
    <x v="6"/>
    <x v="0"/>
    <x v="2"/>
    <x v="3"/>
    <s v="Sony Bluetooth Soundbar"/>
    <n v="43768.6"/>
    <n v="2"/>
    <n v="-976.71"/>
    <x v="3"/>
    <x v="3"/>
  </r>
  <r>
    <d v="2026-04-30T00:00:00"/>
    <x v="19"/>
    <x v="4"/>
    <x v="0"/>
    <x v="0"/>
    <x v="2"/>
    <s v="Nothing Phone 2"/>
    <n v="82198.509999999995"/>
    <n v="2"/>
    <n v="9345.74"/>
    <x v="3"/>
    <x v="3"/>
  </r>
  <r>
    <d v="2026-04-30T00:00:00"/>
    <x v="9"/>
    <x v="3"/>
    <x v="0"/>
    <x v="1"/>
    <x v="5"/>
    <s v="Logitech Wireless Keyboard"/>
    <n v="7483.46"/>
    <n v="3"/>
    <n v="1171.54"/>
    <x v="3"/>
    <x v="3"/>
  </r>
  <r>
    <d v="2026-04-30T00:00:00"/>
    <x v="19"/>
    <x v="13"/>
    <x v="0"/>
    <x v="1"/>
    <x v="5"/>
    <s v="Logitech Wireless Mouse"/>
    <n v="6624.01"/>
    <n v="5"/>
    <n v="547.29"/>
    <x v="3"/>
    <x v="3"/>
  </r>
  <r>
    <d v="2026-04-30T00:00:00"/>
    <x v="15"/>
    <x v="10"/>
    <x v="0"/>
    <x v="2"/>
    <x v="3"/>
    <s v="Sony Bluetooth Soundbar"/>
    <n v="46118.01"/>
    <n v="2"/>
    <n v="4430.54"/>
    <x v="3"/>
    <x v="3"/>
  </r>
  <r>
    <d v="2026-05-02T00:00:00"/>
    <x v="12"/>
    <x v="3"/>
    <x v="0"/>
    <x v="4"/>
    <x v="11"/>
    <s v="Philips Trimmer"/>
    <n v="4587.82"/>
    <n v="2"/>
    <n v="723.95"/>
    <x v="4"/>
    <x v="3"/>
  </r>
  <r>
    <d v="2026-05-02T00:00:00"/>
    <x v="3"/>
    <x v="5"/>
    <x v="0"/>
    <x v="0"/>
    <x v="2"/>
    <s v="Apple iPhone 15"/>
    <n v="63623.11"/>
    <n v="1"/>
    <n v="13428.85"/>
    <x v="4"/>
    <x v="3"/>
  </r>
  <r>
    <d v="2026-05-03T00:00:00"/>
    <x v="19"/>
    <x v="1"/>
    <x v="0"/>
    <x v="0"/>
    <x v="2"/>
    <s v="Samsung Galaxy S24"/>
    <n v="186007.15"/>
    <n v="3"/>
    <n v="27618.799999999999"/>
    <x v="4"/>
    <x v="3"/>
  </r>
  <r>
    <d v="2026-05-04T00:00:00"/>
    <x v="1"/>
    <x v="4"/>
    <x v="0"/>
    <x v="0"/>
    <x v="2"/>
    <s v="Nothing Phone 2"/>
    <n v="77274.66"/>
    <n v="2"/>
    <n v="11400.17"/>
    <x v="4"/>
    <x v="3"/>
  </r>
  <r>
    <d v="2026-05-04T00:00:00"/>
    <x v="15"/>
    <x v="10"/>
    <x v="0"/>
    <x v="0"/>
    <x v="0"/>
    <s v="Samsung 25W Charger"/>
    <n v="1466.79"/>
    <n v="1"/>
    <n v="174.03"/>
    <x v="4"/>
    <x v="3"/>
  </r>
  <r>
    <d v="2026-05-05T00:00:00"/>
    <x v="17"/>
    <x v="5"/>
    <x v="0"/>
    <x v="2"/>
    <x v="8"/>
    <s v="Samsung 55 inch 4K Smart TV"/>
    <n v="68107.850000000006"/>
    <n v="1"/>
    <n v="9530.9500000000007"/>
    <x v="4"/>
    <x v="3"/>
  </r>
  <r>
    <d v="2026-05-05T00:00:00"/>
    <x v="16"/>
    <x v="13"/>
    <x v="0"/>
    <x v="2"/>
    <x v="8"/>
    <s v="Samsung 55 inch 4K Smart TV"/>
    <n v="67826.03"/>
    <n v="1"/>
    <n v="7705.72"/>
    <x v="4"/>
    <x v="3"/>
  </r>
  <r>
    <d v="2026-05-05T00:00:00"/>
    <x v="1"/>
    <x v="7"/>
    <x v="0"/>
    <x v="4"/>
    <x v="11"/>
    <s v="Philips Trimmer"/>
    <n v="2201.9299999999998"/>
    <n v="1"/>
    <n v="472.48"/>
    <x v="4"/>
    <x v="3"/>
  </r>
  <r>
    <d v="2026-05-05T00:00:00"/>
    <x v="15"/>
    <x v="7"/>
    <x v="0"/>
    <x v="3"/>
    <x v="9"/>
    <s v="Whirlpool 265L Frost Free Refrigerator"/>
    <n v="27737.87"/>
    <n v="1"/>
    <n v="2766.82"/>
    <x v="4"/>
    <x v="3"/>
  </r>
  <r>
    <d v="2026-05-06T00:00:00"/>
    <x v="17"/>
    <x v="4"/>
    <x v="0"/>
    <x v="1"/>
    <x v="5"/>
    <s v="Logitech Wireless Mouse"/>
    <n v="1347.35"/>
    <n v="1"/>
    <n v="255.58"/>
    <x v="4"/>
    <x v="3"/>
  </r>
  <r>
    <d v="2026-05-08T00:00:00"/>
    <x v="7"/>
    <x v="12"/>
    <x v="0"/>
    <x v="4"/>
    <x v="6"/>
    <s v="Dyson V8 Vacuum Cleaner"/>
    <n v="133444.04999999999"/>
    <n v="4"/>
    <n v="17747.38"/>
    <x v="4"/>
    <x v="3"/>
  </r>
  <r>
    <d v="2026-05-08T00:00:00"/>
    <x v="16"/>
    <x v="3"/>
    <x v="0"/>
    <x v="2"/>
    <x v="3"/>
    <s v="JBL 5.1 Soundbar"/>
    <n v="34901.620000000003"/>
    <n v="1"/>
    <n v="2444.23"/>
    <x v="4"/>
    <x v="3"/>
  </r>
  <r>
    <d v="2026-05-08T00:00:00"/>
    <x v="3"/>
    <x v="8"/>
    <x v="0"/>
    <x v="3"/>
    <x v="10"/>
    <s v="Voltas 1.5 Ton Split AC"/>
    <n v="38659.79"/>
    <n v="1"/>
    <n v="3758.15"/>
    <x v="4"/>
    <x v="3"/>
  </r>
  <r>
    <d v="2026-05-08T00:00:00"/>
    <x v="6"/>
    <x v="13"/>
    <x v="0"/>
    <x v="2"/>
    <x v="8"/>
    <s v="LG 55 inch OLED Smart TV"/>
    <n v="181681.61"/>
    <n v="2"/>
    <n v="32740.97"/>
    <x v="4"/>
    <x v="3"/>
  </r>
  <r>
    <d v="2026-05-08T00:00:00"/>
    <x v="27"/>
    <x v="4"/>
    <x v="0"/>
    <x v="0"/>
    <x v="2"/>
    <s v="Samsung Galaxy S24"/>
    <n v="128067.76"/>
    <n v="2"/>
    <n v="-4439.08"/>
    <x v="4"/>
    <x v="3"/>
  </r>
  <r>
    <d v="2026-05-08T00:00:00"/>
    <x v="3"/>
    <x v="4"/>
    <x v="0"/>
    <x v="3"/>
    <x v="7"/>
    <s v="Morphy Richards OTG"/>
    <n v="14052.79"/>
    <n v="2"/>
    <n v="1829.89"/>
    <x v="4"/>
    <x v="3"/>
  </r>
  <r>
    <d v="2026-05-09T00:00:00"/>
    <x v="24"/>
    <x v="12"/>
    <x v="0"/>
    <x v="1"/>
    <x v="1"/>
    <s v="ASUS Vivobook 15"/>
    <n v="99166.51"/>
    <n v="2"/>
    <n v="14372.64"/>
    <x v="4"/>
    <x v="3"/>
  </r>
  <r>
    <d v="2026-05-09T00:00:00"/>
    <x v="15"/>
    <x v="14"/>
    <x v="0"/>
    <x v="0"/>
    <x v="0"/>
    <s v="Portronics Power Bank 20000mAh"/>
    <n v="4995.32"/>
    <n v="2"/>
    <n v="667.9"/>
    <x v="4"/>
    <x v="3"/>
  </r>
  <r>
    <d v="2026-05-09T00:00:00"/>
    <x v="17"/>
    <x v="13"/>
    <x v="0"/>
    <x v="3"/>
    <x v="4"/>
    <s v="LG 7kg Fully Automatic Washing Machine"/>
    <n v="27040.36"/>
    <n v="1"/>
    <n v="3629.8"/>
    <x v="4"/>
    <x v="3"/>
  </r>
  <r>
    <d v="2026-05-10T00:00:00"/>
    <x v="17"/>
    <x v="0"/>
    <x v="0"/>
    <x v="4"/>
    <x v="11"/>
    <s v="Philips Trimmer"/>
    <n v="9705.61"/>
    <n v="4"/>
    <n v="-517.54999999999995"/>
    <x v="4"/>
    <x v="3"/>
  </r>
  <r>
    <d v="2026-05-10T00:00:00"/>
    <x v="0"/>
    <x v="14"/>
    <x v="0"/>
    <x v="0"/>
    <x v="0"/>
    <s v="Portronics Power Bank 20000mAh"/>
    <n v="2475.48"/>
    <n v="1"/>
    <n v="288.64"/>
    <x v="4"/>
    <x v="3"/>
  </r>
  <r>
    <d v="2026-05-12T00:00:00"/>
    <x v="16"/>
    <x v="3"/>
    <x v="0"/>
    <x v="4"/>
    <x v="11"/>
    <s v="Braun Electric Shaver"/>
    <n v="5874.19"/>
    <n v="1"/>
    <n v="1184.53"/>
    <x v="4"/>
    <x v="3"/>
  </r>
  <r>
    <d v="2026-05-13T00:00:00"/>
    <x v="10"/>
    <x v="4"/>
    <x v="0"/>
    <x v="2"/>
    <x v="8"/>
    <s v="Samsung 55 inch 4K Smart TV"/>
    <n v="65086.63"/>
    <n v="1"/>
    <n v="9901.2099999999991"/>
    <x v="4"/>
    <x v="3"/>
  </r>
  <r>
    <d v="2026-05-13T00:00:00"/>
    <x v="19"/>
    <x v="8"/>
    <x v="0"/>
    <x v="4"/>
    <x v="6"/>
    <s v="Philips Air Purifier"/>
    <n v="24788.65"/>
    <n v="2"/>
    <n v="4610.47"/>
    <x v="4"/>
    <x v="3"/>
  </r>
  <r>
    <d v="2026-05-13T00:00:00"/>
    <x v="0"/>
    <x v="4"/>
    <x v="0"/>
    <x v="2"/>
    <x v="3"/>
    <s v="JBL 5.1 Soundbar"/>
    <n v="114794.23"/>
    <n v="4"/>
    <n v="24297"/>
    <x v="4"/>
    <x v="3"/>
  </r>
  <r>
    <d v="2026-05-14T00:00:00"/>
    <x v="26"/>
    <x v="12"/>
    <x v="0"/>
    <x v="4"/>
    <x v="6"/>
    <s v="Dyson V8 Vacuum Cleaner"/>
    <n v="61433.36"/>
    <n v="2"/>
    <n v="4940.8599999999997"/>
    <x v="4"/>
    <x v="3"/>
  </r>
  <r>
    <d v="2026-05-14T00:00:00"/>
    <x v="24"/>
    <x v="4"/>
    <x v="0"/>
    <x v="4"/>
    <x v="6"/>
    <s v="Eureka Forbes Vacuum Cleaner"/>
    <n v="11323.38"/>
    <n v="1"/>
    <n v="1578.3"/>
    <x v="4"/>
    <x v="3"/>
  </r>
  <r>
    <d v="2026-05-14T00:00:00"/>
    <x v="27"/>
    <x v="7"/>
    <x v="0"/>
    <x v="0"/>
    <x v="2"/>
    <s v="Nothing Phone 2"/>
    <n v="214754.37"/>
    <n v="5"/>
    <n v="46590.720000000001"/>
    <x v="4"/>
    <x v="3"/>
  </r>
  <r>
    <d v="2026-05-15T00:00:00"/>
    <x v="19"/>
    <x v="6"/>
    <x v="0"/>
    <x v="1"/>
    <x v="1"/>
    <s v="Dell Inspiron 15 Laptop"/>
    <n v="48863.7"/>
    <n v="1"/>
    <n v="9860.36"/>
    <x v="4"/>
    <x v="3"/>
  </r>
  <r>
    <d v="2026-05-15T00:00:00"/>
    <x v="6"/>
    <x v="9"/>
    <x v="0"/>
    <x v="2"/>
    <x v="3"/>
    <s v="JBL 5.1 Soundbar"/>
    <n v="61291.95"/>
    <n v="2"/>
    <n v="4575.8"/>
    <x v="4"/>
    <x v="3"/>
  </r>
  <r>
    <d v="2026-05-15T00:00:00"/>
    <x v="19"/>
    <x v="8"/>
    <x v="0"/>
    <x v="3"/>
    <x v="9"/>
    <s v="Samsung 253L Refrigerator"/>
    <n v="118751.58"/>
    <n v="4"/>
    <n v="9695.15"/>
    <x v="4"/>
    <x v="3"/>
  </r>
  <r>
    <d v="2026-05-16T00:00:00"/>
    <x v="14"/>
    <x v="12"/>
    <x v="0"/>
    <x v="0"/>
    <x v="2"/>
    <s v="Google Pixel 8"/>
    <n v="57269.7"/>
    <n v="1"/>
    <n v="10567.5"/>
    <x v="4"/>
    <x v="3"/>
  </r>
  <r>
    <d v="2026-05-17T00:00:00"/>
    <x v="19"/>
    <x v="0"/>
    <x v="0"/>
    <x v="4"/>
    <x v="6"/>
    <s v="Dyson V8 Vacuum Cleaner"/>
    <n v="63357.38"/>
    <n v="2"/>
    <n v="4563.3100000000004"/>
    <x v="4"/>
    <x v="3"/>
  </r>
  <r>
    <d v="2026-05-17T00:00:00"/>
    <x v="7"/>
    <x v="2"/>
    <x v="0"/>
    <x v="3"/>
    <x v="4"/>
    <s v="IFB 7kg Front Load Washing Machine"/>
    <n v="29756.560000000001"/>
    <n v="1"/>
    <n v="3404.45"/>
    <x v="4"/>
    <x v="3"/>
  </r>
  <r>
    <d v="2026-05-18T00:00:00"/>
    <x v="5"/>
    <x v="13"/>
    <x v="0"/>
    <x v="4"/>
    <x v="11"/>
    <s v="Philips Hair Dryer"/>
    <n v="1946.92"/>
    <n v="1"/>
    <n v="144.58000000000001"/>
    <x v="4"/>
    <x v="3"/>
  </r>
  <r>
    <d v="2026-05-18T00:00:00"/>
    <x v="5"/>
    <x v="5"/>
    <x v="0"/>
    <x v="3"/>
    <x v="9"/>
    <s v="LG 260L Double Door Refrigerator"/>
    <n v="29580.67"/>
    <n v="1"/>
    <n v="5714.97"/>
    <x v="4"/>
    <x v="3"/>
  </r>
  <r>
    <d v="2026-05-18T00:00:00"/>
    <x v="13"/>
    <x v="0"/>
    <x v="0"/>
    <x v="3"/>
    <x v="4"/>
    <s v="LG 7kg Fully Automatic Washing Machine"/>
    <n v="24851.09"/>
    <n v="1"/>
    <n v="3419.41"/>
    <x v="4"/>
    <x v="3"/>
  </r>
  <r>
    <d v="2026-05-19T00:00:00"/>
    <x v="1"/>
    <x v="10"/>
    <x v="0"/>
    <x v="2"/>
    <x v="3"/>
    <s v="JBL 5.1 Soundbar"/>
    <n v="34652.15"/>
    <n v="1"/>
    <n v="3390.54"/>
    <x v="4"/>
    <x v="3"/>
  </r>
  <r>
    <d v="2026-05-19T00:00:00"/>
    <x v="18"/>
    <x v="6"/>
    <x v="0"/>
    <x v="0"/>
    <x v="2"/>
    <s v="OnePlus 12"/>
    <n v="60507.07"/>
    <n v="1"/>
    <n v="12535.43"/>
    <x v="4"/>
    <x v="3"/>
  </r>
  <r>
    <d v="2026-05-19T00:00:00"/>
    <x v="13"/>
    <x v="5"/>
    <x v="0"/>
    <x v="2"/>
    <x v="8"/>
    <s v="Sony 55 inch Bravia 4K TV"/>
    <n v="228543.52"/>
    <n v="3"/>
    <n v="32875.01"/>
    <x v="4"/>
    <x v="3"/>
  </r>
  <r>
    <d v="2026-05-19T00:00:00"/>
    <x v="27"/>
    <x v="14"/>
    <x v="0"/>
    <x v="0"/>
    <x v="2"/>
    <s v="Google Pixel 8"/>
    <n v="54095.19"/>
    <n v="1"/>
    <n v="6492.64"/>
    <x v="4"/>
    <x v="3"/>
  </r>
  <r>
    <d v="2026-05-21T00:00:00"/>
    <x v="7"/>
    <x v="9"/>
    <x v="0"/>
    <x v="0"/>
    <x v="0"/>
    <s v="Apple 20W USB-C Power Adapter"/>
    <n v="7279.21"/>
    <n v="4"/>
    <n v="966.64"/>
    <x v="4"/>
    <x v="3"/>
  </r>
  <r>
    <d v="2026-05-22T00:00:00"/>
    <x v="0"/>
    <x v="14"/>
    <x v="0"/>
    <x v="1"/>
    <x v="5"/>
    <s v="Logitech Wireless Keyboard"/>
    <n v="2246.08"/>
    <n v="1"/>
    <n v="434.89"/>
    <x v="4"/>
    <x v="3"/>
  </r>
  <r>
    <d v="2026-05-22T00:00:00"/>
    <x v="28"/>
    <x v="6"/>
    <x v="0"/>
    <x v="3"/>
    <x v="4"/>
    <s v="LG 7kg Fully Automatic Washing Machine"/>
    <n v="26148.73"/>
    <n v="1"/>
    <n v="4182.04"/>
    <x v="4"/>
    <x v="3"/>
  </r>
  <r>
    <d v="2026-05-23T00:00:00"/>
    <x v="14"/>
    <x v="2"/>
    <x v="0"/>
    <x v="3"/>
    <x v="10"/>
    <s v="Voltas 1.5 Ton Split AC"/>
    <n v="66168.2"/>
    <n v="2"/>
    <n v="9306.15"/>
    <x v="4"/>
    <x v="3"/>
  </r>
  <r>
    <d v="2026-05-24T00:00:00"/>
    <x v="6"/>
    <x v="8"/>
    <x v="0"/>
    <x v="0"/>
    <x v="2"/>
    <s v="Nothing Phone 2"/>
    <n v="38875.11"/>
    <n v="1"/>
    <n v="4785.1499999999996"/>
    <x v="4"/>
    <x v="3"/>
  </r>
  <r>
    <d v="2026-05-25T00:00:00"/>
    <x v="15"/>
    <x v="13"/>
    <x v="0"/>
    <x v="3"/>
    <x v="9"/>
    <s v="Samsung 253L Refrigerator"/>
    <n v="53688.65"/>
    <n v="2"/>
    <n v="9154.26"/>
    <x v="4"/>
    <x v="3"/>
  </r>
  <r>
    <d v="2026-05-25T00:00:00"/>
    <x v="10"/>
    <x v="6"/>
    <x v="0"/>
    <x v="2"/>
    <x v="8"/>
    <s v="OnePlus 43 inch 4K Smart TV"/>
    <n v="24681.5"/>
    <n v="1"/>
    <n v="1806.36"/>
    <x v="4"/>
    <x v="3"/>
  </r>
  <r>
    <d v="2026-05-26T00:00:00"/>
    <x v="19"/>
    <x v="14"/>
    <x v="0"/>
    <x v="3"/>
    <x v="9"/>
    <s v="Samsung 253L Refrigerator"/>
    <n v="61479.09"/>
    <n v="2"/>
    <n v="7312.18"/>
    <x v="4"/>
    <x v="3"/>
  </r>
  <r>
    <d v="2026-05-28T00:00:00"/>
    <x v="16"/>
    <x v="10"/>
    <x v="0"/>
    <x v="3"/>
    <x v="9"/>
    <s v="Samsung 253L Refrigerator"/>
    <n v="30748.32"/>
    <n v="1"/>
    <n v="4286.33"/>
    <x v="4"/>
    <x v="3"/>
  </r>
  <r>
    <d v="2026-05-28T00:00:00"/>
    <x v="3"/>
    <x v="6"/>
    <x v="0"/>
    <x v="2"/>
    <x v="8"/>
    <s v="LG 55 inch OLED Smart TV"/>
    <n v="86863.64"/>
    <n v="1"/>
    <n v="15272.86"/>
    <x v="4"/>
    <x v="3"/>
  </r>
  <r>
    <d v="2026-05-28T00:00:00"/>
    <x v="1"/>
    <x v="2"/>
    <x v="0"/>
    <x v="1"/>
    <x v="5"/>
    <s v="HP 24 inch Monitor"/>
    <n v="11850.61"/>
    <n v="1"/>
    <n v="1010.79"/>
    <x v="4"/>
    <x v="3"/>
  </r>
  <r>
    <d v="2026-05-28T00:00:00"/>
    <x v="8"/>
    <x v="0"/>
    <x v="0"/>
    <x v="4"/>
    <x v="6"/>
    <s v="Dyson V8 Vacuum Cleaner"/>
    <n v="29919.29"/>
    <n v="1"/>
    <n v="4223.25"/>
    <x v="4"/>
    <x v="3"/>
  </r>
  <r>
    <d v="2026-05-28T00:00:00"/>
    <x v="7"/>
    <x v="3"/>
    <x v="0"/>
    <x v="1"/>
    <x v="1"/>
    <s v="ASUS Vivobook 15"/>
    <n v="54141.03"/>
    <n v="1"/>
    <n v="5570.04"/>
    <x v="4"/>
    <x v="3"/>
  </r>
  <r>
    <d v="2026-05-28T00:00:00"/>
    <x v="15"/>
    <x v="3"/>
    <x v="0"/>
    <x v="3"/>
    <x v="10"/>
    <s v="Daikin 1.5 Ton Inverter AC"/>
    <n v="45422.81"/>
    <n v="1"/>
    <n v="9887.9699999999993"/>
    <x v="4"/>
    <x v="3"/>
  </r>
  <r>
    <d v="2026-05-29T00:00:00"/>
    <x v="18"/>
    <x v="6"/>
    <x v="0"/>
    <x v="2"/>
    <x v="3"/>
    <s v="Sony Wireless Headphones"/>
    <n v="9564.6299999999992"/>
    <n v="1"/>
    <n v="720.75"/>
    <x v="4"/>
    <x v="3"/>
  </r>
  <r>
    <d v="2026-05-29T00:00:00"/>
    <x v="11"/>
    <x v="1"/>
    <x v="0"/>
    <x v="1"/>
    <x v="1"/>
    <s v="HP Pavilion 15 Laptop"/>
    <n v="252023.58"/>
    <n v="4"/>
    <n v="28763.27"/>
    <x v="4"/>
    <x v="3"/>
  </r>
  <r>
    <d v="2026-05-30T00:00:00"/>
    <x v="6"/>
    <x v="10"/>
    <x v="0"/>
    <x v="2"/>
    <x v="8"/>
    <s v="Sony 55 inch Bravia 4K TV"/>
    <n v="77560.12"/>
    <n v="1"/>
    <n v="8108.16"/>
    <x v="4"/>
    <x v="3"/>
  </r>
  <r>
    <d v="2026-05-30T00:00:00"/>
    <x v="24"/>
    <x v="9"/>
    <x v="0"/>
    <x v="4"/>
    <x v="11"/>
    <s v="Braun Electric Shaver"/>
    <n v="10851.57"/>
    <n v="2"/>
    <n v="988.44"/>
    <x v="4"/>
    <x v="3"/>
  </r>
  <r>
    <d v="2026-05-30T00:00:00"/>
    <x v="21"/>
    <x v="13"/>
    <x v="0"/>
    <x v="2"/>
    <x v="3"/>
    <s v="Sony Wireless Headphones"/>
    <n v="25010.59"/>
    <n v="3"/>
    <n v="2280.2399999999998"/>
    <x v="4"/>
    <x v="3"/>
  </r>
  <r>
    <d v="2026-05-31T00:00:00"/>
    <x v="12"/>
    <x v="5"/>
    <x v="0"/>
    <x v="3"/>
    <x v="7"/>
    <s v="Philips Air Fryer"/>
    <n v="8644.9599999999991"/>
    <n v="1"/>
    <n v="1552.08"/>
    <x v="4"/>
    <x v="3"/>
  </r>
  <r>
    <d v="2026-05-31T00:00:00"/>
    <x v="10"/>
    <x v="8"/>
    <x v="0"/>
    <x v="1"/>
    <x v="1"/>
    <s v="Dell Inspiron 15 Laptop"/>
    <n v="98059.03"/>
    <n v="2"/>
    <n v="13831.76"/>
    <x v="4"/>
    <x v="3"/>
  </r>
  <r>
    <d v="2026-05-31T00:00:00"/>
    <x v="5"/>
    <x v="12"/>
    <x v="0"/>
    <x v="2"/>
    <x v="3"/>
    <s v="Sony Bluetooth Soundbar"/>
    <n v="22781.66"/>
    <n v="1"/>
    <n v="3969.57"/>
    <x v="4"/>
    <x v="3"/>
  </r>
  <r>
    <d v="2026-06-01T00:00:00"/>
    <x v="9"/>
    <x v="3"/>
    <x v="0"/>
    <x v="4"/>
    <x v="6"/>
    <s v="Eureka Forbes Vacuum Cleaner"/>
    <n v="10144.09"/>
    <n v="1"/>
    <n v="1260"/>
    <x v="5"/>
    <x v="3"/>
  </r>
  <r>
    <d v="2026-06-01T00:00:00"/>
    <x v="21"/>
    <x v="8"/>
    <x v="0"/>
    <x v="0"/>
    <x v="2"/>
    <s v="OnePlus 12"/>
    <n v="61933.68"/>
    <n v="1"/>
    <n v="11756.76"/>
    <x v="5"/>
    <x v="3"/>
  </r>
  <r>
    <d v="2026-06-02T00:00:00"/>
    <x v="14"/>
    <x v="6"/>
    <x v="0"/>
    <x v="4"/>
    <x v="6"/>
    <s v="Dyson V8 Vacuum Cleaner"/>
    <n v="133407.09"/>
    <n v="4"/>
    <n v="19055.25"/>
    <x v="5"/>
    <x v="3"/>
  </r>
  <r>
    <d v="2026-06-02T00:00:00"/>
    <x v="8"/>
    <x v="5"/>
    <x v="0"/>
    <x v="4"/>
    <x v="11"/>
    <s v="Philips Trimmer"/>
    <n v="4988.57"/>
    <n v="2"/>
    <n v="370.57"/>
    <x v="5"/>
    <x v="3"/>
  </r>
  <r>
    <d v="2026-06-02T00:00:00"/>
    <x v="11"/>
    <x v="5"/>
    <x v="0"/>
    <x v="1"/>
    <x v="1"/>
    <s v="Apple MacBook Air M2"/>
    <n v="83152.490000000005"/>
    <n v="1"/>
    <n v="14786.1"/>
    <x v="5"/>
    <x v="3"/>
  </r>
  <r>
    <d v="2026-06-02T00:00:00"/>
    <x v="14"/>
    <x v="1"/>
    <x v="0"/>
    <x v="1"/>
    <x v="5"/>
    <s v="Dell 27 inch Monitor"/>
    <n v="17523.900000000001"/>
    <n v="1"/>
    <n v="3192.99"/>
    <x v="5"/>
    <x v="3"/>
  </r>
  <r>
    <d v="2026-06-02T00:00:00"/>
    <x v="26"/>
    <x v="6"/>
    <x v="0"/>
    <x v="3"/>
    <x v="7"/>
    <s v="Prestige Induction Cooktop"/>
    <n v="5044.78"/>
    <n v="2"/>
    <n v="456.16"/>
    <x v="5"/>
    <x v="3"/>
  </r>
  <r>
    <d v="2026-06-03T00:00:00"/>
    <x v="8"/>
    <x v="8"/>
    <x v="0"/>
    <x v="2"/>
    <x v="3"/>
    <s v="Sony Wireless Headphones"/>
    <n v="8496.66"/>
    <n v="1"/>
    <n v="1810.44"/>
    <x v="5"/>
    <x v="3"/>
  </r>
  <r>
    <d v="2026-06-05T00:00:00"/>
    <x v="2"/>
    <x v="0"/>
    <x v="0"/>
    <x v="3"/>
    <x v="9"/>
    <s v="Whirlpool 265L Frost Free Refrigerator"/>
    <n v="24955.200000000001"/>
    <n v="1"/>
    <n v="2030.64"/>
    <x v="5"/>
    <x v="3"/>
  </r>
  <r>
    <d v="2026-06-05T00:00:00"/>
    <x v="22"/>
    <x v="1"/>
    <x v="0"/>
    <x v="1"/>
    <x v="5"/>
    <s v="Logitech Wireless Keyboard"/>
    <n v="2257.64"/>
    <n v="1"/>
    <n v="343.57"/>
    <x v="5"/>
    <x v="3"/>
  </r>
  <r>
    <d v="2026-06-07T00:00:00"/>
    <x v="10"/>
    <x v="10"/>
    <x v="0"/>
    <x v="3"/>
    <x v="4"/>
    <s v="LG 7kg Fully Automatic Washing Machine"/>
    <n v="140034.07999999999"/>
    <n v="5"/>
    <n v="22055.96"/>
    <x v="5"/>
    <x v="3"/>
  </r>
  <r>
    <d v="2026-06-07T00:00:00"/>
    <x v="12"/>
    <x v="1"/>
    <x v="0"/>
    <x v="0"/>
    <x v="0"/>
    <s v="JBL Bluetooth Earbuds"/>
    <n v="2798.44"/>
    <n v="1"/>
    <n v="487.97"/>
    <x v="5"/>
    <x v="3"/>
  </r>
  <r>
    <d v="2026-06-08T00:00:00"/>
    <x v="18"/>
    <x v="8"/>
    <x v="0"/>
    <x v="0"/>
    <x v="2"/>
    <s v="OnePlus 12"/>
    <n v="54771.31"/>
    <n v="1"/>
    <n v="5718.52"/>
    <x v="5"/>
    <x v="3"/>
  </r>
  <r>
    <d v="2026-06-08T00:00:00"/>
    <x v="16"/>
    <x v="12"/>
    <x v="0"/>
    <x v="4"/>
    <x v="11"/>
    <s v="Braun Electric Shaver"/>
    <n v="11847.88"/>
    <n v="2"/>
    <n v="2400.21"/>
    <x v="5"/>
    <x v="3"/>
  </r>
  <r>
    <d v="2026-06-08T00:00:00"/>
    <x v="21"/>
    <x v="13"/>
    <x v="0"/>
    <x v="3"/>
    <x v="4"/>
    <s v="IFB 7kg Front Load Washing Machine"/>
    <n v="28135.27"/>
    <n v="1"/>
    <n v="2461.6799999999998"/>
    <x v="5"/>
    <x v="3"/>
  </r>
  <r>
    <d v="2026-06-09T00:00:00"/>
    <x v="3"/>
    <x v="1"/>
    <x v="0"/>
    <x v="0"/>
    <x v="0"/>
    <s v="Samsung 25W Charger"/>
    <n v="4354.8"/>
    <n v="3"/>
    <n v="631.78"/>
    <x v="5"/>
    <x v="3"/>
  </r>
  <r>
    <d v="2026-06-09T00:00:00"/>
    <x v="1"/>
    <x v="4"/>
    <x v="0"/>
    <x v="1"/>
    <x v="1"/>
    <s v="Lenovo IdeaPad Slim 5"/>
    <n v="64890.93"/>
    <n v="1"/>
    <n v="10322.24"/>
    <x v="5"/>
    <x v="3"/>
  </r>
  <r>
    <d v="2026-06-10T00:00:00"/>
    <x v="24"/>
    <x v="3"/>
    <x v="0"/>
    <x v="2"/>
    <x v="8"/>
    <s v="OnePlus 43 inch 4K Smart TV"/>
    <n v="84477.63"/>
    <n v="3"/>
    <n v="12508.38"/>
    <x v="5"/>
    <x v="3"/>
  </r>
  <r>
    <d v="2026-06-10T00:00:00"/>
    <x v="15"/>
    <x v="14"/>
    <x v="0"/>
    <x v="1"/>
    <x v="1"/>
    <s v="Apple MacBook Air M2"/>
    <n v="85329.42"/>
    <n v="1"/>
    <n v="9442.49"/>
    <x v="5"/>
    <x v="3"/>
  </r>
  <r>
    <d v="2026-06-11T00:00:00"/>
    <x v="16"/>
    <x v="2"/>
    <x v="0"/>
    <x v="3"/>
    <x v="7"/>
    <s v="Prestige Induction Cooktop"/>
    <n v="5502.29"/>
    <n v="2"/>
    <n v="611.75"/>
    <x v="5"/>
    <x v="3"/>
  </r>
  <r>
    <d v="2026-06-11T00:00:00"/>
    <x v="28"/>
    <x v="13"/>
    <x v="0"/>
    <x v="2"/>
    <x v="3"/>
    <s v="Sony Bluetooth Soundbar"/>
    <n v="69081.850000000006"/>
    <n v="3"/>
    <n v="8537.24"/>
    <x v="5"/>
    <x v="3"/>
  </r>
  <r>
    <d v="2026-06-12T00:00:00"/>
    <x v="16"/>
    <x v="9"/>
    <x v="0"/>
    <x v="0"/>
    <x v="0"/>
    <s v="Portronics Power Bank 20000mAh"/>
    <n v="4164.75"/>
    <n v="2"/>
    <n v="829.22"/>
    <x v="5"/>
    <x v="3"/>
  </r>
  <r>
    <d v="2026-06-12T00:00:00"/>
    <x v="11"/>
    <x v="6"/>
    <x v="0"/>
    <x v="0"/>
    <x v="0"/>
    <s v="Apple 20W USB-C Power Adapter"/>
    <n v="5533.1"/>
    <n v="3"/>
    <n v="611.19000000000005"/>
    <x v="5"/>
    <x v="3"/>
  </r>
  <r>
    <d v="2026-06-12T00:00:00"/>
    <x v="19"/>
    <x v="8"/>
    <x v="0"/>
    <x v="2"/>
    <x v="3"/>
    <s v="Sony Wireless Headphones"/>
    <n v="8548.7999999999993"/>
    <n v="1"/>
    <n v="1492"/>
    <x v="5"/>
    <x v="3"/>
  </r>
  <r>
    <d v="2026-06-12T00:00:00"/>
    <x v="1"/>
    <x v="1"/>
    <x v="0"/>
    <x v="1"/>
    <x v="1"/>
    <s v="Apple MacBook Air M2"/>
    <n v="384839.67"/>
    <n v="4"/>
    <n v="65944.070000000007"/>
    <x v="5"/>
    <x v="3"/>
  </r>
  <r>
    <d v="2026-06-13T00:00:00"/>
    <x v="14"/>
    <x v="1"/>
    <x v="0"/>
    <x v="3"/>
    <x v="10"/>
    <s v="LG 1.5 Ton 5 Star Split AC"/>
    <n v="41665.379999999997"/>
    <n v="1"/>
    <n v="-1155.03"/>
    <x v="5"/>
    <x v="3"/>
  </r>
  <r>
    <d v="2026-06-13T00:00:00"/>
    <x v="27"/>
    <x v="8"/>
    <x v="0"/>
    <x v="0"/>
    <x v="0"/>
    <s v="Portronics Power Bank 20000mAh"/>
    <n v="2467.6799999999998"/>
    <n v="1"/>
    <n v="503.16"/>
    <x v="5"/>
    <x v="3"/>
  </r>
  <r>
    <d v="2026-06-13T00:00:00"/>
    <x v="12"/>
    <x v="4"/>
    <x v="0"/>
    <x v="1"/>
    <x v="5"/>
    <s v="Logitech Wireless Mouse"/>
    <n v="1468.07"/>
    <n v="1"/>
    <n v="137.83000000000001"/>
    <x v="5"/>
    <x v="3"/>
  </r>
  <r>
    <d v="2026-06-13T00:00:00"/>
    <x v="12"/>
    <x v="5"/>
    <x v="0"/>
    <x v="1"/>
    <x v="1"/>
    <s v="Dell Inspiron 15 Laptop"/>
    <n v="117728.52"/>
    <n v="2"/>
    <n v="24912.41"/>
    <x v="5"/>
    <x v="3"/>
  </r>
  <r>
    <d v="2026-06-14T00:00:00"/>
    <x v="6"/>
    <x v="8"/>
    <x v="0"/>
    <x v="4"/>
    <x v="11"/>
    <s v="Philips Trimmer"/>
    <n v="2335.19"/>
    <n v="1"/>
    <n v="353.58"/>
    <x v="5"/>
    <x v="3"/>
  </r>
  <r>
    <d v="2026-06-14T00:00:00"/>
    <x v="9"/>
    <x v="4"/>
    <x v="0"/>
    <x v="4"/>
    <x v="11"/>
    <s v="Braun Electric Shaver"/>
    <n v="5198.71"/>
    <n v="1"/>
    <n v="1033.8"/>
    <x v="5"/>
    <x v="3"/>
  </r>
  <r>
    <d v="2026-06-14T00:00:00"/>
    <x v="6"/>
    <x v="11"/>
    <x v="0"/>
    <x v="0"/>
    <x v="0"/>
    <s v="boAt Wireless Earphones"/>
    <n v="1546.28"/>
    <n v="1"/>
    <n v="180.32"/>
    <x v="5"/>
    <x v="3"/>
  </r>
  <r>
    <d v="2026-06-15T00:00:00"/>
    <x v="10"/>
    <x v="6"/>
    <x v="0"/>
    <x v="1"/>
    <x v="5"/>
    <s v="HP 24 inch Monitor"/>
    <n v="10961.46"/>
    <n v="1"/>
    <n v="1523.98"/>
    <x v="5"/>
    <x v="3"/>
  </r>
  <r>
    <d v="2026-06-15T00:00:00"/>
    <x v="24"/>
    <x v="6"/>
    <x v="0"/>
    <x v="3"/>
    <x v="10"/>
    <s v="LG 1.5 Ton 5 Star Split AC"/>
    <n v="42346.18"/>
    <n v="1"/>
    <n v="8973.24"/>
    <x v="5"/>
    <x v="3"/>
  </r>
  <r>
    <d v="2026-06-15T00:00:00"/>
    <x v="2"/>
    <x v="4"/>
    <x v="0"/>
    <x v="2"/>
    <x v="8"/>
    <s v="Samsung 55 inch 4K Smart TV"/>
    <n v="58000.71"/>
    <n v="1"/>
    <n v="4769.63"/>
    <x v="5"/>
    <x v="3"/>
  </r>
  <r>
    <d v="2026-06-16T00:00:00"/>
    <x v="8"/>
    <x v="2"/>
    <x v="0"/>
    <x v="2"/>
    <x v="8"/>
    <s v="LG 55 inch OLED Smart TV"/>
    <n v="83348.02"/>
    <n v="1"/>
    <n v="9214.5"/>
    <x v="5"/>
    <x v="3"/>
  </r>
  <r>
    <d v="2026-06-17T00:00:00"/>
    <x v="2"/>
    <x v="11"/>
    <x v="0"/>
    <x v="3"/>
    <x v="4"/>
    <s v="Samsung 8kg Front Load Washing Machine"/>
    <n v="37274.97"/>
    <n v="1"/>
    <n v="6951.41"/>
    <x v="5"/>
    <x v="3"/>
  </r>
  <r>
    <d v="2026-06-17T00:00:00"/>
    <x v="21"/>
    <x v="7"/>
    <x v="0"/>
    <x v="2"/>
    <x v="8"/>
    <s v="OnePlus 43 inch 4K Smart TV"/>
    <n v="26066.26"/>
    <n v="1"/>
    <n v="1965.8"/>
    <x v="5"/>
    <x v="3"/>
  </r>
  <r>
    <d v="2026-06-18T00:00:00"/>
    <x v="11"/>
    <x v="8"/>
    <x v="0"/>
    <x v="3"/>
    <x v="9"/>
    <s v="Whirlpool 265L Frost Free Refrigerator"/>
    <n v="25572.26"/>
    <n v="1"/>
    <n v="5143.2700000000004"/>
    <x v="5"/>
    <x v="3"/>
  </r>
  <r>
    <d v="2026-06-18T00:00:00"/>
    <x v="12"/>
    <x v="12"/>
    <x v="0"/>
    <x v="0"/>
    <x v="0"/>
    <s v="Apple 20W USB-C Power Adapter"/>
    <n v="1911.58"/>
    <n v="1"/>
    <n v="198.49"/>
    <x v="5"/>
    <x v="3"/>
  </r>
  <r>
    <d v="2026-06-18T00:00:00"/>
    <x v="27"/>
    <x v="12"/>
    <x v="0"/>
    <x v="3"/>
    <x v="7"/>
    <s v="Philips Air Fryer"/>
    <n v="32150.43"/>
    <n v="4"/>
    <n v="4581.8599999999997"/>
    <x v="5"/>
    <x v="3"/>
  </r>
  <r>
    <d v="2026-06-19T00:00:00"/>
    <x v="8"/>
    <x v="6"/>
    <x v="0"/>
    <x v="3"/>
    <x v="10"/>
    <s v="LG 1.5 Ton 5 Star Split AC"/>
    <n v="37064.400000000001"/>
    <n v="1"/>
    <n v="6753.01"/>
    <x v="5"/>
    <x v="3"/>
  </r>
  <r>
    <d v="2026-06-20T00:00:00"/>
    <x v="1"/>
    <x v="4"/>
    <x v="0"/>
    <x v="0"/>
    <x v="0"/>
    <s v="Apple 20W USB-C Power Adapter"/>
    <n v="1921.21"/>
    <n v="1"/>
    <n v="178.93"/>
    <x v="5"/>
    <x v="3"/>
  </r>
  <r>
    <d v="2026-06-20T00:00:00"/>
    <x v="7"/>
    <x v="9"/>
    <x v="0"/>
    <x v="3"/>
    <x v="4"/>
    <s v="IFB 7kg Front Load Washing Machine"/>
    <n v="59289.13"/>
    <n v="2"/>
    <n v="10918.89"/>
    <x v="5"/>
    <x v="3"/>
  </r>
  <r>
    <d v="2026-06-21T00:00:00"/>
    <x v="5"/>
    <x v="2"/>
    <x v="0"/>
    <x v="2"/>
    <x v="3"/>
    <s v="Sony Wireless Headphones"/>
    <n v="9722.9"/>
    <n v="1"/>
    <n v="1857.43"/>
    <x v="5"/>
    <x v="3"/>
  </r>
  <r>
    <d v="2026-06-21T00:00:00"/>
    <x v="9"/>
    <x v="4"/>
    <x v="0"/>
    <x v="2"/>
    <x v="8"/>
    <s v="Sony 55 inch Bravia 4K TV"/>
    <n v="83539.45"/>
    <n v="1"/>
    <n v="17482.939999999999"/>
    <x v="5"/>
    <x v="3"/>
  </r>
  <r>
    <d v="2026-06-22T00:00:00"/>
    <x v="12"/>
    <x v="13"/>
    <x v="0"/>
    <x v="4"/>
    <x v="6"/>
    <s v="Philips Air Purifier"/>
    <n v="12296.61"/>
    <n v="1"/>
    <n v="1871.82"/>
    <x v="5"/>
    <x v="3"/>
  </r>
  <r>
    <d v="2026-06-22T00:00:00"/>
    <x v="27"/>
    <x v="10"/>
    <x v="0"/>
    <x v="0"/>
    <x v="0"/>
    <s v="Portronics Power Bank 20000mAh"/>
    <n v="4616.16"/>
    <n v="2"/>
    <n v="771.98"/>
    <x v="5"/>
    <x v="3"/>
  </r>
  <r>
    <d v="2026-06-22T00:00:00"/>
    <x v="15"/>
    <x v="11"/>
    <x v="0"/>
    <x v="1"/>
    <x v="1"/>
    <s v="Apple MacBook Air M2"/>
    <n v="344077.78"/>
    <n v="4"/>
    <n v="38456.29"/>
    <x v="5"/>
    <x v="3"/>
  </r>
  <r>
    <d v="2026-06-23T00:00:00"/>
    <x v="8"/>
    <x v="6"/>
    <x v="0"/>
    <x v="3"/>
    <x v="4"/>
    <s v="Samsung 8kg Front Load Washing Machine"/>
    <n v="106492.19"/>
    <n v="3"/>
    <n v="23414.799999999999"/>
    <x v="5"/>
    <x v="3"/>
  </r>
  <r>
    <d v="2026-06-23T00:00:00"/>
    <x v="27"/>
    <x v="10"/>
    <x v="0"/>
    <x v="0"/>
    <x v="0"/>
    <s v="JBL Bluetooth Earbuds"/>
    <n v="5859.01"/>
    <n v="2"/>
    <n v="-335.45"/>
    <x v="5"/>
    <x v="3"/>
  </r>
  <r>
    <d v="2026-06-23T00:00:00"/>
    <x v="16"/>
    <x v="9"/>
    <x v="0"/>
    <x v="1"/>
    <x v="1"/>
    <s v="ASUS Vivobook 15"/>
    <n v="48484.29"/>
    <n v="1"/>
    <n v="5356.65"/>
    <x v="5"/>
    <x v="3"/>
  </r>
  <r>
    <d v="2026-06-24T00:00:00"/>
    <x v="2"/>
    <x v="8"/>
    <x v="0"/>
    <x v="1"/>
    <x v="1"/>
    <s v="ASUS Vivobook 15"/>
    <n v="197328.03"/>
    <n v="4"/>
    <n v="37638.5"/>
    <x v="5"/>
    <x v="3"/>
  </r>
  <r>
    <d v="2026-06-24T00:00:00"/>
    <x v="22"/>
    <x v="13"/>
    <x v="0"/>
    <x v="0"/>
    <x v="2"/>
    <s v="Apple iPhone 15"/>
    <n v="348266.52"/>
    <n v="5"/>
    <n v="69092.960000000006"/>
    <x v="5"/>
    <x v="3"/>
  </r>
  <r>
    <d v="2026-06-25T00:00:00"/>
    <x v="13"/>
    <x v="13"/>
    <x v="0"/>
    <x v="1"/>
    <x v="5"/>
    <s v="Dell 27 inch Monitor"/>
    <n v="48810.1"/>
    <n v="3"/>
    <n v="5037.59"/>
    <x v="5"/>
    <x v="3"/>
  </r>
  <r>
    <d v="2026-06-26T00:00:00"/>
    <x v="5"/>
    <x v="3"/>
    <x v="0"/>
    <x v="2"/>
    <x v="8"/>
    <s v="TCL 50 inch 4K Smart TV"/>
    <n v="35654.160000000003"/>
    <n v="1"/>
    <n v="-2087.54"/>
    <x v="5"/>
    <x v="3"/>
  </r>
  <r>
    <d v="2026-06-26T00:00:00"/>
    <x v="27"/>
    <x v="11"/>
    <x v="0"/>
    <x v="1"/>
    <x v="5"/>
    <s v="Logitech Wireless Mouse"/>
    <n v="2860.93"/>
    <n v="2"/>
    <n v="472.33"/>
    <x v="5"/>
    <x v="3"/>
  </r>
  <r>
    <d v="2026-06-27T00:00:00"/>
    <x v="15"/>
    <x v="10"/>
    <x v="0"/>
    <x v="3"/>
    <x v="4"/>
    <s v="LG 7kg Fully Automatic Washing Machine"/>
    <n v="57589.18"/>
    <n v="2"/>
    <n v="9397.34"/>
    <x v="5"/>
    <x v="3"/>
  </r>
  <r>
    <d v="2026-06-27T00:00:00"/>
    <x v="21"/>
    <x v="8"/>
    <x v="0"/>
    <x v="1"/>
    <x v="5"/>
    <s v="Dell 27 inch Monitor"/>
    <n v="18325.189999999999"/>
    <n v="1"/>
    <n v="3724.91"/>
    <x v="5"/>
    <x v="3"/>
  </r>
  <r>
    <d v="2026-06-27T00:00:00"/>
    <x v="28"/>
    <x v="11"/>
    <x v="0"/>
    <x v="4"/>
    <x v="11"/>
    <s v="Philips Hair Dryer"/>
    <n v="1927.19"/>
    <n v="1"/>
    <n v="144.04"/>
    <x v="5"/>
    <x v="3"/>
  </r>
  <r>
    <d v="2026-06-27T00:00:00"/>
    <x v="7"/>
    <x v="0"/>
    <x v="0"/>
    <x v="1"/>
    <x v="1"/>
    <s v="HP Pavilion 15 Laptop"/>
    <n v="61442.34"/>
    <n v="1"/>
    <n v="5049.43"/>
    <x v="5"/>
    <x v="3"/>
  </r>
  <r>
    <d v="2026-06-28T00:00:00"/>
    <x v="12"/>
    <x v="6"/>
    <x v="0"/>
    <x v="3"/>
    <x v="7"/>
    <s v="Bajaj Mixer Grinder"/>
    <n v="4756.92"/>
    <n v="1"/>
    <n v="356.61"/>
    <x v="5"/>
    <x v="3"/>
  </r>
  <r>
    <d v="2026-06-28T00:00:00"/>
    <x v="15"/>
    <x v="4"/>
    <x v="0"/>
    <x v="0"/>
    <x v="0"/>
    <s v="boAt Wireless Earphones"/>
    <n v="1547.52"/>
    <n v="1"/>
    <n v="-56.92"/>
    <x v="5"/>
    <x v="3"/>
  </r>
  <r>
    <d v="2026-06-29T00:00:00"/>
    <x v="11"/>
    <x v="0"/>
    <x v="0"/>
    <x v="4"/>
    <x v="11"/>
    <s v="Philips Hair Dryer"/>
    <n v="3600.48"/>
    <n v="2"/>
    <n v="317.93"/>
    <x v="5"/>
    <x v="3"/>
  </r>
  <r>
    <d v="2026-06-30T00:00:00"/>
    <x v="1"/>
    <x v="5"/>
    <x v="0"/>
    <x v="1"/>
    <x v="1"/>
    <s v="Lenovo IdeaPad Slim 5"/>
    <n v="62822.82"/>
    <n v="1"/>
    <n v="8155.41"/>
    <x v="5"/>
    <x v="3"/>
  </r>
  <r>
    <d v="2026-06-30T00:00:00"/>
    <x v="1"/>
    <x v="7"/>
    <x v="0"/>
    <x v="1"/>
    <x v="5"/>
    <s v="Logitech Wireless Keyboard"/>
    <n v="2412.94"/>
    <n v="1"/>
    <n v="464.41"/>
    <x v="5"/>
    <x v="3"/>
  </r>
  <r>
    <d v="2026-06-30T00:00:00"/>
    <x v="12"/>
    <x v="0"/>
    <x v="0"/>
    <x v="1"/>
    <x v="1"/>
    <s v="Lenovo IdeaPad Slim 5"/>
    <n v="115033.37"/>
    <n v="2"/>
    <n v="20815.59"/>
    <x v="5"/>
    <x v="3"/>
  </r>
  <r>
    <d v="2026-06-30T00:00:00"/>
    <x v="3"/>
    <x v="1"/>
    <x v="0"/>
    <x v="2"/>
    <x v="8"/>
    <s v="Sony 55 inch Bravia 4K TV"/>
    <n v="213023.16"/>
    <n v="3"/>
    <n v="45241.120000000003"/>
    <x v="5"/>
    <x v="3"/>
  </r>
  <r>
    <d v="2026-06-30T00:00:00"/>
    <x v="9"/>
    <x v="4"/>
    <x v="0"/>
    <x v="2"/>
    <x v="8"/>
    <s v="LG 55 inch OLED Smart TV"/>
    <n v="83454.89"/>
    <n v="1"/>
    <n v="15451.62"/>
    <x v="5"/>
    <x v="3"/>
  </r>
  <r>
    <d v="2026-06-30T00:00:00"/>
    <x v="12"/>
    <x v="14"/>
    <x v="0"/>
    <x v="1"/>
    <x v="1"/>
    <s v="HP Pavilion 15 Laptop"/>
    <n v="168629"/>
    <n v="3"/>
    <n v="30798.16"/>
    <x v="5"/>
    <x v="3"/>
  </r>
  <r>
    <d v="2026-06-30T00:00:00"/>
    <x v="19"/>
    <x v="4"/>
    <x v="0"/>
    <x v="1"/>
    <x v="1"/>
    <s v="HP Pavilion 15 Laptop"/>
    <n v="63013.15"/>
    <n v="1"/>
    <n v="-2631.79"/>
    <x v="5"/>
    <x v="3"/>
  </r>
  <r>
    <d v="2026-07-01T00:00:00"/>
    <x v="18"/>
    <x v="7"/>
    <x v="0"/>
    <x v="0"/>
    <x v="2"/>
    <s v="Google Pixel 8"/>
    <n v="54980.38"/>
    <n v="1"/>
    <n v="9154.34"/>
    <x v="6"/>
    <x v="3"/>
  </r>
  <r>
    <d v="2026-07-02T00:00:00"/>
    <x v="13"/>
    <x v="3"/>
    <x v="0"/>
    <x v="0"/>
    <x v="2"/>
    <s v="Nothing Phone 2"/>
    <n v="80721.61"/>
    <n v="2"/>
    <n v="17220.45"/>
    <x v="6"/>
    <x v="3"/>
  </r>
  <r>
    <d v="2026-07-02T00:00:00"/>
    <x v="14"/>
    <x v="9"/>
    <x v="0"/>
    <x v="0"/>
    <x v="0"/>
    <s v="Portronics Power Bank 20000mAh"/>
    <n v="4549.37"/>
    <n v="2"/>
    <n v="333.64"/>
    <x v="6"/>
    <x v="3"/>
  </r>
  <r>
    <d v="2026-07-03T00:00:00"/>
    <x v="6"/>
    <x v="12"/>
    <x v="0"/>
    <x v="3"/>
    <x v="4"/>
    <s v="Samsung 8kg Front Load Washing Machine"/>
    <n v="101622.61"/>
    <n v="3"/>
    <n v="8973.48"/>
    <x v="6"/>
    <x v="3"/>
  </r>
  <r>
    <d v="2026-07-03T00:00:00"/>
    <x v="27"/>
    <x v="1"/>
    <x v="0"/>
    <x v="1"/>
    <x v="1"/>
    <s v="ASUS Vivobook 15"/>
    <n v="136495.5"/>
    <n v="3"/>
    <n v="17203.73"/>
    <x v="6"/>
    <x v="3"/>
  </r>
  <r>
    <d v="2026-07-04T00:00:00"/>
    <x v="2"/>
    <x v="13"/>
    <x v="0"/>
    <x v="0"/>
    <x v="2"/>
    <s v="OnePlus 12"/>
    <n v="167694.79"/>
    <n v="3"/>
    <n v="20193.939999999999"/>
    <x v="6"/>
    <x v="3"/>
  </r>
  <r>
    <d v="2026-07-04T00:00:00"/>
    <x v="11"/>
    <x v="9"/>
    <x v="0"/>
    <x v="2"/>
    <x v="8"/>
    <s v="OnePlus 43 inch 4K Smart TV"/>
    <n v="78786.27"/>
    <n v="3"/>
    <n v="7934.84"/>
    <x v="6"/>
    <x v="3"/>
  </r>
  <r>
    <d v="2026-07-05T00:00:00"/>
    <x v="9"/>
    <x v="2"/>
    <x v="0"/>
    <x v="1"/>
    <x v="5"/>
    <s v="Logitech Wireless Keyboard"/>
    <n v="8358.19"/>
    <n v="4"/>
    <n v="1545.55"/>
    <x v="6"/>
    <x v="3"/>
  </r>
  <r>
    <d v="2026-07-05T00:00:00"/>
    <x v="13"/>
    <x v="3"/>
    <x v="0"/>
    <x v="4"/>
    <x v="11"/>
    <s v="Braun Electric Shaver"/>
    <n v="26200.49"/>
    <n v="5"/>
    <n v="3664.72"/>
    <x v="6"/>
    <x v="3"/>
  </r>
  <r>
    <d v="2026-07-06T00:00:00"/>
    <x v="18"/>
    <x v="9"/>
    <x v="0"/>
    <x v="4"/>
    <x v="11"/>
    <s v="Philips Trimmer"/>
    <n v="6766.04"/>
    <n v="3"/>
    <n v="705.32"/>
    <x v="6"/>
    <x v="3"/>
  </r>
  <r>
    <d v="2026-07-06T00:00:00"/>
    <x v="26"/>
    <x v="4"/>
    <x v="0"/>
    <x v="3"/>
    <x v="4"/>
    <s v="Samsung 8kg Front Load Washing Machine"/>
    <n v="39753.56"/>
    <n v="1"/>
    <n v="5832"/>
    <x v="6"/>
    <x v="3"/>
  </r>
  <r>
    <d v="2026-07-07T00:00:00"/>
    <x v="1"/>
    <x v="6"/>
    <x v="0"/>
    <x v="0"/>
    <x v="0"/>
    <s v="Samsung 25W Charger"/>
    <n v="3914.78"/>
    <n v="3"/>
    <n v="841.36"/>
    <x v="6"/>
    <x v="3"/>
  </r>
  <r>
    <d v="2026-07-08T00:00:00"/>
    <x v="24"/>
    <x v="4"/>
    <x v="0"/>
    <x v="2"/>
    <x v="8"/>
    <s v="Sony 55 inch Bravia 4K TV"/>
    <n v="80621.16"/>
    <n v="1"/>
    <n v="7264.02"/>
    <x v="6"/>
    <x v="3"/>
  </r>
  <r>
    <d v="2026-07-08T00:00:00"/>
    <x v="3"/>
    <x v="6"/>
    <x v="0"/>
    <x v="4"/>
    <x v="6"/>
    <s v="Philips Air Purifier"/>
    <n v="13872.88"/>
    <n v="1"/>
    <n v="3018.79"/>
    <x v="6"/>
    <x v="3"/>
  </r>
  <r>
    <d v="2026-07-08T00:00:00"/>
    <x v="17"/>
    <x v="7"/>
    <x v="0"/>
    <x v="4"/>
    <x v="6"/>
    <s v="Philips Air Purifier"/>
    <n v="44514.81"/>
    <n v="3"/>
    <n v="5613.89"/>
    <x v="6"/>
    <x v="3"/>
  </r>
  <r>
    <d v="2026-07-09T00:00:00"/>
    <x v="15"/>
    <x v="14"/>
    <x v="0"/>
    <x v="4"/>
    <x v="6"/>
    <s v="Eureka Forbes Vacuum Cleaner"/>
    <n v="10881.92"/>
    <n v="1"/>
    <n v="2316.77"/>
    <x v="6"/>
    <x v="3"/>
  </r>
  <r>
    <d v="2026-07-09T00:00:00"/>
    <x v="15"/>
    <x v="5"/>
    <x v="0"/>
    <x v="2"/>
    <x v="3"/>
    <s v="boAt Home Theatre System"/>
    <n v="12613.92"/>
    <n v="1"/>
    <n v="2105.14"/>
    <x v="6"/>
    <x v="3"/>
  </r>
  <r>
    <d v="2026-07-09T00:00:00"/>
    <x v="1"/>
    <x v="11"/>
    <x v="0"/>
    <x v="2"/>
    <x v="8"/>
    <s v="TCL 50 inch 4K Smart TV"/>
    <n v="38156.65"/>
    <n v="1"/>
    <n v="3159.6"/>
    <x v="6"/>
    <x v="3"/>
  </r>
  <r>
    <d v="2026-07-10T00:00:00"/>
    <x v="19"/>
    <x v="4"/>
    <x v="0"/>
    <x v="0"/>
    <x v="0"/>
    <s v="Apple 20W USB-C Power Adapter"/>
    <n v="3787.78"/>
    <n v="2"/>
    <n v="525.04999999999995"/>
    <x v="6"/>
    <x v="3"/>
  </r>
  <r>
    <d v="2026-07-10T00:00:00"/>
    <x v="9"/>
    <x v="13"/>
    <x v="0"/>
    <x v="1"/>
    <x v="1"/>
    <s v="Apple MacBook Air M2"/>
    <n v="281412.71000000002"/>
    <n v="3"/>
    <n v="28182.61"/>
    <x v="6"/>
    <x v="3"/>
  </r>
  <r>
    <d v="2026-07-10T00:00:00"/>
    <x v="18"/>
    <x v="14"/>
    <x v="0"/>
    <x v="4"/>
    <x v="6"/>
    <s v="Dyson V8 Vacuum Cleaner"/>
    <n v="59420.78"/>
    <n v="2"/>
    <n v="9009.33"/>
    <x v="6"/>
    <x v="3"/>
  </r>
  <r>
    <d v="2026-07-11T00:00:00"/>
    <x v="10"/>
    <x v="11"/>
    <x v="0"/>
    <x v="4"/>
    <x v="6"/>
    <s v="Dyson V8 Vacuum Cleaner"/>
    <n v="30125.46"/>
    <n v="1"/>
    <n v="5617.53"/>
    <x v="6"/>
    <x v="3"/>
  </r>
  <r>
    <d v="2026-07-11T00:00:00"/>
    <x v="27"/>
    <x v="9"/>
    <x v="0"/>
    <x v="1"/>
    <x v="1"/>
    <s v="Apple MacBook Air M2"/>
    <n v="99853.85"/>
    <n v="1"/>
    <n v="8407.5400000000009"/>
    <x v="6"/>
    <x v="3"/>
  </r>
  <r>
    <d v="2026-07-11T00:00:00"/>
    <x v="24"/>
    <x v="7"/>
    <x v="0"/>
    <x v="1"/>
    <x v="1"/>
    <s v="Apple MacBook Air M2"/>
    <n v="88771.06"/>
    <n v="1"/>
    <n v="17566.48"/>
    <x v="6"/>
    <x v="3"/>
  </r>
  <r>
    <d v="2026-07-11T00:00:00"/>
    <x v="14"/>
    <x v="11"/>
    <x v="0"/>
    <x v="2"/>
    <x v="8"/>
    <s v="TCL 50 inch 4K Smart TV"/>
    <n v="76690.52"/>
    <n v="2"/>
    <n v="9880.51"/>
    <x v="6"/>
    <x v="3"/>
  </r>
  <r>
    <d v="2026-07-12T00:00:00"/>
    <x v="1"/>
    <x v="13"/>
    <x v="0"/>
    <x v="0"/>
    <x v="2"/>
    <s v="OnePlus 12"/>
    <n v="181039.94"/>
    <n v="3"/>
    <n v="17543.62"/>
    <x v="6"/>
    <x v="3"/>
  </r>
  <r>
    <d v="2026-07-12T00:00:00"/>
    <x v="18"/>
    <x v="14"/>
    <x v="0"/>
    <x v="2"/>
    <x v="3"/>
    <s v="Sony Bluetooth Soundbar"/>
    <n v="21432.9"/>
    <n v="1"/>
    <n v="4153.92"/>
    <x v="6"/>
    <x v="3"/>
  </r>
  <r>
    <d v="2026-07-13T00:00:00"/>
    <x v="2"/>
    <x v="12"/>
    <x v="0"/>
    <x v="0"/>
    <x v="0"/>
    <s v="JBL Bluetooth Earbuds"/>
    <n v="8133.57"/>
    <n v="3"/>
    <n v="970.87"/>
    <x v="6"/>
    <x v="3"/>
  </r>
  <r>
    <d v="2026-07-13T00:00:00"/>
    <x v="12"/>
    <x v="10"/>
    <x v="0"/>
    <x v="0"/>
    <x v="2"/>
    <s v="Google Pixel 8"/>
    <n v="111921.34"/>
    <n v="2"/>
    <n v="18393"/>
    <x v="6"/>
    <x v="3"/>
  </r>
  <r>
    <d v="2026-07-13T00:00:00"/>
    <x v="2"/>
    <x v="0"/>
    <x v="0"/>
    <x v="1"/>
    <x v="5"/>
    <s v="Logitech Wireless Keyboard"/>
    <n v="2095.63"/>
    <n v="1"/>
    <n v="453.34"/>
    <x v="6"/>
    <x v="3"/>
  </r>
  <r>
    <d v="2026-07-13T00:00:00"/>
    <x v="15"/>
    <x v="0"/>
    <x v="0"/>
    <x v="3"/>
    <x v="10"/>
    <s v="LG 1.5 Ton 5 Star Split AC"/>
    <n v="43500.21"/>
    <n v="1"/>
    <n v="4074.18"/>
    <x v="6"/>
    <x v="3"/>
  </r>
  <r>
    <d v="2026-07-13T00:00:00"/>
    <x v="21"/>
    <x v="11"/>
    <x v="0"/>
    <x v="0"/>
    <x v="0"/>
    <s v="Samsung 25W Charger"/>
    <n v="2795.46"/>
    <n v="2"/>
    <n v="504.97"/>
    <x v="6"/>
    <x v="3"/>
  </r>
  <r>
    <d v="2026-07-14T00:00:00"/>
    <x v="9"/>
    <x v="2"/>
    <x v="0"/>
    <x v="4"/>
    <x v="6"/>
    <s v="Philips Air Purifier"/>
    <n v="14743.09"/>
    <n v="1"/>
    <n v="2577.84"/>
    <x v="6"/>
    <x v="3"/>
  </r>
  <r>
    <d v="2026-07-14T00:00:00"/>
    <x v="7"/>
    <x v="12"/>
    <x v="0"/>
    <x v="3"/>
    <x v="7"/>
    <s v="Prestige Induction Cooktop"/>
    <n v="2616.87"/>
    <n v="1"/>
    <n v="343.29"/>
    <x v="6"/>
    <x v="3"/>
  </r>
  <r>
    <d v="2026-07-15T00:00:00"/>
    <x v="2"/>
    <x v="4"/>
    <x v="0"/>
    <x v="4"/>
    <x v="11"/>
    <s v="Braun Electric Shaver"/>
    <n v="15726.6"/>
    <n v="3"/>
    <n v="3246.21"/>
    <x v="6"/>
    <x v="3"/>
  </r>
  <r>
    <d v="2026-07-15T00:00:00"/>
    <x v="26"/>
    <x v="2"/>
    <x v="0"/>
    <x v="4"/>
    <x v="11"/>
    <s v="Braun Electric Shaver"/>
    <n v="5333.23"/>
    <n v="1"/>
    <n v="640.47"/>
    <x v="6"/>
    <x v="3"/>
  </r>
  <r>
    <d v="2026-07-15T00:00:00"/>
    <x v="18"/>
    <x v="10"/>
    <x v="0"/>
    <x v="1"/>
    <x v="5"/>
    <s v="Dell 27 inch Monitor"/>
    <n v="32647.5"/>
    <n v="2"/>
    <n v="3782.61"/>
    <x v="6"/>
    <x v="3"/>
  </r>
  <r>
    <d v="2026-07-16T00:00:00"/>
    <x v="3"/>
    <x v="14"/>
    <x v="0"/>
    <x v="4"/>
    <x v="11"/>
    <s v="Philips Trimmer"/>
    <n v="2400.56"/>
    <n v="1"/>
    <n v="-28.35"/>
    <x v="6"/>
    <x v="3"/>
  </r>
  <r>
    <d v="2026-07-16T00:00:00"/>
    <x v="6"/>
    <x v="10"/>
    <x v="0"/>
    <x v="2"/>
    <x v="8"/>
    <s v="Samsung 55 inch 4K Smart TV"/>
    <n v="67834.52"/>
    <n v="1"/>
    <n v="8668.7000000000007"/>
    <x v="6"/>
    <x v="3"/>
  </r>
  <r>
    <d v="2026-07-16T00:00:00"/>
    <x v="17"/>
    <x v="8"/>
    <x v="0"/>
    <x v="1"/>
    <x v="1"/>
    <s v="Lenovo IdeaPad Slim 5"/>
    <n v="124347.78"/>
    <n v="2"/>
    <n v="17874.599999999999"/>
    <x v="6"/>
    <x v="3"/>
  </r>
  <r>
    <d v="2026-07-17T00:00:00"/>
    <x v="7"/>
    <x v="10"/>
    <x v="0"/>
    <x v="1"/>
    <x v="1"/>
    <s v="HP Pavilion 15 Laptop"/>
    <n v="64501.14"/>
    <n v="1"/>
    <n v="13398.94"/>
    <x v="6"/>
    <x v="3"/>
  </r>
  <r>
    <d v="2026-07-17T00:00:00"/>
    <x v="15"/>
    <x v="5"/>
    <x v="0"/>
    <x v="3"/>
    <x v="9"/>
    <s v="LG 260L Double Door Refrigerator"/>
    <n v="27764.92"/>
    <n v="1"/>
    <n v="4984.3100000000004"/>
    <x v="6"/>
    <x v="3"/>
  </r>
  <r>
    <d v="2026-07-18T00:00:00"/>
    <x v="11"/>
    <x v="9"/>
    <x v="0"/>
    <x v="4"/>
    <x v="11"/>
    <s v="Braun Electric Shaver"/>
    <n v="10828.92"/>
    <n v="2"/>
    <n v="1659.37"/>
    <x v="6"/>
    <x v="3"/>
  </r>
  <r>
    <d v="2026-07-19T00:00:00"/>
    <x v="28"/>
    <x v="6"/>
    <x v="0"/>
    <x v="3"/>
    <x v="10"/>
    <s v="Daikin 1.5 Ton Inverter AC"/>
    <n v="95911.95"/>
    <n v="2"/>
    <n v="11389.57"/>
    <x v="6"/>
    <x v="3"/>
  </r>
  <r>
    <d v="2026-07-19T00:00:00"/>
    <x v="27"/>
    <x v="9"/>
    <x v="0"/>
    <x v="4"/>
    <x v="6"/>
    <s v="Philips Air Purifier"/>
    <n v="58101.99"/>
    <n v="4"/>
    <n v="10072.24"/>
    <x v="6"/>
    <x v="3"/>
  </r>
  <r>
    <d v="2026-07-19T00:00:00"/>
    <x v="21"/>
    <x v="4"/>
    <x v="0"/>
    <x v="1"/>
    <x v="1"/>
    <s v="HP Pavilion 15 Laptop"/>
    <n v="64118.64"/>
    <n v="1"/>
    <n v="5459.43"/>
    <x v="6"/>
    <x v="3"/>
  </r>
  <r>
    <d v="2026-07-19T00:00:00"/>
    <x v="17"/>
    <x v="8"/>
    <x v="0"/>
    <x v="3"/>
    <x v="7"/>
    <s v="Bajaj Mixer Grinder"/>
    <n v="9823.0400000000009"/>
    <n v="2"/>
    <n v="853.46"/>
    <x v="6"/>
    <x v="3"/>
  </r>
  <r>
    <d v="2026-07-20T00:00:00"/>
    <x v="19"/>
    <x v="0"/>
    <x v="0"/>
    <x v="3"/>
    <x v="4"/>
    <s v="Samsung 8kg Front Load Washing Machine"/>
    <n v="109623.03"/>
    <n v="3"/>
    <n v="8730.85"/>
    <x v="6"/>
    <x v="3"/>
  </r>
  <r>
    <d v="2026-07-20T00:00:00"/>
    <x v="11"/>
    <x v="0"/>
    <x v="0"/>
    <x v="2"/>
    <x v="3"/>
    <s v="boAt Home Theatre System"/>
    <n v="21956.51"/>
    <n v="2"/>
    <n v="3448.31"/>
    <x v="6"/>
    <x v="3"/>
  </r>
  <r>
    <d v="2026-07-20T00:00:00"/>
    <x v="5"/>
    <x v="2"/>
    <x v="0"/>
    <x v="2"/>
    <x v="3"/>
    <s v="JBL 5.1 Soundbar"/>
    <n v="59610.44"/>
    <n v="2"/>
    <n v="11712.16"/>
    <x v="6"/>
    <x v="3"/>
  </r>
  <r>
    <d v="2026-07-21T00:00:00"/>
    <x v="11"/>
    <x v="14"/>
    <x v="0"/>
    <x v="0"/>
    <x v="2"/>
    <s v="OnePlus 12"/>
    <n v="120219.76"/>
    <n v="2"/>
    <n v="25699.599999999999"/>
    <x v="6"/>
    <x v="3"/>
  </r>
  <r>
    <d v="2026-07-21T00:00:00"/>
    <x v="3"/>
    <x v="3"/>
    <x v="0"/>
    <x v="1"/>
    <x v="5"/>
    <s v="HP 24 inch Monitor"/>
    <n v="11851.94"/>
    <n v="1"/>
    <n v="2534.9899999999998"/>
    <x v="6"/>
    <x v="3"/>
  </r>
  <r>
    <d v="2026-07-22T00:00:00"/>
    <x v="15"/>
    <x v="6"/>
    <x v="0"/>
    <x v="3"/>
    <x v="9"/>
    <s v="Samsung 253L Refrigerator"/>
    <n v="31736.53"/>
    <n v="1"/>
    <n v="2331.71"/>
    <x v="6"/>
    <x v="3"/>
  </r>
  <r>
    <d v="2026-07-22T00:00:00"/>
    <x v="6"/>
    <x v="4"/>
    <x v="0"/>
    <x v="3"/>
    <x v="7"/>
    <s v="Bajaj Mixer Grinder"/>
    <n v="8446.91"/>
    <n v="2"/>
    <n v="671.25"/>
    <x v="6"/>
    <x v="3"/>
  </r>
  <r>
    <d v="2026-07-22T00:00:00"/>
    <x v="16"/>
    <x v="11"/>
    <x v="0"/>
    <x v="3"/>
    <x v="10"/>
    <s v="LG 1.5 Ton 5 Star Split AC"/>
    <n v="41865.879999999997"/>
    <n v="1"/>
    <n v="6832.6"/>
    <x v="6"/>
    <x v="3"/>
  </r>
  <r>
    <d v="2026-07-23T00:00:00"/>
    <x v="19"/>
    <x v="7"/>
    <x v="0"/>
    <x v="4"/>
    <x v="11"/>
    <s v="Philips Trimmer"/>
    <n v="2462.77"/>
    <n v="1"/>
    <n v="187.86"/>
    <x v="6"/>
    <x v="3"/>
  </r>
  <r>
    <d v="2026-07-23T00:00:00"/>
    <x v="3"/>
    <x v="13"/>
    <x v="0"/>
    <x v="3"/>
    <x v="10"/>
    <s v="Daikin 1.5 Ton Inverter AC"/>
    <n v="42270.15"/>
    <n v="1"/>
    <n v="3451.23"/>
    <x v="6"/>
    <x v="3"/>
  </r>
  <r>
    <d v="2026-07-23T00:00:00"/>
    <x v="7"/>
    <x v="8"/>
    <x v="0"/>
    <x v="1"/>
    <x v="1"/>
    <s v="Lenovo IdeaPad Slim 5"/>
    <n v="63879.9"/>
    <n v="1"/>
    <n v="10029.799999999999"/>
    <x v="6"/>
    <x v="3"/>
  </r>
  <r>
    <d v="2026-07-24T00:00:00"/>
    <x v="8"/>
    <x v="5"/>
    <x v="0"/>
    <x v="0"/>
    <x v="2"/>
    <s v="OnePlus 12"/>
    <n v="161969.37"/>
    <n v="3"/>
    <n v="15686.4"/>
    <x v="6"/>
    <x v="3"/>
  </r>
  <r>
    <d v="2026-07-24T00:00:00"/>
    <x v="17"/>
    <x v="13"/>
    <x v="0"/>
    <x v="1"/>
    <x v="5"/>
    <s v="Dell 27 inch Monitor"/>
    <n v="37779.42"/>
    <n v="2"/>
    <n v="8177.15"/>
    <x v="6"/>
    <x v="3"/>
  </r>
  <r>
    <d v="2026-07-24T00:00:00"/>
    <x v="13"/>
    <x v="4"/>
    <x v="0"/>
    <x v="2"/>
    <x v="3"/>
    <s v="JBL 5.1 Soundbar"/>
    <n v="62628.57"/>
    <n v="2"/>
    <n v="9204.2000000000007"/>
    <x v="6"/>
    <x v="3"/>
  </r>
  <r>
    <d v="2026-07-24T00:00:00"/>
    <x v="12"/>
    <x v="4"/>
    <x v="0"/>
    <x v="0"/>
    <x v="2"/>
    <s v="Google Pixel 8"/>
    <n v="57337.56"/>
    <n v="1"/>
    <n v="5152.6099999999997"/>
    <x v="6"/>
    <x v="3"/>
  </r>
  <r>
    <d v="2026-07-25T00:00:00"/>
    <x v="1"/>
    <x v="1"/>
    <x v="0"/>
    <x v="0"/>
    <x v="0"/>
    <s v="Portronics Power Bank 20000mAh"/>
    <n v="4678.03"/>
    <n v="2"/>
    <n v="946.84"/>
    <x v="6"/>
    <x v="3"/>
  </r>
  <r>
    <d v="2026-07-25T00:00:00"/>
    <x v="10"/>
    <x v="9"/>
    <x v="0"/>
    <x v="2"/>
    <x v="3"/>
    <s v="JBL 5.1 Soundbar"/>
    <n v="32276.75"/>
    <n v="1"/>
    <n v="4305.4799999999996"/>
    <x v="6"/>
    <x v="3"/>
  </r>
  <r>
    <d v="2026-07-25T00:00:00"/>
    <x v="0"/>
    <x v="3"/>
    <x v="0"/>
    <x v="1"/>
    <x v="5"/>
    <s v="Logitech Wireless Keyboard"/>
    <n v="2191.9499999999998"/>
    <n v="1"/>
    <n v="335.66"/>
    <x v="6"/>
    <x v="3"/>
  </r>
  <r>
    <d v="2026-07-26T00:00:00"/>
    <x v="13"/>
    <x v="7"/>
    <x v="0"/>
    <x v="1"/>
    <x v="1"/>
    <s v="Apple MacBook Air M2"/>
    <n v="267753.34999999998"/>
    <n v="3"/>
    <n v="56739.87"/>
    <x v="6"/>
    <x v="3"/>
  </r>
  <r>
    <d v="2026-07-26T00:00:00"/>
    <x v="11"/>
    <x v="12"/>
    <x v="0"/>
    <x v="0"/>
    <x v="0"/>
    <s v="Portronics Power Bank 20000mAh"/>
    <n v="4358.0600000000004"/>
    <n v="2"/>
    <n v="648.17999999999995"/>
    <x v="6"/>
    <x v="3"/>
  </r>
  <r>
    <d v="2026-07-26T00:00:00"/>
    <x v="15"/>
    <x v="2"/>
    <x v="0"/>
    <x v="4"/>
    <x v="6"/>
    <s v="Philips Air Purifier"/>
    <n v="13136.1"/>
    <n v="1"/>
    <n v="1458.21"/>
    <x v="6"/>
    <x v="3"/>
  </r>
  <r>
    <d v="2026-07-27T00:00:00"/>
    <x v="5"/>
    <x v="4"/>
    <x v="0"/>
    <x v="1"/>
    <x v="5"/>
    <s v="TP-Link Wi-Fi Router"/>
    <n v="8277.9699999999993"/>
    <n v="3"/>
    <n v="658.41"/>
    <x v="6"/>
    <x v="3"/>
  </r>
  <r>
    <d v="2026-07-28T00:00:00"/>
    <x v="27"/>
    <x v="7"/>
    <x v="0"/>
    <x v="0"/>
    <x v="0"/>
    <s v="boAt Wireless Earphones"/>
    <n v="3045.53"/>
    <n v="2"/>
    <n v="658.35"/>
    <x v="6"/>
    <x v="3"/>
  </r>
  <r>
    <d v="2026-07-28T00:00:00"/>
    <x v="24"/>
    <x v="7"/>
    <x v="0"/>
    <x v="4"/>
    <x v="11"/>
    <s v="Philips Trimmer"/>
    <n v="10414.41"/>
    <n v="5"/>
    <n v="1768.15"/>
    <x v="6"/>
    <x v="3"/>
  </r>
  <r>
    <d v="2026-07-30T00:00:00"/>
    <x v="7"/>
    <x v="14"/>
    <x v="0"/>
    <x v="2"/>
    <x v="8"/>
    <s v="Sony 55 inch Bravia 4K TV"/>
    <n v="237341.87"/>
    <n v="3"/>
    <n v="29589.73"/>
    <x v="6"/>
    <x v="3"/>
  </r>
  <r>
    <d v="2026-07-31T00:00:00"/>
    <x v="12"/>
    <x v="6"/>
    <x v="0"/>
    <x v="3"/>
    <x v="9"/>
    <s v="Samsung 253L Refrigerator"/>
    <n v="26710.81"/>
    <n v="1"/>
    <n v="2263.9"/>
    <x v="6"/>
    <x v="3"/>
  </r>
  <r>
    <d v="2026-07-31T00:00:00"/>
    <x v="6"/>
    <x v="1"/>
    <x v="0"/>
    <x v="2"/>
    <x v="3"/>
    <s v="boAt Home Theatre System"/>
    <n v="11572.65"/>
    <n v="1"/>
    <n v="1725.49"/>
    <x v="6"/>
    <x v="3"/>
  </r>
  <r>
    <d v="2026-07-31T00:00:00"/>
    <x v="0"/>
    <x v="14"/>
    <x v="0"/>
    <x v="0"/>
    <x v="0"/>
    <s v="Apple 20W USB-C Power Adapter"/>
    <n v="3929.22"/>
    <n v="2"/>
    <n v="734.12"/>
    <x v="6"/>
    <x v="3"/>
  </r>
  <r>
    <d v="2026-07-31T00:00:00"/>
    <x v="21"/>
    <x v="7"/>
    <x v="0"/>
    <x v="2"/>
    <x v="3"/>
    <s v="Sony Wireless Headphones"/>
    <n v="17870.61"/>
    <n v="2"/>
    <n v="2519.0300000000002"/>
    <x v="6"/>
    <x v="3"/>
  </r>
  <r>
    <d v="2026-08-01T00:00:00"/>
    <x v="17"/>
    <x v="8"/>
    <x v="0"/>
    <x v="0"/>
    <x v="0"/>
    <s v="JBL Bluetooth Earbuds"/>
    <n v="2759.32"/>
    <n v="1"/>
    <n v="582.30999999999995"/>
    <x v="7"/>
    <x v="3"/>
  </r>
  <r>
    <d v="2026-08-02T00:00:00"/>
    <x v="19"/>
    <x v="13"/>
    <x v="0"/>
    <x v="3"/>
    <x v="9"/>
    <s v="Whirlpool 265L Frost Free Refrigerator"/>
    <n v="28375.74"/>
    <n v="1"/>
    <n v="4313.3599999999997"/>
    <x v="7"/>
    <x v="3"/>
  </r>
  <r>
    <d v="2026-08-02T00:00:00"/>
    <x v="22"/>
    <x v="6"/>
    <x v="0"/>
    <x v="3"/>
    <x v="7"/>
    <s v="Prestige Induction Cooktop"/>
    <n v="2590.21"/>
    <n v="1"/>
    <n v="428.53"/>
    <x v="7"/>
    <x v="3"/>
  </r>
  <r>
    <d v="2026-08-02T00:00:00"/>
    <x v="22"/>
    <x v="8"/>
    <x v="0"/>
    <x v="2"/>
    <x v="3"/>
    <s v="Sony Wireless Headphones"/>
    <n v="26408.75"/>
    <n v="3"/>
    <n v="1906.23"/>
    <x v="7"/>
    <x v="3"/>
  </r>
  <r>
    <d v="2026-08-03T00:00:00"/>
    <x v="22"/>
    <x v="8"/>
    <x v="0"/>
    <x v="2"/>
    <x v="3"/>
    <s v="boAt Home Theatre System"/>
    <n v="22571.82"/>
    <n v="2"/>
    <n v="2609.5300000000002"/>
    <x v="7"/>
    <x v="3"/>
  </r>
  <r>
    <d v="2026-08-03T00:00:00"/>
    <x v="8"/>
    <x v="7"/>
    <x v="0"/>
    <x v="4"/>
    <x v="6"/>
    <s v="Philips Air Purifier"/>
    <n v="28151.360000000001"/>
    <n v="2"/>
    <n v="3051.98"/>
    <x v="7"/>
    <x v="3"/>
  </r>
  <r>
    <d v="2026-08-04T00:00:00"/>
    <x v="13"/>
    <x v="6"/>
    <x v="0"/>
    <x v="3"/>
    <x v="7"/>
    <s v="Bajaj Mixer Grinder"/>
    <n v="4926.3599999999997"/>
    <n v="1"/>
    <n v="557.1"/>
    <x v="7"/>
    <x v="3"/>
  </r>
  <r>
    <d v="2026-08-04T00:00:00"/>
    <x v="9"/>
    <x v="1"/>
    <x v="0"/>
    <x v="1"/>
    <x v="5"/>
    <s v="Logitech Wireless Mouse"/>
    <n v="1294.93"/>
    <n v="1"/>
    <n v="174.26"/>
    <x v="7"/>
    <x v="3"/>
  </r>
  <r>
    <d v="2026-08-04T00:00:00"/>
    <x v="22"/>
    <x v="12"/>
    <x v="0"/>
    <x v="1"/>
    <x v="5"/>
    <s v="Dell 27 inch Monitor"/>
    <n v="17808.04"/>
    <n v="1"/>
    <n v="3843.44"/>
    <x v="7"/>
    <x v="3"/>
  </r>
  <r>
    <d v="2026-08-04T00:00:00"/>
    <x v="16"/>
    <x v="6"/>
    <x v="0"/>
    <x v="0"/>
    <x v="2"/>
    <s v="Samsung Galaxy A55"/>
    <n v="68408.289999999994"/>
    <n v="2"/>
    <n v="12191.05"/>
    <x v="7"/>
    <x v="3"/>
  </r>
  <r>
    <d v="2026-08-06T00:00:00"/>
    <x v="5"/>
    <x v="4"/>
    <x v="0"/>
    <x v="0"/>
    <x v="2"/>
    <s v="Google Pixel 8"/>
    <n v="113869.19"/>
    <n v="2"/>
    <n v="13919.17"/>
    <x v="7"/>
    <x v="3"/>
  </r>
  <r>
    <d v="2026-08-07T00:00:00"/>
    <x v="24"/>
    <x v="12"/>
    <x v="0"/>
    <x v="0"/>
    <x v="2"/>
    <s v="Apple iPhone 15"/>
    <n v="57809.87"/>
    <n v="1"/>
    <n v="7528.65"/>
    <x v="7"/>
    <x v="3"/>
  </r>
  <r>
    <d v="2026-08-07T00:00:00"/>
    <x v="3"/>
    <x v="14"/>
    <x v="0"/>
    <x v="3"/>
    <x v="4"/>
    <s v="Samsung 8kg Front Load Washing Machine"/>
    <n v="113691.86"/>
    <n v="3"/>
    <n v="22072.05"/>
    <x v="7"/>
    <x v="3"/>
  </r>
  <r>
    <d v="2026-08-08T00:00:00"/>
    <x v="19"/>
    <x v="9"/>
    <x v="0"/>
    <x v="4"/>
    <x v="11"/>
    <s v="Philips Trimmer"/>
    <n v="4353.51"/>
    <n v="2"/>
    <n v="394.02"/>
    <x v="7"/>
    <x v="3"/>
  </r>
  <r>
    <d v="2026-08-08T00:00:00"/>
    <x v="17"/>
    <x v="10"/>
    <x v="0"/>
    <x v="3"/>
    <x v="4"/>
    <s v="LG 7kg Fully Automatic Washing Machine"/>
    <n v="50624.24"/>
    <n v="2"/>
    <n v="4706.34"/>
    <x v="7"/>
    <x v="3"/>
  </r>
  <r>
    <d v="2026-08-08T00:00:00"/>
    <x v="17"/>
    <x v="13"/>
    <x v="0"/>
    <x v="2"/>
    <x v="3"/>
    <s v="Sony Wireless Headphones"/>
    <n v="8700.76"/>
    <n v="1"/>
    <n v="1220.72"/>
    <x v="7"/>
    <x v="3"/>
  </r>
  <r>
    <d v="2026-08-09T00:00:00"/>
    <x v="19"/>
    <x v="9"/>
    <x v="0"/>
    <x v="2"/>
    <x v="3"/>
    <s v="Sony Bluetooth Soundbar"/>
    <n v="69910.23"/>
    <n v="3"/>
    <n v="6278.77"/>
    <x v="7"/>
    <x v="3"/>
  </r>
  <r>
    <d v="2026-08-09T00:00:00"/>
    <x v="22"/>
    <x v="14"/>
    <x v="0"/>
    <x v="3"/>
    <x v="4"/>
    <s v="Samsung 8kg Front Load Washing Machine"/>
    <n v="38661.440000000002"/>
    <n v="1"/>
    <n v="4436.17"/>
    <x v="7"/>
    <x v="3"/>
  </r>
  <r>
    <d v="2026-08-10T00:00:00"/>
    <x v="21"/>
    <x v="0"/>
    <x v="0"/>
    <x v="2"/>
    <x v="8"/>
    <s v="OnePlus 43 inch 4K Smart TV"/>
    <n v="56987.5"/>
    <n v="2"/>
    <n v="8433.51"/>
    <x v="7"/>
    <x v="3"/>
  </r>
  <r>
    <d v="2026-08-10T00:00:00"/>
    <x v="7"/>
    <x v="11"/>
    <x v="0"/>
    <x v="0"/>
    <x v="0"/>
    <s v="Samsung 25W Charger"/>
    <n v="4396.74"/>
    <n v="3"/>
    <n v="616.59"/>
    <x v="7"/>
    <x v="3"/>
  </r>
  <r>
    <d v="2026-08-11T00:00:00"/>
    <x v="27"/>
    <x v="13"/>
    <x v="0"/>
    <x v="3"/>
    <x v="7"/>
    <s v="Prestige Induction Cooktop"/>
    <n v="4952.4399999999996"/>
    <n v="2"/>
    <n v="814.19"/>
    <x v="7"/>
    <x v="3"/>
  </r>
  <r>
    <d v="2026-08-11T00:00:00"/>
    <x v="19"/>
    <x v="9"/>
    <x v="0"/>
    <x v="4"/>
    <x v="11"/>
    <s v="Braun Electric Shaver"/>
    <n v="5764.89"/>
    <n v="1"/>
    <n v="469.25"/>
    <x v="7"/>
    <x v="3"/>
  </r>
  <r>
    <d v="2026-08-12T00:00:00"/>
    <x v="19"/>
    <x v="1"/>
    <x v="0"/>
    <x v="3"/>
    <x v="9"/>
    <s v="Whirlpool 265L Frost Free Refrigerator"/>
    <n v="149170.60999999999"/>
    <n v="5"/>
    <n v="15832.12"/>
    <x v="7"/>
    <x v="3"/>
  </r>
  <r>
    <d v="2026-08-12T00:00:00"/>
    <x v="6"/>
    <x v="14"/>
    <x v="0"/>
    <x v="0"/>
    <x v="2"/>
    <s v="Samsung Galaxy A55"/>
    <n v="69958.95"/>
    <n v="2"/>
    <n v="12536.7"/>
    <x v="7"/>
    <x v="3"/>
  </r>
  <r>
    <d v="2026-08-12T00:00:00"/>
    <x v="22"/>
    <x v="2"/>
    <x v="0"/>
    <x v="1"/>
    <x v="1"/>
    <s v="Lenovo IdeaPad Slim 5"/>
    <n v="253247.4"/>
    <n v="4"/>
    <n v="24159.18"/>
    <x v="7"/>
    <x v="3"/>
  </r>
  <r>
    <d v="2026-08-13T00:00:00"/>
    <x v="7"/>
    <x v="4"/>
    <x v="0"/>
    <x v="1"/>
    <x v="5"/>
    <s v="Dell 27 inch Monitor"/>
    <n v="16197.96"/>
    <n v="1"/>
    <n v="1273.8800000000001"/>
    <x v="7"/>
    <x v="3"/>
  </r>
  <r>
    <d v="2026-08-13T00:00:00"/>
    <x v="21"/>
    <x v="0"/>
    <x v="0"/>
    <x v="1"/>
    <x v="5"/>
    <s v="Logitech Wireless Keyboard"/>
    <n v="2311.59"/>
    <n v="1"/>
    <n v="-133.69999999999999"/>
    <x v="7"/>
    <x v="3"/>
  </r>
  <r>
    <d v="2026-08-13T00:00:00"/>
    <x v="10"/>
    <x v="3"/>
    <x v="0"/>
    <x v="0"/>
    <x v="2"/>
    <s v="Google Pixel 8"/>
    <n v="105029.1"/>
    <n v="2"/>
    <n v="16043.14"/>
    <x v="7"/>
    <x v="3"/>
  </r>
  <r>
    <d v="2026-08-14T00:00:00"/>
    <x v="10"/>
    <x v="3"/>
    <x v="0"/>
    <x v="3"/>
    <x v="4"/>
    <s v="Samsung 8kg Front Load Washing Machine"/>
    <n v="39965.24"/>
    <n v="1"/>
    <n v="8136"/>
    <x v="7"/>
    <x v="3"/>
  </r>
  <r>
    <d v="2026-08-17T00:00:00"/>
    <x v="8"/>
    <x v="12"/>
    <x v="0"/>
    <x v="3"/>
    <x v="7"/>
    <s v="Morphy Richards OTG"/>
    <n v="14246.34"/>
    <n v="2"/>
    <n v="2951.38"/>
    <x v="7"/>
    <x v="3"/>
  </r>
  <r>
    <d v="2026-08-18T00:00:00"/>
    <x v="14"/>
    <x v="1"/>
    <x v="0"/>
    <x v="0"/>
    <x v="0"/>
    <s v="Portronics Power Bank 20000mAh"/>
    <n v="2085.6"/>
    <n v="1"/>
    <n v="150.81"/>
    <x v="7"/>
    <x v="3"/>
  </r>
  <r>
    <d v="2026-08-18T00:00:00"/>
    <x v="2"/>
    <x v="3"/>
    <x v="0"/>
    <x v="2"/>
    <x v="8"/>
    <s v="Samsung 55 inch 4K Smart TV"/>
    <n v="65279.01"/>
    <n v="1"/>
    <n v="6998.32"/>
    <x v="7"/>
    <x v="3"/>
  </r>
  <r>
    <d v="2026-08-18T00:00:00"/>
    <x v="28"/>
    <x v="5"/>
    <x v="0"/>
    <x v="1"/>
    <x v="5"/>
    <s v="Logitech Wireless Keyboard"/>
    <n v="9331.4"/>
    <n v="4"/>
    <n v="848.37"/>
    <x v="7"/>
    <x v="3"/>
  </r>
  <r>
    <d v="2026-08-19T00:00:00"/>
    <x v="13"/>
    <x v="3"/>
    <x v="0"/>
    <x v="2"/>
    <x v="3"/>
    <s v="JBL 5.1 Soundbar"/>
    <n v="29616.58"/>
    <n v="1"/>
    <n v="6181.98"/>
    <x v="7"/>
    <x v="3"/>
  </r>
  <r>
    <d v="2026-08-20T00:00:00"/>
    <x v="22"/>
    <x v="0"/>
    <x v="0"/>
    <x v="3"/>
    <x v="9"/>
    <s v="LG 260L Double Door Refrigerator"/>
    <n v="32853.550000000003"/>
    <n v="1"/>
    <n v="2906"/>
    <x v="7"/>
    <x v="3"/>
  </r>
  <r>
    <d v="2026-08-20T00:00:00"/>
    <x v="10"/>
    <x v="0"/>
    <x v="0"/>
    <x v="4"/>
    <x v="11"/>
    <s v="Philips Trimmer"/>
    <n v="2452.56"/>
    <n v="1"/>
    <n v="417.09"/>
    <x v="7"/>
    <x v="3"/>
  </r>
  <r>
    <d v="2026-08-20T00:00:00"/>
    <x v="22"/>
    <x v="2"/>
    <x v="0"/>
    <x v="1"/>
    <x v="5"/>
    <s v="HP 24 inch Monitor"/>
    <n v="20895.63"/>
    <n v="2"/>
    <n v="1543.61"/>
    <x v="7"/>
    <x v="3"/>
  </r>
  <r>
    <d v="2026-08-21T00:00:00"/>
    <x v="2"/>
    <x v="2"/>
    <x v="0"/>
    <x v="2"/>
    <x v="8"/>
    <s v="TCL 50 inch 4K Smart TV"/>
    <n v="37527.24"/>
    <n v="1"/>
    <n v="4982.01"/>
    <x v="7"/>
    <x v="3"/>
  </r>
  <r>
    <d v="2026-08-22T00:00:00"/>
    <x v="3"/>
    <x v="2"/>
    <x v="0"/>
    <x v="0"/>
    <x v="0"/>
    <s v="boAt Wireless Earphones"/>
    <n v="1733.76"/>
    <n v="1"/>
    <n v="174.04"/>
    <x v="7"/>
    <x v="3"/>
  </r>
  <r>
    <d v="2026-08-23T00:00:00"/>
    <x v="17"/>
    <x v="7"/>
    <x v="0"/>
    <x v="2"/>
    <x v="3"/>
    <s v="Sony Wireless Headphones"/>
    <n v="18662.55"/>
    <n v="2"/>
    <n v="1410.68"/>
    <x v="7"/>
    <x v="3"/>
  </r>
  <r>
    <d v="2026-08-23T00:00:00"/>
    <x v="6"/>
    <x v="13"/>
    <x v="0"/>
    <x v="1"/>
    <x v="1"/>
    <s v="ASUS Vivobook 15"/>
    <n v="47440.89"/>
    <n v="1"/>
    <n v="7368.32"/>
    <x v="7"/>
    <x v="3"/>
  </r>
  <r>
    <d v="2026-08-24T00:00:00"/>
    <x v="3"/>
    <x v="2"/>
    <x v="0"/>
    <x v="1"/>
    <x v="1"/>
    <s v="Lenovo IdeaPad Slim 5"/>
    <n v="57105.17"/>
    <n v="1"/>
    <n v="12124.25"/>
    <x v="7"/>
    <x v="3"/>
  </r>
  <r>
    <d v="2026-08-24T00:00:00"/>
    <x v="22"/>
    <x v="8"/>
    <x v="0"/>
    <x v="0"/>
    <x v="2"/>
    <s v="Samsung Galaxy S24"/>
    <n v="126795.08"/>
    <n v="2"/>
    <n v="13182.19"/>
    <x v="7"/>
    <x v="3"/>
  </r>
  <r>
    <d v="2026-08-24T00:00:00"/>
    <x v="13"/>
    <x v="8"/>
    <x v="0"/>
    <x v="0"/>
    <x v="2"/>
    <s v="Samsung Galaxy A55"/>
    <n v="34784.14"/>
    <n v="1"/>
    <n v="5887.54"/>
    <x v="7"/>
    <x v="3"/>
  </r>
  <r>
    <d v="2026-08-24T00:00:00"/>
    <x v="9"/>
    <x v="9"/>
    <x v="0"/>
    <x v="0"/>
    <x v="0"/>
    <s v="JBL Bluetooth Earbuds"/>
    <n v="2742.58"/>
    <n v="1"/>
    <n v="232.48"/>
    <x v="7"/>
    <x v="3"/>
  </r>
  <r>
    <d v="2026-08-25T00:00:00"/>
    <x v="6"/>
    <x v="12"/>
    <x v="0"/>
    <x v="1"/>
    <x v="5"/>
    <s v="HP 24 inch Monitor"/>
    <n v="10699.73"/>
    <n v="1"/>
    <n v="-237.57"/>
    <x v="7"/>
    <x v="3"/>
  </r>
  <r>
    <d v="2026-08-25T00:00:00"/>
    <x v="11"/>
    <x v="3"/>
    <x v="0"/>
    <x v="0"/>
    <x v="0"/>
    <s v="boAt Wireless Earphones"/>
    <n v="7029.82"/>
    <n v="4"/>
    <n v="1370"/>
    <x v="7"/>
    <x v="3"/>
  </r>
  <r>
    <d v="2026-08-25T00:00:00"/>
    <x v="1"/>
    <x v="9"/>
    <x v="0"/>
    <x v="2"/>
    <x v="3"/>
    <s v="JBL 5.1 Soundbar"/>
    <n v="31117.94"/>
    <n v="1"/>
    <n v="2647.49"/>
    <x v="7"/>
    <x v="3"/>
  </r>
  <r>
    <d v="2026-08-27T00:00:00"/>
    <x v="28"/>
    <x v="5"/>
    <x v="0"/>
    <x v="2"/>
    <x v="8"/>
    <s v="Samsung 55 inch 4K Smart TV"/>
    <n v="121035.96"/>
    <n v="2"/>
    <n v="25835.73"/>
    <x v="7"/>
    <x v="3"/>
  </r>
  <r>
    <d v="2026-08-27T00:00:00"/>
    <x v="8"/>
    <x v="8"/>
    <x v="0"/>
    <x v="0"/>
    <x v="2"/>
    <s v="Samsung Galaxy S24"/>
    <n v="67878.42"/>
    <n v="1"/>
    <n v="6254.66"/>
    <x v="7"/>
    <x v="3"/>
  </r>
  <r>
    <d v="2026-08-27T00:00:00"/>
    <x v="26"/>
    <x v="7"/>
    <x v="0"/>
    <x v="0"/>
    <x v="0"/>
    <s v="Samsung 25W Charger"/>
    <n v="1343.46"/>
    <n v="1"/>
    <n v="271.61"/>
    <x v="7"/>
    <x v="3"/>
  </r>
  <r>
    <d v="2026-08-27T00:00:00"/>
    <x v="18"/>
    <x v="11"/>
    <x v="0"/>
    <x v="3"/>
    <x v="4"/>
    <s v="Samsung 8kg Front Load Washing Machine"/>
    <n v="106895.32"/>
    <n v="3"/>
    <n v="22591.599999999999"/>
    <x v="7"/>
    <x v="3"/>
  </r>
  <r>
    <d v="2026-08-27T00:00:00"/>
    <x v="11"/>
    <x v="0"/>
    <x v="0"/>
    <x v="0"/>
    <x v="0"/>
    <s v="JBL Bluetooth Earbuds"/>
    <n v="2523.73"/>
    <n v="1"/>
    <n v="343.76"/>
    <x v="7"/>
    <x v="3"/>
  </r>
  <r>
    <d v="2026-08-28T00:00:00"/>
    <x v="11"/>
    <x v="13"/>
    <x v="0"/>
    <x v="1"/>
    <x v="1"/>
    <s v="Dell Inspiron 15 Laptop"/>
    <n v="55867.35"/>
    <n v="1"/>
    <n v="7291.91"/>
    <x v="7"/>
    <x v="3"/>
  </r>
  <r>
    <d v="2026-08-28T00:00:00"/>
    <x v="9"/>
    <x v="0"/>
    <x v="0"/>
    <x v="2"/>
    <x v="8"/>
    <s v="LG 55 inch OLED Smart TV"/>
    <n v="87409.97"/>
    <n v="1"/>
    <n v="17956.759999999998"/>
    <x v="7"/>
    <x v="3"/>
  </r>
  <r>
    <d v="2026-08-29T00:00:00"/>
    <x v="11"/>
    <x v="1"/>
    <x v="0"/>
    <x v="2"/>
    <x v="3"/>
    <s v="JBL 5.1 Soundbar"/>
    <n v="117891.26"/>
    <n v="4"/>
    <n v="17177.72"/>
    <x v="7"/>
    <x v="3"/>
  </r>
  <r>
    <d v="2026-08-29T00:00:00"/>
    <x v="18"/>
    <x v="8"/>
    <x v="0"/>
    <x v="3"/>
    <x v="7"/>
    <s v="Philips Air Fryer"/>
    <n v="8979.67"/>
    <n v="1"/>
    <n v="1039.3"/>
    <x v="7"/>
    <x v="3"/>
  </r>
  <r>
    <d v="2026-08-29T00:00:00"/>
    <x v="18"/>
    <x v="9"/>
    <x v="0"/>
    <x v="4"/>
    <x v="11"/>
    <s v="Braun Electric Shaver"/>
    <n v="11359.77"/>
    <n v="2"/>
    <n v="1007.65"/>
    <x v="7"/>
    <x v="3"/>
  </r>
  <r>
    <d v="2026-08-30T00:00:00"/>
    <x v="15"/>
    <x v="10"/>
    <x v="0"/>
    <x v="0"/>
    <x v="2"/>
    <s v="Google Pixel 8"/>
    <n v="106545.19"/>
    <n v="2"/>
    <n v="13362.38"/>
    <x v="7"/>
    <x v="3"/>
  </r>
  <r>
    <d v="2026-08-30T00:00:00"/>
    <x v="14"/>
    <x v="13"/>
    <x v="0"/>
    <x v="0"/>
    <x v="0"/>
    <s v="Apple 20W USB-C Power Adapter"/>
    <n v="1683.43"/>
    <n v="1"/>
    <n v="281.27999999999997"/>
    <x v="7"/>
    <x v="3"/>
  </r>
  <r>
    <d v="2026-08-30T00:00:00"/>
    <x v="28"/>
    <x v="4"/>
    <x v="0"/>
    <x v="3"/>
    <x v="4"/>
    <s v="IFB 7kg Front Load Washing Machine"/>
    <n v="60381.27"/>
    <n v="2"/>
    <n v="13186.15"/>
    <x v="7"/>
    <x v="3"/>
  </r>
  <r>
    <d v="2026-08-30T00:00:00"/>
    <x v="24"/>
    <x v="9"/>
    <x v="0"/>
    <x v="2"/>
    <x v="3"/>
    <s v="Sony Bluetooth Soundbar"/>
    <n v="24141.919999999998"/>
    <n v="1"/>
    <n v="4477.3100000000004"/>
    <x v="7"/>
    <x v="3"/>
  </r>
  <r>
    <d v="2026-08-30T00:00:00"/>
    <x v="22"/>
    <x v="2"/>
    <x v="0"/>
    <x v="4"/>
    <x v="6"/>
    <s v="Dyson V8 Vacuum Cleaner"/>
    <n v="33896.58"/>
    <n v="1"/>
    <n v="4648.9399999999996"/>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E1B77-C2A1-43A1-A06A-C25BFB6CA3DA}" name="PivotTable1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20" firstHeaderRow="1" firstDataRow="1" firstDataCol="1"/>
  <pivotFields count="12">
    <pivotField showAll="0"/>
    <pivotField showAll="0"/>
    <pivotField axis="axisRow" showAll="0">
      <items count="16">
        <item x="7"/>
        <item x="10"/>
        <item x="2"/>
        <item x="3"/>
        <item x="6"/>
        <item x="9"/>
        <item x="5"/>
        <item x="4"/>
        <item x="11"/>
        <item x="13"/>
        <item x="8"/>
        <item x="14"/>
        <item x="0"/>
        <item x="1"/>
        <item x="12"/>
        <item t="default"/>
      </items>
    </pivotField>
    <pivotField axis="axisRow" showAll="0">
      <items count="2">
        <item x="0"/>
        <item t="default"/>
      </items>
    </pivotField>
    <pivotField showAll="0">
      <items count="6">
        <item x="1"/>
        <item x="3"/>
        <item x="0"/>
        <item x="4"/>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2">
    <field x="3"/>
    <field x="2"/>
  </rowFields>
  <rowItems count="17">
    <i>
      <x/>
    </i>
    <i r="1">
      <x/>
    </i>
    <i r="1">
      <x v="1"/>
    </i>
    <i r="1">
      <x v="2"/>
    </i>
    <i r="1">
      <x v="3"/>
    </i>
    <i r="1">
      <x v="4"/>
    </i>
    <i r="1">
      <x v="5"/>
    </i>
    <i r="1">
      <x v="6"/>
    </i>
    <i r="1">
      <x v="7"/>
    </i>
    <i r="1">
      <x v="8"/>
    </i>
    <i r="1">
      <x v="9"/>
    </i>
    <i r="1">
      <x v="10"/>
    </i>
    <i r="1">
      <x v="11"/>
    </i>
    <i r="1">
      <x v="12"/>
    </i>
    <i r="1">
      <x v="13"/>
    </i>
    <i r="1">
      <x v="14"/>
    </i>
    <i t="grand">
      <x/>
    </i>
  </rowItems>
  <colItems count="1">
    <i/>
  </colItems>
  <dataFields count="1">
    <dataField name="Sum of Sales" fld="7"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06DBB-8115-4321-A98A-57869C7613D4}" name="PivotTable8"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H4:AI17" firstHeaderRow="1" firstDataRow="1" firstDataCol="1"/>
  <pivotFields count="12">
    <pivotField showAll="0"/>
    <pivotField showAll="0"/>
    <pivotField showAll="0"/>
    <pivotField showAll="0"/>
    <pivotField showAll="0">
      <items count="6">
        <item x="1"/>
        <item x="3"/>
        <item x="0"/>
        <item x="4"/>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7" baseField="0" baseItem="0"/>
  </dataFields>
  <formats count="1">
    <format dxfId="60">
      <pivotArea collapsedLevelsAreSubtotals="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798979-8BC4-479E-A5A2-44F8BDAB5D63}" name="PivotTable1"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3:D8" firstHeaderRow="1" firstDataRow="1" firstDataCol="1"/>
  <pivotFields count="12">
    <pivotField showAll="0"/>
    <pivotField showAll="0"/>
    <pivotField showAll="0"/>
    <pivotField showAll="0"/>
    <pivotField showAll="0">
      <items count="6">
        <item x="1"/>
        <item x="3"/>
        <item x="0"/>
        <item x="4"/>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1"/>
  </rowFields>
  <rowItems count="5">
    <i>
      <x/>
    </i>
    <i>
      <x v="1"/>
    </i>
    <i>
      <x v="2"/>
    </i>
    <i>
      <x v="3"/>
    </i>
    <i t="grand">
      <x/>
    </i>
  </rowItems>
  <colItems count="1">
    <i/>
  </colItems>
  <dataFields count="1">
    <dataField name="Sum of Profit" fld="9" baseField="0" baseItem="0"/>
  </dataFields>
  <formats count="1">
    <format dxfId="61">
      <pivotArea outline="0" collapsedLevelsAreSubtotals="1" fieldPosition="0"/>
    </format>
  </format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1" count="1" selected="0">
            <x v="3"/>
          </reference>
        </references>
      </pivotArea>
    </chartFormat>
    <chartFormat chart="6" format="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4C625-AE7D-4EFA-8482-D04882F6F1BD}" name="PivotTable7"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E4:AF10" firstHeaderRow="1" firstDataRow="1" firstDataCol="1"/>
  <pivotFields count="12">
    <pivotField showAll="0"/>
    <pivotField axis="axisRow" showAll="0" measureFilter="1" sortType="descending">
      <items count="31">
        <item x="21"/>
        <item x="29"/>
        <item x="4"/>
        <item x="26"/>
        <item x="1"/>
        <item x="3"/>
        <item x="9"/>
        <item x="13"/>
        <item x="25"/>
        <item x="12"/>
        <item x="17"/>
        <item x="18"/>
        <item x="24"/>
        <item x="27"/>
        <item x="20"/>
        <item x="0"/>
        <item x="14"/>
        <item x="2"/>
        <item x="7"/>
        <item x="15"/>
        <item x="8"/>
        <item x="28"/>
        <item x="22"/>
        <item x="23"/>
        <item x="19"/>
        <item x="16"/>
        <item x="5"/>
        <item x="6"/>
        <item x="11"/>
        <item x="1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3"/>
        <item x="0"/>
        <item x="4"/>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4"/>
    </i>
    <i>
      <x v="7"/>
    </i>
    <i>
      <x v="11"/>
    </i>
    <i>
      <x v="5"/>
    </i>
    <i>
      <x v="17"/>
    </i>
    <i t="grand">
      <x/>
    </i>
  </rowItems>
  <colItems count="1">
    <i/>
  </colItems>
  <dataFields count="1">
    <dataField name="Sum of Profit"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311C04-CE8C-4DA7-97B2-4B03FD5B887C}" name="PivotTable3"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showAll="0"/>
    <pivotField showAll="0"/>
    <pivotField showAll="0"/>
    <pivotField showAll="0"/>
    <pivotField showAll="0">
      <items count="6">
        <item x="1"/>
        <item x="3"/>
        <item x="0"/>
        <item x="4"/>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9" baseField="0" baseItem="0" numFmtId="44"/>
  </dataFields>
  <formats count="4">
    <format dxfId="65">
      <pivotArea type="all" dataOnly="0" outline="0" fieldPosition="0"/>
    </format>
    <format dxfId="64">
      <pivotArea outline="0" collapsedLevelsAreSubtotals="1" fieldPosition="0"/>
    </format>
    <format dxfId="63">
      <pivotArea dataOnly="0" labelOnly="1" outline="0" axis="axisValues" fieldPosition="0"/>
    </format>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3A4CF7-5D41-4BCA-BCEA-BA9E47AC1F22}" name="PivotTable2"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items count="6">
        <item x="1"/>
        <item x="3"/>
        <item x="0"/>
        <item x="4"/>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7" baseField="0" baseItem="0" numFmtId="44"/>
  </dataFields>
  <formats count="4">
    <format dxfId="69">
      <pivotArea type="all" dataOnly="0" outline="0" fieldPosition="0"/>
    </format>
    <format dxfId="68">
      <pivotArea outline="0" collapsedLevelsAreSubtotals="1" fieldPosition="0"/>
    </format>
    <format dxfId="67">
      <pivotArea dataOnly="0" labelOnly="1" outline="0" axis="axisValues" fieldPosition="0"/>
    </format>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E56760-99F4-4A30-B056-5EFCC6101F5B}" name="PivotTable5"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U3:V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0" format="13">
      <pivotArea type="data" outline="0" fieldPosition="0">
        <references count="2">
          <reference field="4294967294" count="1" selected="0">
            <x v="0"/>
          </reference>
          <reference field="1" count="1" selected="0">
            <x v="2"/>
          </reference>
        </references>
      </pivotArea>
    </chartFormat>
    <chartFormat chart="10"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068AC3-0201-4F70-9652-A4670A846535}" name="PivotTable4" cacheId="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6" firstHeaderRow="1" firstDataRow="1" firstDataCol="1"/>
  <pivotFields count="12">
    <pivotField showAll="0"/>
    <pivotField showAll="0"/>
    <pivotField showAll="0"/>
    <pivotField showAll="0"/>
    <pivotField showAll="0">
      <items count="6">
        <item x="1"/>
        <item x="3"/>
        <item x="0"/>
        <item x="4"/>
        <item x="2"/>
        <item t="default"/>
      </items>
    </pivotField>
    <pivotField axis="axisRow" showAll="0" sortType="descending">
      <items count="13">
        <item x="10"/>
        <item x="3"/>
        <item x="5"/>
        <item x="6"/>
        <item x="7"/>
        <item x="1"/>
        <item x="0"/>
        <item x="11"/>
        <item x="9"/>
        <item x="2"/>
        <item x="8"/>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5"/>
  </rowFields>
  <rowItems count="13">
    <i>
      <x v="5"/>
    </i>
    <i>
      <x v="10"/>
    </i>
    <i>
      <x v="9"/>
    </i>
    <i>
      <x/>
    </i>
    <i>
      <x v="1"/>
    </i>
    <i>
      <x v="3"/>
    </i>
    <i>
      <x v="8"/>
    </i>
    <i>
      <x v="11"/>
    </i>
    <i>
      <x v="2"/>
    </i>
    <i>
      <x v="7"/>
    </i>
    <i>
      <x v="4"/>
    </i>
    <i>
      <x v="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CE8D52-E701-4864-98CF-BF585C778E83}" sourceName="Category">
  <pivotTables>
    <pivotTable tabId="3" name="PivotTable11"/>
    <pivotTable tabId="3" name="PivotTable1"/>
    <pivotTable tabId="3" name="PivotTable2"/>
    <pivotTable tabId="3" name="PivotTable3"/>
    <pivotTable tabId="3" name="PivotTable4"/>
    <pivotTable tabId="3" name="PivotTable7"/>
    <pivotTable tabId="3" name="PivotTable8"/>
  </pivotTables>
  <data>
    <tabular pivotCacheId="753730630">
      <items count="5">
        <i x="1"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FF4E918-6D10-4C18-A8DB-B9CC73F7FCB4}" sourceName="Month">
  <pivotTables>
    <pivotTable tabId="3" name="PivotTable11"/>
    <pivotTable tabId="3" name="PivotTable1"/>
    <pivotTable tabId="3" name="PivotTable2"/>
    <pivotTable tabId="3" name="PivotTable3"/>
    <pivotTable tabId="3" name="PivotTable4"/>
    <pivotTable tabId="3" name="PivotTable7"/>
    <pivotTable tabId="3" name="PivotTable8"/>
  </pivotTables>
  <data>
    <tabular pivotCacheId="75373063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B374C6F-8091-4AF4-A445-A52D42519428}" sourceName="Year">
  <pivotTables>
    <pivotTable tabId="3" name="PivotTable11"/>
    <pivotTable tabId="3" name="PivotTable1"/>
    <pivotTable tabId="3" name="PivotTable2"/>
    <pivotTable tabId="3" name="PivotTable3"/>
    <pivotTable tabId="3" name="PivotTable4"/>
    <pivotTable tabId="3" name="PivotTable7"/>
    <pivotTable tabId="3" name="PivotTable8"/>
  </pivotTables>
  <data>
    <tabular pivotCacheId="75373063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2B410D4-2F53-4AC5-9081-AA896A335307}" cache="Slicer_Category" caption="Category" rowHeight="234950"/>
  <slicer name="Month 1" xr10:uid="{1F46F0BF-7E82-410D-9BA3-71DDB5319299}" cache="Slicer_Month" caption="Month" columnCount="2" rowHeight="234950"/>
  <slicer name="Year 1" xr10:uid="{F8B330C6-9BB0-4D4A-A659-E67D330BB948}"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pane ySplit="1" topLeftCell="A2" activePane="bottomLeft" state="frozen"/>
      <selection pane="bottomLeft" activeCell="E2161" sqref="E2161"/>
    </sheetView>
  </sheetViews>
  <sheetFormatPr defaultRowHeight="14.4" x14ac:dyDescent="0.3"/>
  <cols>
    <col min="1" max="1" width="14.5546875" bestFit="1" customWidth="1"/>
    <col min="2" max="2" width="19.109375" bestFit="1" customWidth="1"/>
    <col min="3" max="3" width="14.5546875" bestFit="1" customWidth="1"/>
    <col min="4" max="4" width="14.5546875" customWidth="1"/>
    <col min="5" max="5" width="21.88671875" bestFit="1" customWidth="1"/>
    <col min="6" max="6" width="19.21875" bestFit="1" customWidth="1"/>
    <col min="7" max="7" width="36" bestFit="1" customWidth="1"/>
    <col min="8" max="8" width="10.44140625" bestFit="1" customWidth="1"/>
    <col min="9" max="9" width="12.77734375" bestFit="1" customWidth="1"/>
    <col min="10" max="10" width="10.109375" bestFit="1" customWidth="1"/>
    <col min="11" max="11" width="11.21875" bestFit="1" customWidth="1"/>
    <col min="12" max="12" width="9.109375" bestFit="1" customWidth="1"/>
  </cols>
  <sheetData>
    <row r="1" spans="1:12" x14ac:dyDescent="0.3">
      <c r="A1" s="1" t="s">
        <v>0</v>
      </c>
      <c r="B1" s="1" t="s">
        <v>1</v>
      </c>
      <c r="C1" s="1" t="s">
        <v>2</v>
      </c>
      <c r="D1" s="1" t="s">
        <v>155</v>
      </c>
      <c r="E1" s="1" t="s">
        <v>3</v>
      </c>
      <c r="F1" s="1" t="s">
        <v>4</v>
      </c>
      <c r="G1" s="1" t="s">
        <v>5</v>
      </c>
      <c r="H1" s="1" t="s">
        <v>6</v>
      </c>
      <c r="I1" s="1" t="s">
        <v>7</v>
      </c>
      <c r="J1" s="1" t="s">
        <v>8</v>
      </c>
      <c r="K1" s="1" t="s">
        <v>9</v>
      </c>
      <c r="L1" s="1" t="s">
        <v>10</v>
      </c>
    </row>
    <row r="2" spans="1:12" x14ac:dyDescent="0.3">
      <c r="A2" s="2">
        <v>44927</v>
      </c>
      <c r="B2" t="s">
        <v>11</v>
      </c>
      <c r="C2" t="s">
        <v>12</v>
      </c>
      <c r="D2" t="s">
        <v>156</v>
      </c>
      <c r="E2" t="s">
        <v>13</v>
      </c>
      <c r="F2" t="s">
        <v>14</v>
      </c>
      <c r="G2" t="s">
        <v>15</v>
      </c>
      <c r="H2" s="3">
        <v>2239.42</v>
      </c>
      <c r="I2" s="4">
        <v>1</v>
      </c>
      <c r="J2" s="3">
        <v>274.45999999999998</v>
      </c>
      <c r="K2" t="str">
        <f>TEXT(A2,"mmmm")</f>
        <v>January</v>
      </c>
      <c r="L2">
        <f>YEAR(A2)</f>
        <v>2023</v>
      </c>
    </row>
    <row r="3" spans="1:12" x14ac:dyDescent="0.3">
      <c r="A3" s="2">
        <v>44928</v>
      </c>
      <c r="B3" t="s">
        <v>16</v>
      </c>
      <c r="C3" t="s">
        <v>17</v>
      </c>
      <c r="D3" t="s">
        <v>156</v>
      </c>
      <c r="E3" t="s">
        <v>18</v>
      </c>
      <c r="F3" t="s">
        <v>19</v>
      </c>
      <c r="G3" t="s">
        <v>20</v>
      </c>
      <c r="H3" s="3">
        <v>195333.21</v>
      </c>
      <c r="I3" s="4">
        <v>3</v>
      </c>
      <c r="J3" s="3">
        <v>27390.05</v>
      </c>
      <c r="K3" t="str">
        <f t="shared" ref="K3:K66" si="0">TEXT(A3,"mmmm")</f>
        <v>January</v>
      </c>
      <c r="L3">
        <f t="shared" ref="L3:L66" si="1">YEAR(A3)</f>
        <v>2023</v>
      </c>
    </row>
    <row r="4" spans="1:12" x14ac:dyDescent="0.3">
      <c r="A4" s="2">
        <v>44935</v>
      </c>
      <c r="B4" t="s">
        <v>21</v>
      </c>
      <c r="C4" t="s">
        <v>22</v>
      </c>
      <c r="D4" t="s">
        <v>156</v>
      </c>
      <c r="E4" t="s">
        <v>13</v>
      </c>
      <c r="F4" t="s">
        <v>23</v>
      </c>
      <c r="G4" t="s">
        <v>24</v>
      </c>
      <c r="H4" s="3">
        <v>64459.17</v>
      </c>
      <c r="I4" s="4">
        <v>1</v>
      </c>
      <c r="J4" s="3">
        <v>6887.59</v>
      </c>
      <c r="K4" t="str">
        <f t="shared" si="0"/>
        <v>January</v>
      </c>
      <c r="L4">
        <f t="shared" si="1"/>
        <v>2023</v>
      </c>
    </row>
    <row r="5" spans="1:12" x14ac:dyDescent="0.3">
      <c r="A5" s="2">
        <v>44936</v>
      </c>
      <c r="B5" t="s">
        <v>25</v>
      </c>
      <c r="C5" t="s">
        <v>17</v>
      </c>
      <c r="D5" t="s">
        <v>156</v>
      </c>
      <c r="E5" t="s">
        <v>26</v>
      </c>
      <c r="F5" t="s">
        <v>27</v>
      </c>
      <c r="G5" t="s">
        <v>28</v>
      </c>
      <c r="H5" s="3">
        <v>64756.639999999999</v>
      </c>
      <c r="I5" s="4">
        <v>3</v>
      </c>
      <c r="J5" s="3">
        <v>-666.26</v>
      </c>
      <c r="K5" t="str">
        <f t="shared" si="0"/>
        <v>January</v>
      </c>
      <c r="L5">
        <f t="shared" si="1"/>
        <v>2023</v>
      </c>
    </row>
    <row r="6" spans="1:12" x14ac:dyDescent="0.3">
      <c r="A6" s="2">
        <v>44937</v>
      </c>
      <c r="B6" t="s">
        <v>29</v>
      </c>
      <c r="C6" t="s">
        <v>30</v>
      </c>
      <c r="D6" t="s">
        <v>156</v>
      </c>
      <c r="E6" t="s">
        <v>26</v>
      </c>
      <c r="F6" t="s">
        <v>27</v>
      </c>
      <c r="G6" t="s">
        <v>31</v>
      </c>
      <c r="H6" s="3">
        <v>9516.91</v>
      </c>
      <c r="I6" s="4">
        <v>1</v>
      </c>
      <c r="J6" s="3">
        <v>1114.27</v>
      </c>
      <c r="K6" t="str">
        <f t="shared" si="0"/>
        <v>January</v>
      </c>
      <c r="L6">
        <f t="shared" si="1"/>
        <v>2023</v>
      </c>
    </row>
    <row r="7" spans="1:12" x14ac:dyDescent="0.3">
      <c r="A7" s="2">
        <v>44937</v>
      </c>
      <c r="B7" t="s">
        <v>32</v>
      </c>
      <c r="C7" t="s">
        <v>17</v>
      </c>
      <c r="D7" t="s">
        <v>156</v>
      </c>
      <c r="E7" t="s">
        <v>18</v>
      </c>
      <c r="F7" t="s">
        <v>19</v>
      </c>
      <c r="G7" t="s">
        <v>33</v>
      </c>
      <c r="H7" s="3">
        <v>106598.26</v>
      </c>
      <c r="I7" s="4">
        <v>2</v>
      </c>
      <c r="J7" s="3">
        <v>12983.61</v>
      </c>
      <c r="K7" t="str">
        <f t="shared" si="0"/>
        <v>January</v>
      </c>
      <c r="L7">
        <f t="shared" si="1"/>
        <v>2023</v>
      </c>
    </row>
    <row r="8" spans="1:12" x14ac:dyDescent="0.3">
      <c r="A8" s="2">
        <v>44938</v>
      </c>
      <c r="B8" t="s">
        <v>34</v>
      </c>
      <c r="C8" t="s">
        <v>22</v>
      </c>
      <c r="D8" t="s">
        <v>156</v>
      </c>
      <c r="E8" t="s">
        <v>35</v>
      </c>
      <c r="F8" t="s">
        <v>36</v>
      </c>
      <c r="G8" t="s">
        <v>37</v>
      </c>
      <c r="H8" s="3">
        <v>53015.28</v>
      </c>
      <c r="I8" s="4">
        <v>2</v>
      </c>
      <c r="J8" s="3">
        <v>6850.54</v>
      </c>
      <c r="K8" t="str">
        <f t="shared" si="0"/>
        <v>January</v>
      </c>
      <c r="L8">
        <f t="shared" si="1"/>
        <v>2023</v>
      </c>
    </row>
    <row r="9" spans="1:12" x14ac:dyDescent="0.3">
      <c r="A9" s="2">
        <v>44939</v>
      </c>
      <c r="B9" t="s">
        <v>38</v>
      </c>
      <c r="C9" t="s">
        <v>39</v>
      </c>
      <c r="D9" t="s">
        <v>156</v>
      </c>
      <c r="E9" t="s">
        <v>18</v>
      </c>
      <c r="F9" t="s">
        <v>40</v>
      </c>
      <c r="G9" t="s">
        <v>41</v>
      </c>
      <c r="H9" s="3">
        <v>33768.82</v>
      </c>
      <c r="I9" s="4">
        <v>2</v>
      </c>
      <c r="J9" s="3">
        <v>2462.14</v>
      </c>
      <c r="K9" t="str">
        <f t="shared" si="0"/>
        <v>January</v>
      </c>
      <c r="L9">
        <f t="shared" si="1"/>
        <v>2023</v>
      </c>
    </row>
    <row r="10" spans="1:12" x14ac:dyDescent="0.3">
      <c r="A10" s="2">
        <v>44940</v>
      </c>
      <c r="B10" t="s">
        <v>11</v>
      </c>
      <c r="C10" t="s">
        <v>22</v>
      </c>
      <c r="D10" t="s">
        <v>156</v>
      </c>
      <c r="E10" t="s">
        <v>42</v>
      </c>
      <c r="F10" t="s">
        <v>43</v>
      </c>
      <c r="G10" t="s">
        <v>44</v>
      </c>
      <c r="H10" s="3">
        <v>25554.3</v>
      </c>
      <c r="I10" s="4">
        <v>2</v>
      </c>
      <c r="J10" s="3">
        <v>3298.27</v>
      </c>
      <c r="K10" t="str">
        <f t="shared" si="0"/>
        <v>January</v>
      </c>
      <c r="L10">
        <f t="shared" si="1"/>
        <v>2023</v>
      </c>
    </row>
    <row r="11" spans="1:12" x14ac:dyDescent="0.3">
      <c r="A11" s="2">
        <v>44941</v>
      </c>
      <c r="B11" t="s">
        <v>45</v>
      </c>
      <c r="C11" t="s">
        <v>46</v>
      </c>
      <c r="D11" t="s">
        <v>156</v>
      </c>
      <c r="E11" t="s">
        <v>13</v>
      </c>
      <c r="F11" t="s">
        <v>23</v>
      </c>
      <c r="G11" t="s">
        <v>47</v>
      </c>
      <c r="H11" s="3">
        <v>149801.93</v>
      </c>
      <c r="I11" s="4">
        <v>2</v>
      </c>
      <c r="J11" s="3">
        <v>17117.66</v>
      </c>
      <c r="K11" t="str">
        <f t="shared" si="0"/>
        <v>January</v>
      </c>
      <c r="L11">
        <f t="shared" si="1"/>
        <v>2023</v>
      </c>
    </row>
    <row r="12" spans="1:12" x14ac:dyDescent="0.3">
      <c r="A12" s="2">
        <v>44941</v>
      </c>
      <c r="B12" t="s">
        <v>48</v>
      </c>
      <c r="C12" t="s">
        <v>49</v>
      </c>
      <c r="D12" t="s">
        <v>156</v>
      </c>
      <c r="E12" t="s">
        <v>35</v>
      </c>
      <c r="F12" t="s">
        <v>50</v>
      </c>
      <c r="G12" t="s">
        <v>51</v>
      </c>
      <c r="H12" s="3">
        <v>7467.08</v>
      </c>
      <c r="I12" s="4">
        <v>1</v>
      </c>
      <c r="J12" s="3">
        <v>1346.94</v>
      </c>
      <c r="K12" t="str">
        <f t="shared" si="0"/>
        <v>January</v>
      </c>
      <c r="L12">
        <f t="shared" si="1"/>
        <v>2023</v>
      </c>
    </row>
    <row r="13" spans="1:12" x14ac:dyDescent="0.3">
      <c r="A13" s="2">
        <v>44942</v>
      </c>
      <c r="B13" t="s">
        <v>52</v>
      </c>
      <c r="C13" t="s">
        <v>30</v>
      </c>
      <c r="D13" t="s">
        <v>156</v>
      </c>
      <c r="E13" t="s">
        <v>26</v>
      </c>
      <c r="F13" t="s">
        <v>53</v>
      </c>
      <c r="G13" t="s">
        <v>54</v>
      </c>
      <c r="H13" s="3">
        <v>124197.55</v>
      </c>
      <c r="I13" s="4">
        <v>3</v>
      </c>
      <c r="J13" s="3">
        <v>20228.66</v>
      </c>
      <c r="K13" t="str">
        <f t="shared" si="0"/>
        <v>January</v>
      </c>
      <c r="L13">
        <f t="shared" si="1"/>
        <v>2023</v>
      </c>
    </row>
    <row r="14" spans="1:12" x14ac:dyDescent="0.3">
      <c r="A14" s="2">
        <v>44943</v>
      </c>
      <c r="B14" t="s">
        <v>55</v>
      </c>
      <c r="C14" t="s">
        <v>56</v>
      </c>
      <c r="D14" t="s">
        <v>156</v>
      </c>
      <c r="E14" t="s">
        <v>13</v>
      </c>
      <c r="F14" t="s">
        <v>14</v>
      </c>
      <c r="G14" t="s">
        <v>57</v>
      </c>
      <c r="H14" s="3">
        <v>1669.71</v>
      </c>
      <c r="I14" s="4">
        <v>1</v>
      </c>
      <c r="J14" s="3">
        <v>111.15</v>
      </c>
      <c r="K14" t="str">
        <f t="shared" si="0"/>
        <v>January</v>
      </c>
      <c r="L14">
        <f t="shared" si="1"/>
        <v>2023</v>
      </c>
    </row>
    <row r="15" spans="1:12" x14ac:dyDescent="0.3">
      <c r="A15" s="2">
        <v>44944</v>
      </c>
      <c r="B15" t="s">
        <v>11</v>
      </c>
      <c r="C15" t="s">
        <v>12</v>
      </c>
      <c r="D15" t="s">
        <v>156</v>
      </c>
      <c r="E15" t="s">
        <v>42</v>
      </c>
      <c r="F15" t="s">
        <v>43</v>
      </c>
      <c r="G15" t="s">
        <v>44</v>
      </c>
      <c r="H15" s="3">
        <v>53023.03</v>
      </c>
      <c r="I15" s="4">
        <v>4</v>
      </c>
      <c r="J15" s="3">
        <v>8448.32</v>
      </c>
      <c r="K15" t="str">
        <f t="shared" si="0"/>
        <v>January</v>
      </c>
      <c r="L15">
        <f t="shared" si="1"/>
        <v>2023</v>
      </c>
    </row>
    <row r="16" spans="1:12" x14ac:dyDescent="0.3">
      <c r="A16" s="2">
        <v>44944</v>
      </c>
      <c r="B16" t="s">
        <v>38</v>
      </c>
      <c r="C16" t="s">
        <v>58</v>
      </c>
      <c r="D16" t="s">
        <v>156</v>
      </c>
      <c r="E16" t="s">
        <v>18</v>
      </c>
      <c r="F16" t="s">
        <v>19</v>
      </c>
      <c r="G16" t="s">
        <v>59</v>
      </c>
      <c r="H16" s="3">
        <v>47634.21</v>
      </c>
      <c r="I16" s="4">
        <v>1</v>
      </c>
      <c r="J16" s="3">
        <v>6947.07</v>
      </c>
      <c r="K16" t="str">
        <f t="shared" si="0"/>
        <v>January</v>
      </c>
      <c r="L16">
        <f t="shared" si="1"/>
        <v>2023</v>
      </c>
    </row>
    <row r="17" spans="1:12" x14ac:dyDescent="0.3">
      <c r="A17" s="2">
        <v>44946</v>
      </c>
      <c r="B17" t="s">
        <v>60</v>
      </c>
      <c r="C17" t="s">
        <v>61</v>
      </c>
      <c r="D17" t="s">
        <v>156</v>
      </c>
      <c r="E17" t="s">
        <v>26</v>
      </c>
      <c r="F17" t="s">
        <v>27</v>
      </c>
      <c r="G17" t="s">
        <v>31</v>
      </c>
      <c r="H17" s="3">
        <v>9105.7800000000007</v>
      </c>
      <c r="I17" s="4">
        <v>1</v>
      </c>
      <c r="J17" s="3">
        <v>1375.1</v>
      </c>
      <c r="K17" t="str">
        <f t="shared" si="0"/>
        <v>January</v>
      </c>
      <c r="L17">
        <f t="shared" si="1"/>
        <v>2023</v>
      </c>
    </row>
    <row r="18" spans="1:12" x14ac:dyDescent="0.3">
      <c r="A18" s="2">
        <v>44946</v>
      </c>
      <c r="B18" t="s">
        <v>34</v>
      </c>
      <c r="C18" t="s">
        <v>62</v>
      </c>
      <c r="D18" t="s">
        <v>156</v>
      </c>
      <c r="E18" t="s">
        <v>35</v>
      </c>
      <c r="F18" t="s">
        <v>63</v>
      </c>
      <c r="G18" t="s">
        <v>64</v>
      </c>
      <c r="H18" s="3">
        <v>87806.57</v>
      </c>
      <c r="I18" s="4">
        <v>3</v>
      </c>
      <c r="J18" s="3">
        <v>-5057.9399999999996</v>
      </c>
      <c r="K18" t="str">
        <f t="shared" si="0"/>
        <v>January</v>
      </c>
      <c r="L18">
        <f t="shared" si="1"/>
        <v>2023</v>
      </c>
    </row>
    <row r="19" spans="1:12" x14ac:dyDescent="0.3">
      <c r="A19" s="2">
        <v>44946</v>
      </c>
      <c r="B19" t="s">
        <v>65</v>
      </c>
      <c r="C19" t="s">
        <v>66</v>
      </c>
      <c r="D19" t="s">
        <v>156</v>
      </c>
      <c r="E19" t="s">
        <v>18</v>
      </c>
      <c r="F19" t="s">
        <v>19</v>
      </c>
      <c r="G19" t="s">
        <v>33</v>
      </c>
      <c r="H19" s="3">
        <v>97473.19</v>
      </c>
      <c r="I19" s="4">
        <v>2</v>
      </c>
      <c r="J19" s="3">
        <v>16269.35</v>
      </c>
      <c r="K19" t="str">
        <f t="shared" si="0"/>
        <v>January</v>
      </c>
      <c r="L19">
        <f t="shared" si="1"/>
        <v>2023</v>
      </c>
    </row>
    <row r="20" spans="1:12" x14ac:dyDescent="0.3">
      <c r="A20" s="2">
        <v>44948</v>
      </c>
      <c r="B20" t="s">
        <v>67</v>
      </c>
      <c r="C20" t="s">
        <v>68</v>
      </c>
      <c r="D20" t="s">
        <v>156</v>
      </c>
      <c r="E20" t="s">
        <v>35</v>
      </c>
      <c r="F20" t="s">
        <v>50</v>
      </c>
      <c r="G20" t="s">
        <v>51</v>
      </c>
      <c r="H20" s="3">
        <v>7480.28</v>
      </c>
      <c r="I20" s="4">
        <v>1</v>
      </c>
      <c r="J20" s="3">
        <v>1301.21</v>
      </c>
      <c r="K20" t="str">
        <f t="shared" si="0"/>
        <v>January</v>
      </c>
      <c r="L20">
        <f t="shared" si="1"/>
        <v>2023</v>
      </c>
    </row>
    <row r="21" spans="1:12" x14ac:dyDescent="0.3">
      <c r="A21" s="2">
        <v>44950</v>
      </c>
      <c r="B21" t="s">
        <v>45</v>
      </c>
      <c r="C21" t="s">
        <v>69</v>
      </c>
      <c r="D21" t="s">
        <v>156</v>
      </c>
      <c r="E21" t="s">
        <v>13</v>
      </c>
      <c r="F21" t="s">
        <v>14</v>
      </c>
      <c r="G21" t="s">
        <v>70</v>
      </c>
      <c r="H21" s="3">
        <v>2764.31</v>
      </c>
      <c r="I21" s="4">
        <v>1</v>
      </c>
      <c r="J21" s="3">
        <v>278.74</v>
      </c>
      <c r="K21" t="str">
        <f t="shared" si="0"/>
        <v>January</v>
      </c>
      <c r="L21">
        <f t="shared" si="1"/>
        <v>2023</v>
      </c>
    </row>
    <row r="22" spans="1:12" x14ac:dyDescent="0.3">
      <c r="A22" s="2">
        <v>44950</v>
      </c>
      <c r="B22" t="s">
        <v>71</v>
      </c>
      <c r="C22" t="s">
        <v>39</v>
      </c>
      <c r="D22" t="s">
        <v>156</v>
      </c>
      <c r="E22" t="s">
        <v>18</v>
      </c>
      <c r="F22" t="s">
        <v>19</v>
      </c>
      <c r="G22" t="s">
        <v>72</v>
      </c>
      <c r="H22" s="3">
        <v>119091.43</v>
      </c>
      <c r="I22" s="4">
        <v>2</v>
      </c>
      <c r="J22" s="3">
        <v>10238.49</v>
      </c>
      <c r="K22" t="str">
        <f t="shared" si="0"/>
        <v>January</v>
      </c>
      <c r="L22">
        <f t="shared" si="1"/>
        <v>2023</v>
      </c>
    </row>
    <row r="23" spans="1:12" x14ac:dyDescent="0.3">
      <c r="A23" s="2">
        <v>44950</v>
      </c>
      <c r="B23" t="s">
        <v>52</v>
      </c>
      <c r="C23" t="s">
        <v>49</v>
      </c>
      <c r="D23" t="s">
        <v>156</v>
      </c>
      <c r="E23" t="s">
        <v>35</v>
      </c>
      <c r="F23" t="s">
        <v>63</v>
      </c>
      <c r="G23" t="s">
        <v>64</v>
      </c>
      <c r="H23" s="3">
        <v>60302.62</v>
      </c>
      <c r="I23" s="4">
        <v>2</v>
      </c>
      <c r="J23" s="3">
        <v>8912.1</v>
      </c>
      <c r="K23" t="str">
        <f t="shared" si="0"/>
        <v>January</v>
      </c>
      <c r="L23">
        <f t="shared" si="1"/>
        <v>2023</v>
      </c>
    </row>
    <row r="24" spans="1:12" x14ac:dyDescent="0.3">
      <c r="A24" s="2">
        <v>44951</v>
      </c>
      <c r="B24" t="s">
        <v>73</v>
      </c>
      <c r="C24" t="s">
        <v>22</v>
      </c>
      <c r="D24" t="s">
        <v>156</v>
      </c>
      <c r="E24" t="s">
        <v>18</v>
      </c>
      <c r="F24" t="s">
        <v>19</v>
      </c>
      <c r="G24" t="s">
        <v>59</v>
      </c>
      <c r="H24" s="3">
        <v>148092.17000000001</v>
      </c>
      <c r="I24" s="4">
        <v>3</v>
      </c>
      <c r="J24" s="3">
        <v>15777.92</v>
      </c>
      <c r="K24" t="str">
        <f t="shared" si="0"/>
        <v>January</v>
      </c>
      <c r="L24">
        <f t="shared" si="1"/>
        <v>2023</v>
      </c>
    </row>
    <row r="25" spans="1:12" x14ac:dyDescent="0.3">
      <c r="A25" s="2">
        <v>44952</v>
      </c>
      <c r="B25" t="s">
        <v>74</v>
      </c>
      <c r="C25" t="s">
        <v>62</v>
      </c>
      <c r="D25" t="s">
        <v>156</v>
      </c>
      <c r="E25" t="s">
        <v>18</v>
      </c>
      <c r="F25" t="s">
        <v>40</v>
      </c>
      <c r="G25" t="s">
        <v>41</v>
      </c>
      <c r="H25" s="3">
        <v>16069.64</v>
      </c>
      <c r="I25" s="4">
        <v>1</v>
      </c>
      <c r="J25" s="3">
        <v>1926.71</v>
      </c>
      <c r="K25" t="str">
        <f t="shared" si="0"/>
        <v>January</v>
      </c>
      <c r="L25">
        <f t="shared" si="1"/>
        <v>2023</v>
      </c>
    </row>
    <row r="26" spans="1:12" x14ac:dyDescent="0.3">
      <c r="A26" s="2">
        <v>44953</v>
      </c>
      <c r="B26" t="s">
        <v>45</v>
      </c>
      <c r="C26" t="s">
        <v>58</v>
      </c>
      <c r="D26" t="s">
        <v>156</v>
      </c>
      <c r="E26" t="s">
        <v>35</v>
      </c>
      <c r="F26" t="s">
        <v>75</v>
      </c>
      <c r="G26" t="s">
        <v>76</v>
      </c>
      <c r="H26" s="3">
        <v>42853.43</v>
      </c>
      <c r="I26" s="4">
        <v>1</v>
      </c>
      <c r="J26" s="3">
        <v>3824.12</v>
      </c>
      <c r="K26" t="str">
        <f t="shared" si="0"/>
        <v>January</v>
      </c>
      <c r="L26">
        <f t="shared" si="1"/>
        <v>2023</v>
      </c>
    </row>
    <row r="27" spans="1:12" x14ac:dyDescent="0.3">
      <c r="A27" s="2">
        <v>44954</v>
      </c>
      <c r="B27" t="s">
        <v>25</v>
      </c>
      <c r="C27" t="s">
        <v>56</v>
      </c>
      <c r="D27" t="s">
        <v>156</v>
      </c>
      <c r="E27" t="s">
        <v>13</v>
      </c>
      <c r="F27" t="s">
        <v>23</v>
      </c>
      <c r="G27" t="s">
        <v>77</v>
      </c>
      <c r="H27" s="3">
        <v>36507.81</v>
      </c>
      <c r="I27" s="4">
        <v>1</v>
      </c>
      <c r="J27" s="3">
        <v>2706.14</v>
      </c>
      <c r="K27" t="str">
        <f t="shared" si="0"/>
        <v>January</v>
      </c>
      <c r="L27">
        <f t="shared" si="1"/>
        <v>2023</v>
      </c>
    </row>
    <row r="28" spans="1:12" x14ac:dyDescent="0.3">
      <c r="A28" s="2">
        <v>44955</v>
      </c>
      <c r="B28" t="s">
        <v>78</v>
      </c>
      <c r="C28" t="s">
        <v>68</v>
      </c>
      <c r="D28" t="s">
        <v>156</v>
      </c>
      <c r="E28" t="s">
        <v>13</v>
      </c>
      <c r="F28" t="s">
        <v>23</v>
      </c>
      <c r="G28" t="s">
        <v>79</v>
      </c>
      <c r="H28" s="3">
        <v>68422.039999999994</v>
      </c>
      <c r="I28" s="4">
        <v>1</v>
      </c>
      <c r="J28" s="3">
        <v>9229.65</v>
      </c>
      <c r="K28" t="str">
        <f t="shared" si="0"/>
        <v>January</v>
      </c>
      <c r="L28">
        <f t="shared" si="1"/>
        <v>2023</v>
      </c>
    </row>
    <row r="29" spans="1:12" x14ac:dyDescent="0.3">
      <c r="A29" s="2">
        <v>44955</v>
      </c>
      <c r="B29" t="s">
        <v>80</v>
      </c>
      <c r="C29" t="s">
        <v>81</v>
      </c>
      <c r="D29" t="s">
        <v>156</v>
      </c>
      <c r="E29" t="s">
        <v>26</v>
      </c>
      <c r="F29" t="s">
        <v>27</v>
      </c>
      <c r="G29" t="s">
        <v>82</v>
      </c>
      <c r="H29" s="3">
        <v>126428.28</v>
      </c>
      <c r="I29" s="4">
        <v>4</v>
      </c>
      <c r="J29" s="3">
        <v>22423.07</v>
      </c>
      <c r="K29" t="str">
        <f t="shared" si="0"/>
        <v>January</v>
      </c>
      <c r="L29">
        <f t="shared" si="1"/>
        <v>2023</v>
      </c>
    </row>
    <row r="30" spans="1:12" x14ac:dyDescent="0.3">
      <c r="A30" s="2">
        <v>44956</v>
      </c>
      <c r="B30" t="s">
        <v>73</v>
      </c>
      <c r="C30" t="s">
        <v>56</v>
      </c>
      <c r="D30" t="s">
        <v>156</v>
      </c>
      <c r="E30" t="s">
        <v>18</v>
      </c>
      <c r="F30" t="s">
        <v>19</v>
      </c>
      <c r="G30" t="s">
        <v>20</v>
      </c>
      <c r="H30" s="3">
        <v>185536.14</v>
      </c>
      <c r="I30" s="4">
        <v>3</v>
      </c>
      <c r="J30" s="3">
        <v>29087.58</v>
      </c>
      <c r="K30" t="str">
        <f t="shared" si="0"/>
        <v>January</v>
      </c>
      <c r="L30">
        <f t="shared" si="1"/>
        <v>2023</v>
      </c>
    </row>
    <row r="31" spans="1:12" x14ac:dyDescent="0.3">
      <c r="A31" s="2">
        <v>44957</v>
      </c>
      <c r="B31" t="s">
        <v>83</v>
      </c>
      <c r="C31" t="s">
        <v>12</v>
      </c>
      <c r="D31" t="s">
        <v>156</v>
      </c>
      <c r="E31" t="s">
        <v>35</v>
      </c>
      <c r="F31" t="s">
        <v>36</v>
      </c>
      <c r="G31" t="s">
        <v>84</v>
      </c>
      <c r="H31" s="3">
        <v>61644.09</v>
      </c>
      <c r="I31" s="4">
        <v>2</v>
      </c>
      <c r="J31" s="3">
        <v>6444.73</v>
      </c>
      <c r="K31" t="str">
        <f t="shared" si="0"/>
        <v>January</v>
      </c>
      <c r="L31">
        <f t="shared" si="1"/>
        <v>2023</v>
      </c>
    </row>
    <row r="32" spans="1:12" x14ac:dyDescent="0.3">
      <c r="A32" s="2">
        <v>44958</v>
      </c>
      <c r="B32" t="s">
        <v>71</v>
      </c>
      <c r="C32" t="s">
        <v>49</v>
      </c>
      <c r="D32" t="s">
        <v>156</v>
      </c>
      <c r="E32" t="s">
        <v>18</v>
      </c>
      <c r="F32" t="s">
        <v>19</v>
      </c>
      <c r="G32" t="s">
        <v>33</v>
      </c>
      <c r="H32" s="3">
        <v>167546.62</v>
      </c>
      <c r="I32" s="4">
        <v>3</v>
      </c>
      <c r="J32" s="3">
        <v>-4892.18</v>
      </c>
      <c r="K32" t="str">
        <f t="shared" si="0"/>
        <v>February</v>
      </c>
      <c r="L32">
        <f t="shared" si="1"/>
        <v>2023</v>
      </c>
    </row>
    <row r="33" spans="1:12" x14ac:dyDescent="0.3">
      <c r="A33" s="2">
        <v>44959</v>
      </c>
      <c r="B33" t="s">
        <v>32</v>
      </c>
      <c r="C33" t="s">
        <v>12</v>
      </c>
      <c r="D33" t="s">
        <v>156</v>
      </c>
      <c r="E33" t="s">
        <v>13</v>
      </c>
      <c r="F33" t="s">
        <v>23</v>
      </c>
      <c r="G33" t="s">
        <v>85</v>
      </c>
      <c r="H33" s="3">
        <v>44078.46</v>
      </c>
      <c r="I33" s="4">
        <v>1</v>
      </c>
      <c r="J33" s="3">
        <v>2896.85</v>
      </c>
      <c r="K33" t="str">
        <f t="shared" si="0"/>
        <v>February</v>
      </c>
      <c r="L33">
        <f t="shared" si="1"/>
        <v>2023</v>
      </c>
    </row>
    <row r="34" spans="1:12" x14ac:dyDescent="0.3">
      <c r="A34" s="2">
        <v>44959</v>
      </c>
      <c r="B34" t="s">
        <v>86</v>
      </c>
      <c r="C34" t="s">
        <v>17</v>
      </c>
      <c r="D34" t="s">
        <v>156</v>
      </c>
      <c r="E34" t="s">
        <v>42</v>
      </c>
      <c r="F34" t="s">
        <v>43</v>
      </c>
      <c r="G34" t="s">
        <v>87</v>
      </c>
      <c r="H34" s="3">
        <v>10439.19</v>
      </c>
      <c r="I34" s="4">
        <v>1</v>
      </c>
      <c r="J34" s="3">
        <v>1826.89</v>
      </c>
      <c r="K34" t="str">
        <f t="shared" si="0"/>
        <v>February</v>
      </c>
      <c r="L34">
        <f t="shared" si="1"/>
        <v>2023</v>
      </c>
    </row>
    <row r="35" spans="1:12" x14ac:dyDescent="0.3">
      <c r="A35" s="2">
        <v>44960</v>
      </c>
      <c r="B35" t="s">
        <v>73</v>
      </c>
      <c r="C35" t="s">
        <v>49</v>
      </c>
      <c r="D35" t="s">
        <v>156</v>
      </c>
      <c r="E35" t="s">
        <v>13</v>
      </c>
      <c r="F35" t="s">
        <v>14</v>
      </c>
      <c r="G35" t="s">
        <v>88</v>
      </c>
      <c r="H35" s="3">
        <v>2658.97</v>
      </c>
      <c r="I35" s="4">
        <v>2</v>
      </c>
      <c r="J35" s="3">
        <v>344.16</v>
      </c>
      <c r="K35" t="str">
        <f t="shared" si="0"/>
        <v>February</v>
      </c>
      <c r="L35">
        <f t="shared" si="1"/>
        <v>2023</v>
      </c>
    </row>
    <row r="36" spans="1:12" x14ac:dyDescent="0.3">
      <c r="A36" s="2">
        <v>44960</v>
      </c>
      <c r="B36" t="s">
        <v>71</v>
      </c>
      <c r="C36" t="s">
        <v>17</v>
      </c>
      <c r="D36" t="s">
        <v>156</v>
      </c>
      <c r="E36" t="s">
        <v>42</v>
      </c>
      <c r="F36" t="s">
        <v>43</v>
      </c>
      <c r="G36" t="s">
        <v>89</v>
      </c>
      <c r="H36" s="3">
        <v>32912.44</v>
      </c>
      <c r="I36" s="4">
        <v>1</v>
      </c>
      <c r="J36" s="3">
        <v>5041.45</v>
      </c>
      <c r="K36" t="str">
        <f t="shared" si="0"/>
        <v>February</v>
      </c>
      <c r="L36">
        <f t="shared" si="1"/>
        <v>2023</v>
      </c>
    </row>
    <row r="37" spans="1:12" x14ac:dyDescent="0.3">
      <c r="A37" s="2">
        <v>44960</v>
      </c>
      <c r="B37" t="s">
        <v>80</v>
      </c>
      <c r="C37" t="s">
        <v>61</v>
      </c>
      <c r="D37" t="s">
        <v>156</v>
      </c>
      <c r="E37" t="s">
        <v>18</v>
      </c>
      <c r="F37" t="s">
        <v>19</v>
      </c>
      <c r="G37" t="s">
        <v>20</v>
      </c>
      <c r="H37" s="3">
        <v>326804.78000000003</v>
      </c>
      <c r="I37" s="4">
        <v>5</v>
      </c>
      <c r="J37" s="3">
        <v>33167.57</v>
      </c>
      <c r="K37" t="str">
        <f t="shared" si="0"/>
        <v>February</v>
      </c>
      <c r="L37">
        <f t="shared" si="1"/>
        <v>2023</v>
      </c>
    </row>
    <row r="38" spans="1:12" x14ac:dyDescent="0.3">
      <c r="A38" s="2">
        <v>44966</v>
      </c>
      <c r="B38" t="s">
        <v>60</v>
      </c>
      <c r="C38" t="s">
        <v>22</v>
      </c>
      <c r="D38" t="s">
        <v>156</v>
      </c>
      <c r="E38" t="s">
        <v>42</v>
      </c>
      <c r="F38" t="s">
        <v>90</v>
      </c>
      <c r="G38" t="s">
        <v>91</v>
      </c>
      <c r="H38" s="3">
        <v>3904.06</v>
      </c>
      <c r="I38" s="4">
        <v>2</v>
      </c>
      <c r="J38" s="3">
        <v>-123.03</v>
      </c>
      <c r="K38" t="str">
        <f t="shared" si="0"/>
        <v>February</v>
      </c>
      <c r="L38">
        <f t="shared" si="1"/>
        <v>2023</v>
      </c>
    </row>
    <row r="39" spans="1:12" x14ac:dyDescent="0.3">
      <c r="A39" s="2">
        <v>44966</v>
      </c>
      <c r="B39" t="s">
        <v>21</v>
      </c>
      <c r="C39" t="s">
        <v>68</v>
      </c>
      <c r="D39" t="s">
        <v>156</v>
      </c>
      <c r="E39" t="s">
        <v>26</v>
      </c>
      <c r="F39" t="s">
        <v>27</v>
      </c>
      <c r="G39" t="s">
        <v>31</v>
      </c>
      <c r="H39" s="3">
        <v>8739.73</v>
      </c>
      <c r="I39" s="4">
        <v>1</v>
      </c>
      <c r="J39" s="3">
        <v>935.4</v>
      </c>
      <c r="K39" t="str">
        <f t="shared" si="0"/>
        <v>February</v>
      </c>
      <c r="L39">
        <f t="shared" si="1"/>
        <v>2023</v>
      </c>
    </row>
    <row r="40" spans="1:12" x14ac:dyDescent="0.3">
      <c r="A40" s="2">
        <v>44968</v>
      </c>
      <c r="B40" t="s">
        <v>92</v>
      </c>
      <c r="C40" t="s">
        <v>61</v>
      </c>
      <c r="D40" t="s">
        <v>156</v>
      </c>
      <c r="E40" t="s">
        <v>13</v>
      </c>
      <c r="F40" t="s">
        <v>23</v>
      </c>
      <c r="G40" t="s">
        <v>85</v>
      </c>
      <c r="H40" s="3">
        <v>44340.69</v>
      </c>
      <c r="I40" s="4">
        <v>1</v>
      </c>
      <c r="J40" s="3">
        <v>5550.79</v>
      </c>
      <c r="K40" t="str">
        <f t="shared" si="0"/>
        <v>February</v>
      </c>
      <c r="L40">
        <f t="shared" si="1"/>
        <v>2023</v>
      </c>
    </row>
    <row r="41" spans="1:12" x14ac:dyDescent="0.3">
      <c r="A41" s="2">
        <v>44969</v>
      </c>
      <c r="B41" t="s">
        <v>92</v>
      </c>
      <c r="C41" t="s">
        <v>39</v>
      </c>
      <c r="D41" t="s">
        <v>156</v>
      </c>
      <c r="E41" t="s">
        <v>18</v>
      </c>
      <c r="F41" t="s">
        <v>19</v>
      </c>
      <c r="G41" t="s">
        <v>33</v>
      </c>
      <c r="H41" s="3">
        <v>52072.14</v>
      </c>
      <c r="I41" s="4">
        <v>1</v>
      </c>
      <c r="J41" s="3">
        <v>8415.24</v>
      </c>
      <c r="K41" t="str">
        <f t="shared" si="0"/>
        <v>February</v>
      </c>
      <c r="L41">
        <f t="shared" si="1"/>
        <v>2023</v>
      </c>
    </row>
    <row r="42" spans="1:12" x14ac:dyDescent="0.3">
      <c r="A42" s="2">
        <v>44969</v>
      </c>
      <c r="B42" t="s">
        <v>93</v>
      </c>
      <c r="C42" t="s">
        <v>81</v>
      </c>
      <c r="D42" t="s">
        <v>156</v>
      </c>
      <c r="E42" t="s">
        <v>26</v>
      </c>
      <c r="F42" t="s">
        <v>27</v>
      </c>
      <c r="G42" t="s">
        <v>31</v>
      </c>
      <c r="H42" s="3">
        <v>8636.75</v>
      </c>
      <c r="I42" s="4">
        <v>1</v>
      </c>
      <c r="J42" s="3">
        <v>1255.8399999999999</v>
      </c>
      <c r="K42" t="str">
        <f t="shared" si="0"/>
        <v>February</v>
      </c>
      <c r="L42">
        <f t="shared" si="1"/>
        <v>2023</v>
      </c>
    </row>
    <row r="43" spans="1:12" x14ac:dyDescent="0.3">
      <c r="A43" s="2">
        <v>44969</v>
      </c>
      <c r="B43" t="s">
        <v>32</v>
      </c>
      <c r="C43" t="s">
        <v>12</v>
      </c>
      <c r="D43" t="s">
        <v>156</v>
      </c>
      <c r="E43" t="s">
        <v>26</v>
      </c>
      <c r="F43" t="s">
        <v>27</v>
      </c>
      <c r="G43" t="s">
        <v>94</v>
      </c>
      <c r="H43" s="3">
        <v>11811.22</v>
      </c>
      <c r="I43" s="4">
        <v>1</v>
      </c>
      <c r="J43" s="3">
        <v>1638.99</v>
      </c>
      <c r="K43" t="str">
        <f t="shared" si="0"/>
        <v>February</v>
      </c>
      <c r="L43">
        <f t="shared" si="1"/>
        <v>2023</v>
      </c>
    </row>
    <row r="44" spans="1:12" x14ac:dyDescent="0.3">
      <c r="A44" s="2">
        <v>44970</v>
      </c>
      <c r="B44" t="s">
        <v>95</v>
      </c>
      <c r="C44" t="s">
        <v>17</v>
      </c>
      <c r="D44" t="s">
        <v>156</v>
      </c>
      <c r="E44" t="s">
        <v>26</v>
      </c>
      <c r="F44" t="s">
        <v>53</v>
      </c>
      <c r="G44" t="s">
        <v>96</v>
      </c>
      <c r="H44" s="3">
        <v>62039.24</v>
      </c>
      <c r="I44" s="4">
        <v>1</v>
      </c>
      <c r="J44" s="3">
        <v>6383.48</v>
      </c>
      <c r="K44" t="str">
        <f t="shared" si="0"/>
        <v>February</v>
      </c>
      <c r="L44">
        <f t="shared" si="1"/>
        <v>2023</v>
      </c>
    </row>
    <row r="45" spans="1:12" x14ac:dyDescent="0.3">
      <c r="A45" s="2">
        <v>44970</v>
      </c>
      <c r="B45" t="s">
        <v>25</v>
      </c>
      <c r="C45" t="s">
        <v>49</v>
      </c>
      <c r="D45" t="s">
        <v>156</v>
      </c>
      <c r="E45" t="s">
        <v>18</v>
      </c>
      <c r="F45" t="s">
        <v>19</v>
      </c>
      <c r="G45" t="s">
        <v>33</v>
      </c>
      <c r="H45" s="3">
        <v>170433.26</v>
      </c>
      <c r="I45" s="4">
        <v>3</v>
      </c>
      <c r="J45" s="3">
        <v>26073.18</v>
      </c>
      <c r="K45" t="str">
        <f t="shared" si="0"/>
        <v>February</v>
      </c>
      <c r="L45">
        <f t="shared" si="1"/>
        <v>2023</v>
      </c>
    </row>
    <row r="46" spans="1:12" x14ac:dyDescent="0.3">
      <c r="A46" s="2">
        <v>44970</v>
      </c>
      <c r="B46" t="s">
        <v>21</v>
      </c>
      <c r="C46" t="s">
        <v>66</v>
      </c>
      <c r="D46" t="s">
        <v>156</v>
      </c>
      <c r="E46" t="s">
        <v>42</v>
      </c>
      <c r="F46" t="s">
        <v>90</v>
      </c>
      <c r="G46" t="s">
        <v>97</v>
      </c>
      <c r="H46" s="3">
        <v>2120.41</v>
      </c>
      <c r="I46" s="4">
        <v>1</v>
      </c>
      <c r="J46" s="3">
        <v>331.62</v>
      </c>
      <c r="K46" t="str">
        <f t="shared" si="0"/>
        <v>February</v>
      </c>
      <c r="L46">
        <f t="shared" si="1"/>
        <v>2023</v>
      </c>
    </row>
    <row r="47" spans="1:12" x14ac:dyDescent="0.3">
      <c r="A47" s="2">
        <v>44971</v>
      </c>
      <c r="B47" t="s">
        <v>32</v>
      </c>
      <c r="C47" t="s">
        <v>46</v>
      </c>
      <c r="D47" t="s">
        <v>156</v>
      </c>
      <c r="E47" t="s">
        <v>18</v>
      </c>
      <c r="F47" t="s">
        <v>19</v>
      </c>
      <c r="G47" t="s">
        <v>20</v>
      </c>
      <c r="H47" s="3">
        <v>61061.04</v>
      </c>
      <c r="I47" s="4">
        <v>1</v>
      </c>
      <c r="J47" s="3">
        <v>9124.9</v>
      </c>
      <c r="K47" t="str">
        <f t="shared" si="0"/>
        <v>February</v>
      </c>
      <c r="L47">
        <f t="shared" si="1"/>
        <v>2023</v>
      </c>
    </row>
    <row r="48" spans="1:12" x14ac:dyDescent="0.3">
      <c r="A48" s="2">
        <v>44971</v>
      </c>
      <c r="B48" t="s">
        <v>32</v>
      </c>
      <c r="C48" t="s">
        <v>61</v>
      </c>
      <c r="D48" t="s">
        <v>156</v>
      </c>
      <c r="E48" t="s">
        <v>26</v>
      </c>
      <c r="F48" t="s">
        <v>53</v>
      </c>
      <c r="G48" t="s">
        <v>98</v>
      </c>
      <c r="H48" s="3">
        <v>54094.04</v>
      </c>
      <c r="I48" s="4">
        <v>2</v>
      </c>
      <c r="J48" s="3">
        <v>6903.26</v>
      </c>
      <c r="K48" t="str">
        <f t="shared" si="0"/>
        <v>February</v>
      </c>
      <c r="L48">
        <f t="shared" si="1"/>
        <v>2023</v>
      </c>
    </row>
    <row r="49" spans="1:12" x14ac:dyDescent="0.3">
      <c r="A49" s="2">
        <v>44973</v>
      </c>
      <c r="B49" t="s">
        <v>74</v>
      </c>
      <c r="C49" t="s">
        <v>81</v>
      </c>
      <c r="D49" t="s">
        <v>156</v>
      </c>
      <c r="E49" t="s">
        <v>42</v>
      </c>
      <c r="F49" t="s">
        <v>90</v>
      </c>
      <c r="G49" t="s">
        <v>91</v>
      </c>
      <c r="H49" s="3">
        <v>3458.01</v>
      </c>
      <c r="I49" s="4">
        <v>2</v>
      </c>
      <c r="J49" s="3">
        <v>611.49</v>
      </c>
      <c r="K49" t="str">
        <f t="shared" si="0"/>
        <v>February</v>
      </c>
      <c r="L49">
        <f t="shared" si="1"/>
        <v>2023</v>
      </c>
    </row>
    <row r="50" spans="1:12" x14ac:dyDescent="0.3">
      <c r="A50" s="2">
        <v>44974</v>
      </c>
      <c r="B50" t="s">
        <v>74</v>
      </c>
      <c r="C50" t="s">
        <v>68</v>
      </c>
      <c r="D50" t="s">
        <v>156</v>
      </c>
      <c r="E50" t="s">
        <v>26</v>
      </c>
      <c r="F50" t="s">
        <v>27</v>
      </c>
      <c r="G50" t="s">
        <v>28</v>
      </c>
      <c r="H50" s="3">
        <v>70687.05</v>
      </c>
      <c r="I50" s="4">
        <v>3</v>
      </c>
      <c r="J50" s="3">
        <v>7472.88</v>
      </c>
      <c r="K50" t="str">
        <f t="shared" si="0"/>
        <v>February</v>
      </c>
      <c r="L50">
        <f t="shared" si="1"/>
        <v>2023</v>
      </c>
    </row>
    <row r="51" spans="1:12" x14ac:dyDescent="0.3">
      <c r="A51" s="2">
        <v>44974</v>
      </c>
      <c r="B51" t="s">
        <v>21</v>
      </c>
      <c r="C51" t="s">
        <v>12</v>
      </c>
      <c r="D51" t="s">
        <v>156</v>
      </c>
      <c r="E51" t="s">
        <v>35</v>
      </c>
      <c r="F51" t="s">
        <v>36</v>
      </c>
      <c r="G51" t="s">
        <v>37</v>
      </c>
      <c r="H51" s="3">
        <v>25566.6</v>
      </c>
      <c r="I51" s="4">
        <v>1</v>
      </c>
      <c r="J51" s="3">
        <v>3491.58</v>
      </c>
      <c r="K51" t="str">
        <f t="shared" si="0"/>
        <v>February</v>
      </c>
      <c r="L51">
        <f t="shared" si="1"/>
        <v>2023</v>
      </c>
    </row>
    <row r="52" spans="1:12" x14ac:dyDescent="0.3">
      <c r="A52" s="2">
        <v>44975</v>
      </c>
      <c r="B52" t="s">
        <v>16</v>
      </c>
      <c r="C52" t="s">
        <v>81</v>
      </c>
      <c r="D52" t="s">
        <v>156</v>
      </c>
      <c r="E52" t="s">
        <v>35</v>
      </c>
      <c r="F52" t="s">
        <v>36</v>
      </c>
      <c r="G52" t="s">
        <v>99</v>
      </c>
      <c r="H52" s="3">
        <v>175453.44</v>
      </c>
      <c r="I52" s="4">
        <v>5</v>
      </c>
      <c r="J52" s="3">
        <v>30232.17</v>
      </c>
      <c r="K52" t="str">
        <f t="shared" si="0"/>
        <v>February</v>
      </c>
      <c r="L52">
        <f t="shared" si="1"/>
        <v>2023</v>
      </c>
    </row>
    <row r="53" spans="1:12" x14ac:dyDescent="0.3">
      <c r="A53" s="2">
        <v>44975</v>
      </c>
      <c r="B53" t="s">
        <v>60</v>
      </c>
      <c r="C53" t="s">
        <v>62</v>
      </c>
      <c r="D53" t="s">
        <v>156</v>
      </c>
      <c r="E53" t="s">
        <v>26</v>
      </c>
      <c r="F53" t="s">
        <v>53</v>
      </c>
      <c r="G53" t="s">
        <v>100</v>
      </c>
      <c r="H53" s="3">
        <v>190508.87</v>
      </c>
      <c r="I53" s="4">
        <v>2</v>
      </c>
      <c r="J53" s="3">
        <v>34218.33</v>
      </c>
      <c r="K53" t="str">
        <f t="shared" si="0"/>
        <v>February</v>
      </c>
      <c r="L53">
        <f t="shared" si="1"/>
        <v>2023</v>
      </c>
    </row>
    <row r="54" spans="1:12" x14ac:dyDescent="0.3">
      <c r="A54" s="2">
        <v>44976</v>
      </c>
      <c r="B54" t="s">
        <v>52</v>
      </c>
      <c r="C54" t="s">
        <v>39</v>
      </c>
      <c r="D54" t="s">
        <v>156</v>
      </c>
      <c r="E54" t="s">
        <v>13</v>
      </c>
      <c r="F54" t="s">
        <v>23</v>
      </c>
      <c r="G54" t="s">
        <v>79</v>
      </c>
      <c r="H54" s="3">
        <v>175981.84</v>
      </c>
      <c r="I54" s="4">
        <v>3</v>
      </c>
      <c r="J54" s="3">
        <v>16253.77</v>
      </c>
      <c r="K54" t="str">
        <f t="shared" si="0"/>
        <v>February</v>
      </c>
      <c r="L54">
        <f t="shared" si="1"/>
        <v>2023</v>
      </c>
    </row>
    <row r="55" spans="1:12" x14ac:dyDescent="0.3">
      <c r="A55" s="2">
        <v>44977</v>
      </c>
      <c r="B55" t="s">
        <v>101</v>
      </c>
      <c r="C55" t="s">
        <v>17</v>
      </c>
      <c r="D55" t="s">
        <v>156</v>
      </c>
      <c r="E55" t="s">
        <v>35</v>
      </c>
      <c r="F55" t="s">
        <v>50</v>
      </c>
      <c r="G55" t="s">
        <v>51</v>
      </c>
      <c r="H55" s="3">
        <v>34052.71</v>
      </c>
      <c r="I55" s="4">
        <v>4</v>
      </c>
      <c r="J55" s="3">
        <v>4700.8500000000004</v>
      </c>
      <c r="K55" t="str">
        <f t="shared" si="0"/>
        <v>February</v>
      </c>
      <c r="L55">
        <f t="shared" si="1"/>
        <v>2023</v>
      </c>
    </row>
    <row r="56" spans="1:12" x14ac:dyDescent="0.3">
      <c r="A56" s="2">
        <v>44977</v>
      </c>
      <c r="B56" t="s">
        <v>93</v>
      </c>
      <c r="C56" t="s">
        <v>61</v>
      </c>
      <c r="D56" t="s">
        <v>156</v>
      </c>
      <c r="E56" t="s">
        <v>18</v>
      </c>
      <c r="F56" t="s">
        <v>40</v>
      </c>
      <c r="G56" t="s">
        <v>102</v>
      </c>
      <c r="H56" s="3">
        <v>1495.24</v>
      </c>
      <c r="I56" s="4">
        <v>1</v>
      </c>
      <c r="J56" s="3">
        <v>223</v>
      </c>
      <c r="K56" t="str">
        <f t="shared" si="0"/>
        <v>February</v>
      </c>
      <c r="L56">
        <f t="shared" si="1"/>
        <v>2023</v>
      </c>
    </row>
    <row r="57" spans="1:12" x14ac:dyDescent="0.3">
      <c r="A57" s="2">
        <v>44978</v>
      </c>
      <c r="B57" t="s">
        <v>29</v>
      </c>
      <c r="C57" t="s">
        <v>58</v>
      </c>
      <c r="D57" t="s">
        <v>156</v>
      </c>
      <c r="E57" t="s">
        <v>42</v>
      </c>
      <c r="F57" t="s">
        <v>90</v>
      </c>
      <c r="G57" t="s">
        <v>91</v>
      </c>
      <c r="H57" s="3">
        <v>1825.04</v>
      </c>
      <c r="I57" s="4">
        <v>1</v>
      </c>
      <c r="J57" s="3">
        <v>405.79</v>
      </c>
      <c r="K57" t="str">
        <f t="shared" si="0"/>
        <v>February</v>
      </c>
      <c r="L57">
        <f t="shared" si="1"/>
        <v>2023</v>
      </c>
    </row>
    <row r="58" spans="1:12" x14ac:dyDescent="0.3">
      <c r="A58" s="2">
        <v>44978</v>
      </c>
      <c r="B58" t="s">
        <v>93</v>
      </c>
      <c r="C58" t="s">
        <v>58</v>
      </c>
      <c r="D58" t="s">
        <v>156</v>
      </c>
      <c r="E58" t="s">
        <v>13</v>
      </c>
      <c r="F58" t="s">
        <v>23</v>
      </c>
      <c r="G58" t="s">
        <v>77</v>
      </c>
      <c r="H58" s="3">
        <v>71979.520000000004</v>
      </c>
      <c r="I58" s="4">
        <v>2</v>
      </c>
      <c r="J58" s="3">
        <v>5247.5</v>
      </c>
      <c r="K58" t="str">
        <f t="shared" si="0"/>
        <v>February</v>
      </c>
      <c r="L58">
        <f t="shared" si="1"/>
        <v>2023</v>
      </c>
    </row>
    <row r="59" spans="1:12" x14ac:dyDescent="0.3">
      <c r="A59" s="2">
        <v>44979</v>
      </c>
      <c r="B59" t="s">
        <v>38</v>
      </c>
      <c r="C59" t="s">
        <v>46</v>
      </c>
      <c r="D59" t="s">
        <v>156</v>
      </c>
      <c r="E59" t="s">
        <v>26</v>
      </c>
      <c r="F59" t="s">
        <v>27</v>
      </c>
      <c r="G59" t="s">
        <v>94</v>
      </c>
      <c r="H59" s="3">
        <v>48450.33</v>
      </c>
      <c r="I59" s="4">
        <v>4</v>
      </c>
      <c r="J59" s="3">
        <v>6699.16</v>
      </c>
      <c r="K59" t="str">
        <f t="shared" si="0"/>
        <v>February</v>
      </c>
      <c r="L59">
        <f t="shared" si="1"/>
        <v>2023</v>
      </c>
    </row>
    <row r="60" spans="1:12" x14ac:dyDescent="0.3">
      <c r="A60" s="2">
        <v>44979</v>
      </c>
      <c r="B60" t="s">
        <v>103</v>
      </c>
      <c r="C60" t="s">
        <v>46</v>
      </c>
      <c r="D60" t="s">
        <v>156</v>
      </c>
      <c r="E60" t="s">
        <v>26</v>
      </c>
      <c r="F60" t="s">
        <v>53</v>
      </c>
      <c r="G60" t="s">
        <v>104</v>
      </c>
      <c r="H60" s="3">
        <v>70905.41</v>
      </c>
      <c r="I60" s="4">
        <v>1</v>
      </c>
      <c r="J60" s="3">
        <v>11358.3</v>
      </c>
      <c r="K60" t="str">
        <f t="shared" si="0"/>
        <v>February</v>
      </c>
      <c r="L60">
        <f t="shared" si="1"/>
        <v>2023</v>
      </c>
    </row>
    <row r="61" spans="1:12" x14ac:dyDescent="0.3">
      <c r="A61" s="2">
        <v>44980</v>
      </c>
      <c r="B61" t="s">
        <v>34</v>
      </c>
      <c r="C61" t="s">
        <v>22</v>
      </c>
      <c r="D61" t="s">
        <v>156</v>
      </c>
      <c r="E61" t="s">
        <v>18</v>
      </c>
      <c r="F61" t="s">
        <v>19</v>
      </c>
      <c r="G61" t="s">
        <v>33</v>
      </c>
      <c r="H61" s="3">
        <v>50894.58</v>
      </c>
      <c r="I61" s="4">
        <v>1</v>
      </c>
      <c r="J61" s="3">
        <v>8252.75</v>
      </c>
      <c r="K61" t="str">
        <f t="shared" si="0"/>
        <v>February</v>
      </c>
      <c r="L61">
        <f t="shared" si="1"/>
        <v>2023</v>
      </c>
    </row>
    <row r="62" spans="1:12" x14ac:dyDescent="0.3">
      <c r="A62" s="2">
        <v>44982</v>
      </c>
      <c r="B62" t="s">
        <v>92</v>
      </c>
      <c r="C62" t="s">
        <v>22</v>
      </c>
      <c r="D62" t="s">
        <v>156</v>
      </c>
      <c r="E62" t="s">
        <v>18</v>
      </c>
      <c r="F62" t="s">
        <v>40</v>
      </c>
      <c r="G62" t="s">
        <v>105</v>
      </c>
      <c r="H62" s="3">
        <v>2052.8000000000002</v>
      </c>
      <c r="I62" s="4">
        <v>1</v>
      </c>
      <c r="J62" s="3">
        <v>-55.62</v>
      </c>
      <c r="K62" t="str">
        <f t="shared" si="0"/>
        <v>February</v>
      </c>
      <c r="L62">
        <f t="shared" si="1"/>
        <v>2023</v>
      </c>
    </row>
    <row r="63" spans="1:12" x14ac:dyDescent="0.3">
      <c r="A63" s="2">
        <v>44983</v>
      </c>
      <c r="B63" t="s">
        <v>38</v>
      </c>
      <c r="C63" t="s">
        <v>22</v>
      </c>
      <c r="D63" t="s">
        <v>156</v>
      </c>
      <c r="E63" t="s">
        <v>18</v>
      </c>
      <c r="F63" t="s">
        <v>19</v>
      </c>
      <c r="G63" t="s">
        <v>106</v>
      </c>
      <c r="H63" s="3">
        <v>380848.33</v>
      </c>
      <c r="I63" s="4">
        <v>4</v>
      </c>
      <c r="J63" s="3">
        <v>30787.88</v>
      </c>
      <c r="K63" t="str">
        <f t="shared" si="0"/>
        <v>February</v>
      </c>
      <c r="L63">
        <f t="shared" si="1"/>
        <v>2023</v>
      </c>
    </row>
    <row r="64" spans="1:12" x14ac:dyDescent="0.3">
      <c r="A64" s="2">
        <v>44983</v>
      </c>
      <c r="B64" t="s">
        <v>60</v>
      </c>
      <c r="C64" t="s">
        <v>30</v>
      </c>
      <c r="D64" t="s">
        <v>156</v>
      </c>
      <c r="E64" t="s">
        <v>18</v>
      </c>
      <c r="F64" t="s">
        <v>19</v>
      </c>
      <c r="G64" t="s">
        <v>59</v>
      </c>
      <c r="H64" s="3">
        <v>90298.46</v>
      </c>
      <c r="I64" s="4">
        <v>2</v>
      </c>
      <c r="J64" s="3">
        <v>12433.31</v>
      </c>
      <c r="K64" t="str">
        <f t="shared" si="0"/>
        <v>February</v>
      </c>
      <c r="L64">
        <f t="shared" si="1"/>
        <v>2023</v>
      </c>
    </row>
    <row r="65" spans="1:12" x14ac:dyDescent="0.3">
      <c r="A65" s="2">
        <v>44983</v>
      </c>
      <c r="B65" t="s">
        <v>11</v>
      </c>
      <c r="C65" t="s">
        <v>49</v>
      </c>
      <c r="D65" t="s">
        <v>156</v>
      </c>
      <c r="E65" t="s">
        <v>18</v>
      </c>
      <c r="F65" t="s">
        <v>40</v>
      </c>
      <c r="G65" t="s">
        <v>41</v>
      </c>
      <c r="H65" s="3">
        <v>34998.42</v>
      </c>
      <c r="I65" s="4">
        <v>2</v>
      </c>
      <c r="J65" s="3">
        <v>-740.39</v>
      </c>
      <c r="K65" t="str">
        <f t="shared" si="0"/>
        <v>February</v>
      </c>
      <c r="L65">
        <f t="shared" si="1"/>
        <v>2023</v>
      </c>
    </row>
    <row r="66" spans="1:12" x14ac:dyDescent="0.3">
      <c r="A66" s="2">
        <v>44983</v>
      </c>
      <c r="B66" t="s">
        <v>92</v>
      </c>
      <c r="C66" t="s">
        <v>66</v>
      </c>
      <c r="D66" t="s">
        <v>156</v>
      </c>
      <c r="E66" t="s">
        <v>26</v>
      </c>
      <c r="F66" t="s">
        <v>27</v>
      </c>
      <c r="G66" t="s">
        <v>82</v>
      </c>
      <c r="H66" s="3">
        <v>33729.89</v>
      </c>
      <c r="I66" s="4">
        <v>1</v>
      </c>
      <c r="J66" s="3">
        <v>3729</v>
      </c>
      <c r="K66" t="str">
        <f t="shared" si="0"/>
        <v>February</v>
      </c>
      <c r="L66">
        <f t="shared" si="1"/>
        <v>2023</v>
      </c>
    </row>
    <row r="67" spans="1:12" x14ac:dyDescent="0.3">
      <c r="A67" s="2">
        <v>44986</v>
      </c>
      <c r="B67" t="s">
        <v>32</v>
      </c>
      <c r="C67" t="s">
        <v>81</v>
      </c>
      <c r="D67" t="s">
        <v>156</v>
      </c>
      <c r="E67" t="s">
        <v>26</v>
      </c>
      <c r="F67" t="s">
        <v>53</v>
      </c>
      <c r="G67" t="s">
        <v>100</v>
      </c>
      <c r="H67" s="3">
        <v>99080.02</v>
      </c>
      <c r="I67" s="4">
        <v>1</v>
      </c>
      <c r="J67" s="3">
        <v>11497</v>
      </c>
      <c r="K67" t="str">
        <f t="shared" ref="K67:K130" si="2">TEXT(A67,"mmmm")</f>
        <v>March</v>
      </c>
      <c r="L67">
        <f t="shared" ref="L67:L130" si="3">YEAR(A67)</f>
        <v>2023</v>
      </c>
    </row>
    <row r="68" spans="1:12" x14ac:dyDescent="0.3">
      <c r="A68" s="2">
        <v>44987</v>
      </c>
      <c r="B68" t="s">
        <v>74</v>
      </c>
      <c r="C68" t="s">
        <v>49</v>
      </c>
      <c r="D68" t="s">
        <v>156</v>
      </c>
      <c r="E68" t="s">
        <v>35</v>
      </c>
      <c r="F68" t="s">
        <v>75</v>
      </c>
      <c r="G68" t="s">
        <v>107</v>
      </c>
      <c r="H68" s="3">
        <v>33990.769999999997</v>
      </c>
      <c r="I68" s="4">
        <v>1</v>
      </c>
      <c r="J68" s="3">
        <v>5071.3599999999997</v>
      </c>
      <c r="K68" t="str">
        <f t="shared" si="2"/>
        <v>March</v>
      </c>
      <c r="L68">
        <f t="shared" si="3"/>
        <v>2023</v>
      </c>
    </row>
    <row r="69" spans="1:12" x14ac:dyDescent="0.3">
      <c r="A69" s="2">
        <v>44987</v>
      </c>
      <c r="B69" t="s">
        <v>78</v>
      </c>
      <c r="C69" t="s">
        <v>12</v>
      </c>
      <c r="D69" t="s">
        <v>156</v>
      </c>
      <c r="E69" t="s">
        <v>26</v>
      </c>
      <c r="F69" t="s">
        <v>53</v>
      </c>
      <c r="G69" t="s">
        <v>104</v>
      </c>
      <c r="H69" s="3">
        <v>224820.38</v>
      </c>
      <c r="I69" s="4">
        <v>3</v>
      </c>
      <c r="J69" s="3">
        <v>19959.439999999999</v>
      </c>
      <c r="K69" t="str">
        <f t="shared" si="2"/>
        <v>March</v>
      </c>
      <c r="L69">
        <f t="shared" si="3"/>
        <v>2023</v>
      </c>
    </row>
    <row r="70" spans="1:12" x14ac:dyDescent="0.3">
      <c r="A70" s="2">
        <v>44987</v>
      </c>
      <c r="B70" t="s">
        <v>38</v>
      </c>
      <c r="C70" t="s">
        <v>69</v>
      </c>
      <c r="D70" t="s">
        <v>156</v>
      </c>
      <c r="E70" t="s">
        <v>13</v>
      </c>
      <c r="F70" t="s">
        <v>23</v>
      </c>
      <c r="G70" t="s">
        <v>108</v>
      </c>
      <c r="H70" s="3">
        <v>99001.58</v>
      </c>
      <c r="I70" s="4">
        <v>2</v>
      </c>
      <c r="J70" s="3">
        <v>9349.41</v>
      </c>
      <c r="K70" t="str">
        <f t="shared" si="2"/>
        <v>March</v>
      </c>
      <c r="L70">
        <f t="shared" si="3"/>
        <v>2023</v>
      </c>
    </row>
    <row r="71" spans="1:12" x14ac:dyDescent="0.3">
      <c r="A71" s="2">
        <v>44987</v>
      </c>
      <c r="B71" t="s">
        <v>67</v>
      </c>
      <c r="C71" t="s">
        <v>61</v>
      </c>
      <c r="D71" t="s">
        <v>156</v>
      </c>
      <c r="E71" t="s">
        <v>13</v>
      </c>
      <c r="F71" t="s">
        <v>23</v>
      </c>
      <c r="G71" t="s">
        <v>79</v>
      </c>
      <c r="H71" s="3">
        <v>64846.43</v>
      </c>
      <c r="I71" s="4">
        <v>1</v>
      </c>
      <c r="J71" s="3">
        <v>8398.49</v>
      </c>
      <c r="K71" t="str">
        <f t="shared" si="2"/>
        <v>March</v>
      </c>
      <c r="L71">
        <f t="shared" si="3"/>
        <v>2023</v>
      </c>
    </row>
    <row r="72" spans="1:12" x14ac:dyDescent="0.3">
      <c r="A72" s="2">
        <v>44987</v>
      </c>
      <c r="B72" t="s">
        <v>52</v>
      </c>
      <c r="C72" t="s">
        <v>22</v>
      </c>
      <c r="D72" t="s">
        <v>156</v>
      </c>
      <c r="E72" t="s">
        <v>35</v>
      </c>
      <c r="F72" t="s">
        <v>63</v>
      </c>
      <c r="G72" t="s">
        <v>64</v>
      </c>
      <c r="H72" s="3">
        <v>26541.9</v>
      </c>
      <c r="I72" s="4">
        <v>1</v>
      </c>
      <c r="J72" s="3">
        <v>3951.57</v>
      </c>
      <c r="K72" t="str">
        <f t="shared" si="2"/>
        <v>March</v>
      </c>
      <c r="L72">
        <f t="shared" si="3"/>
        <v>2023</v>
      </c>
    </row>
    <row r="73" spans="1:12" x14ac:dyDescent="0.3">
      <c r="A73" s="2">
        <v>44988</v>
      </c>
      <c r="B73" t="s">
        <v>73</v>
      </c>
      <c r="C73" t="s">
        <v>61</v>
      </c>
      <c r="D73" t="s">
        <v>156</v>
      </c>
      <c r="E73" t="s">
        <v>42</v>
      </c>
      <c r="F73" t="s">
        <v>90</v>
      </c>
      <c r="G73" t="s">
        <v>97</v>
      </c>
      <c r="H73" s="3">
        <v>9978.58</v>
      </c>
      <c r="I73" s="4">
        <v>4</v>
      </c>
      <c r="J73" s="3">
        <v>2129.9899999999998</v>
      </c>
      <c r="K73" t="str">
        <f t="shared" si="2"/>
        <v>March</v>
      </c>
      <c r="L73">
        <f t="shared" si="3"/>
        <v>2023</v>
      </c>
    </row>
    <row r="74" spans="1:12" x14ac:dyDescent="0.3">
      <c r="A74" s="2">
        <v>44990</v>
      </c>
      <c r="B74" t="s">
        <v>55</v>
      </c>
      <c r="C74" t="s">
        <v>56</v>
      </c>
      <c r="D74" t="s">
        <v>156</v>
      </c>
      <c r="E74" t="s">
        <v>42</v>
      </c>
      <c r="F74" t="s">
        <v>43</v>
      </c>
      <c r="G74" t="s">
        <v>87</v>
      </c>
      <c r="H74" s="3">
        <v>11489.29</v>
      </c>
      <c r="I74" s="4">
        <v>1</v>
      </c>
      <c r="J74" s="3">
        <v>2186.67</v>
      </c>
      <c r="K74" t="str">
        <f t="shared" si="2"/>
        <v>March</v>
      </c>
      <c r="L74">
        <f t="shared" si="3"/>
        <v>2023</v>
      </c>
    </row>
    <row r="75" spans="1:12" x14ac:dyDescent="0.3">
      <c r="A75" s="2">
        <v>44991</v>
      </c>
      <c r="B75" t="s">
        <v>103</v>
      </c>
      <c r="C75" t="s">
        <v>30</v>
      </c>
      <c r="D75" t="s">
        <v>156</v>
      </c>
      <c r="E75" t="s">
        <v>35</v>
      </c>
      <c r="F75" t="s">
        <v>36</v>
      </c>
      <c r="G75" t="s">
        <v>37</v>
      </c>
      <c r="H75" s="3">
        <v>25641.21</v>
      </c>
      <c r="I75" s="4">
        <v>1</v>
      </c>
      <c r="J75" s="3">
        <v>3246.99</v>
      </c>
      <c r="K75" t="str">
        <f t="shared" si="2"/>
        <v>March</v>
      </c>
      <c r="L75">
        <f t="shared" si="3"/>
        <v>2023</v>
      </c>
    </row>
    <row r="76" spans="1:12" x14ac:dyDescent="0.3">
      <c r="A76" s="2">
        <v>44991</v>
      </c>
      <c r="B76" t="s">
        <v>109</v>
      </c>
      <c r="C76" t="s">
        <v>22</v>
      </c>
      <c r="D76" t="s">
        <v>156</v>
      </c>
      <c r="E76" t="s">
        <v>13</v>
      </c>
      <c r="F76" t="s">
        <v>14</v>
      </c>
      <c r="G76" t="s">
        <v>57</v>
      </c>
      <c r="H76" s="3">
        <v>1677.13</v>
      </c>
      <c r="I76" s="4">
        <v>1</v>
      </c>
      <c r="J76" s="3">
        <v>-82.12</v>
      </c>
      <c r="K76" t="str">
        <f t="shared" si="2"/>
        <v>March</v>
      </c>
      <c r="L76">
        <f t="shared" si="3"/>
        <v>2023</v>
      </c>
    </row>
    <row r="77" spans="1:12" x14ac:dyDescent="0.3">
      <c r="A77" s="2">
        <v>44993</v>
      </c>
      <c r="B77" t="s">
        <v>34</v>
      </c>
      <c r="C77" t="s">
        <v>61</v>
      </c>
      <c r="D77" t="s">
        <v>156</v>
      </c>
      <c r="E77" t="s">
        <v>35</v>
      </c>
      <c r="F77" t="s">
        <v>75</v>
      </c>
      <c r="G77" t="s">
        <v>110</v>
      </c>
      <c r="H77" s="3">
        <v>49298.17</v>
      </c>
      <c r="I77" s="4">
        <v>1</v>
      </c>
      <c r="J77" s="3">
        <v>4758.43</v>
      </c>
      <c r="K77" t="str">
        <f t="shared" si="2"/>
        <v>March</v>
      </c>
      <c r="L77">
        <f t="shared" si="3"/>
        <v>2023</v>
      </c>
    </row>
    <row r="78" spans="1:12" x14ac:dyDescent="0.3">
      <c r="A78" s="2">
        <v>44993</v>
      </c>
      <c r="B78" t="s">
        <v>67</v>
      </c>
      <c r="C78" t="s">
        <v>12</v>
      </c>
      <c r="D78" t="s">
        <v>156</v>
      </c>
      <c r="E78" t="s">
        <v>18</v>
      </c>
      <c r="F78" t="s">
        <v>19</v>
      </c>
      <c r="G78" t="s">
        <v>59</v>
      </c>
      <c r="H78" s="3">
        <v>161484.26999999999</v>
      </c>
      <c r="I78" s="4">
        <v>3</v>
      </c>
      <c r="J78" s="3">
        <v>24414.63</v>
      </c>
      <c r="K78" t="str">
        <f t="shared" si="2"/>
        <v>March</v>
      </c>
      <c r="L78">
        <f t="shared" si="3"/>
        <v>2023</v>
      </c>
    </row>
    <row r="79" spans="1:12" x14ac:dyDescent="0.3">
      <c r="A79" s="2">
        <v>44993</v>
      </c>
      <c r="B79" t="s">
        <v>11</v>
      </c>
      <c r="C79" t="s">
        <v>12</v>
      </c>
      <c r="D79" t="s">
        <v>156</v>
      </c>
      <c r="E79" t="s">
        <v>13</v>
      </c>
      <c r="F79" t="s">
        <v>23</v>
      </c>
      <c r="G79" t="s">
        <v>77</v>
      </c>
      <c r="H79" s="3">
        <v>182578.38</v>
      </c>
      <c r="I79" s="4">
        <v>5</v>
      </c>
      <c r="J79" s="3">
        <v>11744.24</v>
      </c>
      <c r="K79" t="str">
        <f t="shared" si="2"/>
        <v>March</v>
      </c>
      <c r="L79">
        <f t="shared" si="3"/>
        <v>2023</v>
      </c>
    </row>
    <row r="80" spans="1:12" x14ac:dyDescent="0.3">
      <c r="A80" s="2">
        <v>44994</v>
      </c>
      <c r="B80" t="s">
        <v>32</v>
      </c>
      <c r="C80" t="s">
        <v>22</v>
      </c>
      <c r="D80" t="s">
        <v>156</v>
      </c>
      <c r="E80" t="s">
        <v>18</v>
      </c>
      <c r="F80" t="s">
        <v>19</v>
      </c>
      <c r="G80" t="s">
        <v>33</v>
      </c>
      <c r="H80" s="3">
        <v>102004.82</v>
      </c>
      <c r="I80" s="4">
        <v>2</v>
      </c>
      <c r="J80" s="3">
        <v>14410.34</v>
      </c>
      <c r="K80" t="str">
        <f t="shared" si="2"/>
        <v>March</v>
      </c>
      <c r="L80">
        <f t="shared" si="3"/>
        <v>2023</v>
      </c>
    </row>
    <row r="81" spans="1:12" x14ac:dyDescent="0.3">
      <c r="A81" s="2">
        <v>44995</v>
      </c>
      <c r="B81" t="s">
        <v>48</v>
      </c>
      <c r="C81" t="s">
        <v>62</v>
      </c>
      <c r="D81" t="s">
        <v>156</v>
      </c>
      <c r="E81" t="s">
        <v>13</v>
      </c>
      <c r="F81" t="s">
        <v>23</v>
      </c>
      <c r="G81" t="s">
        <v>79</v>
      </c>
      <c r="H81" s="3">
        <v>257359.13</v>
      </c>
      <c r="I81" s="4">
        <v>4</v>
      </c>
      <c r="J81" s="3">
        <v>22424.32</v>
      </c>
      <c r="K81" t="str">
        <f t="shared" si="2"/>
        <v>March</v>
      </c>
      <c r="L81">
        <f t="shared" si="3"/>
        <v>2023</v>
      </c>
    </row>
    <row r="82" spans="1:12" x14ac:dyDescent="0.3">
      <c r="A82" s="2">
        <v>44996</v>
      </c>
      <c r="B82" t="s">
        <v>74</v>
      </c>
      <c r="C82" t="s">
        <v>69</v>
      </c>
      <c r="D82" t="s">
        <v>156</v>
      </c>
      <c r="E82" t="s">
        <v>13</v>
      </c>
      <c r="F82" t="s">
        <v>14</v>
      </c>
      <c r="G82" t="s">
        <v>111</v>
      </c>
      <c r="H82" s="3">
        <v>1827.91</v>
      </c>
      <c r="I82" s="4">
        <v>1</v>
      </c>
      <c r="J82" s="3">
        <v>165.06</v>
      </c>
      <c r="K82" t="str">
        <f t="shared" si="2"/>
        <v>March</v>
      </c>
      <c r="L82">
        <f t="shared" si="3"/>
        <v>2023</v>
      </c>
    </row>
    <row r="83" spans="1:12" x14ac:dyDescent="0.3">
      <c r="A83" s="2">
        <v>44997</v>
      </c>
      <c r="B83" t="s">
        <v>34</v>
      </c>
      <c r="C83" t="s">
        <v>62</v>
      </c>
      <c r="D83" t="s">
        <v>156</v>
      </c>
      <c r="E83" t="s">
        <v>18</v>
      </c>
      <c r="F83" t="s">
        <v>19</v>
      </c>
      <c r="G83" t="s">
        <v>20</v>
      </c>
      <c r="H83" s="3">
        <v>296717.2</v>
      </c>
      <c r="I83" s="4">
        <v>5</v>
      </c>
      <c r="J83" s="3">
        <v>34961.68</v>
      </c>
      <c r="K83" t="str">
        <f t="shared" si="2"/>
        <v>March</v>
      </c>
      <c r="L83">
        <f t="shared" si="3"/>
        <v>2023</v>
      </c>
    </row>
    <row r="84" spans="1:12" x14ac:dyDescent="0.3">
      <c r="A84" s="2">
        <v>44997</v>
      </c>
      <c r="B84" t="s">
        <v>65</v>
      </c>
      <c r="C84" t="s">
        <v>22</v>
      </c>
      <c r="D84" t="s">
        <v>156</v>
      </c>
      <c r="E84" t="s">
        <v>35</v>
      </c>
      <c r="F84" t="s">
        <v>63</v>
      </c>
      <c r="G84" t="s">
        <v>112</v>
      </c>
      <c r="H84" s="3">
        <v>164524.76999999999</v>
      </c>
      <c r="I84" s="4">
        <v>5</v>
      </c>
      <c r="J84" s="3">
        <v>25691.48</v>
      </c>
      <c r="K84" t="str">
        <f t="shared" si="2"/>
        <v>March</v>
      </c>
      <c r="L84">
        <f t="shared" si="3"/>
        <v>2023</v>
      </c>
    </row>
    <row r="85" spans="1:12" x14ac:dyDescent="0.3">
      <c r="A85" s="2">
        <v>44998</v>
      </c>
      <c r="B85" t="s">
        <v>80</v>
      </c>
      <c r="C85" t="s">
        <v>46</v>
      </c>
      <c r="D85" t="s">
        <v>156</v>
      </c>
      <c r="E85" t="s">
        <v>42</v>
      </c>
      <c r="F85" t="s">
        <v>90</v>
      </c>
      <c r="G85" t="s">
        <v>91</v>
      </c>
      <c r="H85" s="3">
        <v>7349.71</v>
      </c>
      <c r="I85" s="4">
        <v>4</v>
      </c>
      <c r="J85" s="3">
        <v>1711.52</v>
      </c>
      <c r="K85" t="str">
        <f t="shared" si="2"/>
        <v>March</v>
      </c>
      <c r="L85">
        <f t="shared" si="3"/>
        <v>2023</v>
      </c>
    </row>
    <row r="86" spans="1:12" x14ac:dyDescent="0.3">
      <c r="A86" s="2">
        <v>44998</v>
      </c>
      <c r="B86" t="s">
        <v>113</v>
      </c>
      <c r="C86" t="s">
        <v>30</v>
      </c>
      <c r="D86" t="s">
        <v>156</v>
      </c>
      <c r="E86" t="s">
        <v>42</v>
      </c>
      <c r="F86" t="s">
        <v>43</v>
      </c>
      <c r="G86" t="s">
        <v>89</v>
      </c>
      <c r="H86" s="3">
        <v>31855.38</v>
      </c>
      <c r="I86" s="4">
        <v>1</v>
      </c>
      <c r="J86" s="3">
        <v>-402.92</v>
      </c>
      <c r="K86" t="str">
        <f t="shared" si="2"/>
        <v>March</v>
      </c>
      <c r="L86">
        <f t="shared" si="3"/>
        <v>2023</v>
      </c>
    </row>
    <row r="87" spans="1:12" x14ac:dyDescent="0.3">
      <c r="A87" s="2">
        <v>44999</v>
      </c>
      <c r="B87" t="s">
        <v>95</v>
      </c>
      <c r="C87" t="s">
        <v>69</v>
      </c>
      <c r="D87" t="s">
        <v>156</v>
      </c>
      <c r="E87" t="s">
        <v>42</v>
      </c>
      <c r="F87" t="s">
        <v>90</v>
      </c>
      <c r="G87" t="s">
        <v>97</v>
      </c>
      <c r="H87" s="3">
        <v>4797.95</v>
      </c>
      <c r="I87" s="4">
        <v>2</v>
      </c>
      <c r="J87" s="3">
        <v>838.92</v>
      </c>
      <c r="K87" t="str">
        <f t="shared" si="2"/>
        <v>March</v>
      </c>
      <c r="L87">
        <f t="shared" si="3"/>
        <v>2023</v>
      </c>
    </row>
    <row r="88" spans="1:12" x14ac:dyDescent="0.3">
      <c r="A88" s="2">
        <v>44999</v>
      </c>
      <c r="B88" t="s">
        <v>73</v>
      </c>
      <c r="C88" t="s">
        <v>30</v>
      </c>
      <c r="D88" t="s">
        <v>156</v>
      </c>
      <c r="E88" t="s">
        <v>35</v>
      </c>
      <c r="F88" t="s">
        <v>63</v>
      </c>
      <c r="G88" t="s">
        <v>114</v>
      </c>
      <c r="H88" s="3">
        <v>29291.119999999999</v>
      </c>
      <c r="I88" s="4">
        <v>1</v>
      </c>
      <c r="J88" s="3">
        <v>4885.75</v>
      </c>
      <c r="K88" t="str">
        <f t="shared" si="2"/>
        <v>March</v>
      </c>
      <c r="L88">
        <f t="shared" si="3"/>
        <v>2023</v>
      </c>
    </row>
    <row r="89" spans="1:12" x14ac:dyDescent="0.3">
      <c r="A89" s="2">
        <v>44999</v>
      </c>
      <c r="B89" t="s">
        <v>34</v>
      </c>
      <c r="C89" t="s">
        <v>30</v>
      </c>
      <c r="D89" t="s">
        <v>156</v>
      </c>
      <c r="E89" t="s">
        <v>18</v>
      </c>
      <c r="F89" t="s">
        <v>19</v>
      </c>
      <c r="G89" t="s">
        <v>106</v>
      </c>
      <c r="H89" s="3">
        <v>191030.33</v>
      </c>
      <c r="I89" s="4">
        <v>2</v>
      </c>
      <c r="J89" s="3">
        <v>14977.67</v>
      </c>
      <c r="K89" t="str">
        <f t="shared" si="2"/>
        <v>March</v>
      </c>
      <c r="L89">
        <f t="shared" si="3"/>
        <v>2023</v>
      </c>
    </row>
    <row r="90" spans="1:12" x14ac:dyDescent="0.3">
      <c r="A90" s="2">
        <v>45000</v>
      </c>
      <c r="B90" t="s">
        <v>101</v>
      </c>
      <c r="C90" t="s">
        <v>62</v>
      </c>
      <c r="D90" t="s">
        <v>156</v>
      </c>
      <c r="E90" t="s">
        <v>42</v>
      </c>
      <c r="F90" t="s">
        <v>90</v>
      </c>
      <c r="G90" t="s">
        <v>97</v>
      </c>
      <c r="H90" s="3">
        <v>2360.34</v>
      </c>
      <c r="I90" s="4">
        <v>1</v>
      </c>
      <c r="J90" s="3">
        <v>533.1</v>
      </c>
      <c r="K90" t="str">
        <f t="shared" si="2"/>
        <v>March</v>
      </c>
      <c r="L90">
        <f t="shared" si="3"/>
        <v>2023</v>
      </c>
    </row>
    <row r="91" spans="1:12" x14ac:dyDescent="0.3">
      <c r="A91" s="2">
        <v>45000</v>
      </c>
      <c r="B91" t="s">
        <v>78</v>
      </c>
      <c r="C91" t="s">
        <v>17</v>
      </c>
      <c r="D91" t="s">
        <v>156</v>
      </c>
      <c r="E91" t="s">
        <v>13</v>
      </c>
      <c r="F91" t="s">
        <v>23</v>
      </c>
      <c r="G91" t="s">
        <v>77</v>
      </c>
      <c r="H91" s="3">
        <v>141635.35999999999</v>
      </c>
      <c r="I91" s="4">
        <v>4</v>
      </c>
      <c r="J91" s="3">
        <v>19844.53</v>
      </c>
      <c r="K91" t="str">
        <f t="shared" si="2"/>
        <v>March</v>
      </c>
      <c r="L91">
        <f t="shared" si="3"/>
        <v>2023</v>
      </c>
    </row>
    <row r="92" spans="1:12" x14ac:dyDescent="0.3">
      <c r="A92" s="2">
        <v>45002</v>
      </c>
      <c r="B92" t="s">
        <v>29</v>
      </c>
      <c r="C92" t="s">
        <v>62</v>
      </c>
      <c r="D92" t="s">
        <v>156</v>
      </c>
      <c r="E92" t="s">
        <v>42</v>
      </c>
      <c r="F92" t="s">
        <v>90</v>
      </c>
      <c r="G92" t="s">
        <v>91</v>
      </c>
      <c r="H92" s="3">
        <v>5287.15</v>
      </c>
      <c r="I92" s="4">
        <v>3</v>
      </c>
      <c r="J92" s="3">
        <v>791.49</v>
      </c>
      <c r="K92" t="str">
        <f t="shared" si="2"/>
        <v>March</v>
      </c>
      <c r="L92">
        <f t="shared" si="3"/>
        <v>2023</v>
      </c>
    </row>
    <row r="93" spans="1:12" x14ac:dyDescent="0.3">
      <c r="A93" s="2">
        <v>45003</v>
      </c>
      <c r="B93" t="s">
        <v>21</v>
      </c>
      <c r="C93" t="s">
        <v>61</v>
      </c>
      <c r="D93" t="s">
        <v>156</v>
      </c>
      <c r="E93" t="s">
        <v>26</v>
      </c>
      <c r="F93" t="s">
        <v>27</v>
      </c>
      <c r="G93" t="s">
        <v>28</v>
      </c>
      <c r="H93" s="3">
        <v>73711.08</v>
      </c>
      <c r="I93" s="4">
        <v>3</v>
      </c>
      <c r="J93" s="3">
        <v>11192.75</v>
      </c>
      <c r="K93" t="str">
        <f t="shared" si="2"/>
        <v>March</v>
      </c>
      <c r="L93">
        <f t="shared" si="3"/>
        <v>2023</v>
      </c>
    </row>
    <row r="94" spans="1:12" x14ac:dyDescent="0.3">
      <c r="A94" s="2">
        <v>45005</v>
      </c>
      <c r="B94" t="s">
        <v>32</v>
      </c>
      <c r="C94" t="s">
        <v>39</v>
      </c>
      <c r="D94" t="s">
        <v>156</v>
      </c>
      <c r="E94" t="s">
        <v>42</v>
      </c>
      <c r="F94" t="s">
        <v>43</v>
      </c>
      <c r="G94" t="s">
        <v>44</v>
      </c>
      <c r="H94" s="3">
        <v>13496.8</v>
      </c>
      <c r="I94" s="4">
        <v>1</v>
      </c>
      <c r="J94" s="3">
        <v>1780.41</v>
      </c>
      <c r="K94" t="str">
        <f t="shared" si="2"/>
        <v>March</v>
      </c>
      <c r="L94">
        <f t="shared" si="3"/>
        <v>2023</v>
      </c>
    </row>
    <row r="95" spans="1:12" x14ac:dyDescent="0.3">
      <c r="A95" s="2">
        <v>45006</v>
      </c>
      <c r="B95" t="s">
        <v>48</v>
      </c>
      <c r="C95" t="s">
        <v>22</v>
      </c>
      <c r="D95" t="s">
        <v>156</v>
      </c>
      <c r="E95" t="s">
        <v>18</v>
      </c>
      <c r="F95" t="s">
        <v>19</v>
      </c>
      <c r="G95" t="s">
        <v>72</v>
      </c>
      <c r="H95" s="3">
        <v>108435.78</v>
      </c>
      <c r="I95" s="4">
        <v>2</v>
      </c>
      <c r="J95" s="3">
        <v>-7288.73</v>
      </c>
      <c r="K95" t="str">
        <f t="shared" si="2"/>
        <v>March</v>
      </c>
      <c r="L95">
        <f t="shared" si="3"/>
        <v>2023</v>
      </c>
    </row>
    <row r="96" spans="1:12" x14ac:dyDescent="0.3">
      <c r="A96" s="2">
        <v>45006</v>
      </c>
      <c r="B96" t="s">
        <v>25</v>
      </c>
      <c r="C96" t="s">
        <v>46</v>
      </c>
      <c r="D96" t="s">
        <v>156</v>
      </c>
      <c r="E96" t="s">
        <v>26</v>
      </c>
      <c r="F96" t="s">
        <v>27</v>
      </c>
      <c r="G96" t="s">
        <v>94</v>
      </c>
      <c r="H96" s="3">
        <v>22145.48</v>
      </c>
      <c r="I96" s="4">
        <v>2</v>
      </c>
      <c r="J96" s="3">
        <v>2700.06</v>
      </c>
      <c r="K96" t="str">
        <f t="shared" si="2"/>
        <v>March</v>
      </c>
      <c r="L96">
        <f t="shared" si="3"/>
        <v>2023</v>
      </c>
    </row>
    <row r="97" spans="1:12" x14ac:dyDescent="0.3">
      <c r="A97" s="2">
        <v>45007</v>
      </c>
      <c r="B97" t="s">
        <v>65</v>
      </c>
      <c r="C97" t="s">
        <v>30</v>
      </c>
      <c r="D97" t="s">
        <v>156</v>
      </c>
      <c r="E97" t="s">
        <v>18</v>
      </c>
      <c r="F97" t="s">
        <v>40</v>
      </c>
      <c r="G97" t="s">
        <v>115</v>
      </c>
      <c r="H97" s="3">
        <v>20908.240000000002</v>
      </c>
      <c r="I97" s="4">
        <v>2</v>
      </c>
      <c r="J97" s="3">
        <v>2085.4899999999998</v>
      </c>
      <c r="K97" t="str">
        <f t="shared" si="2"/>
        <v>March</v>
      </c>
      <c r="L97">
        <f t="shared" si="3"/>
        <v>2023</v>
      </c>
    </row>
    <row r="98" spans="1:12" x14ac:dyDescent="0.3">
      <c r="A98" s="2">
        <v>45008</v>
      </c>
      <c r="B98" t="s">
        <v>116</v>
      </c>
      <c r="C98" t="s">
        <v>62</v>
      </c>
      <c r="D98" t="s">
        <v>156</v>
      </c>
      <c r="E98" t="s">
        <v>26</v>
      </c>
      <c r="F98" t="s">
        <v>53</v>
      </c>
      <c r="G98" t="s">
        <v>96</v>
      </c>
      <c r="H98" s="3">
        <v>62936.480000000003</v>
      </c>
      <c r="I98" s="4">
        <v>1</v>
      </c>
      <c r="J98" s="3">
        <v>10540.05</v>
      </c>
      <c r="K98" t="str">
        <f t="shared" si="2"/>
        <v>March</v>
      </c>
      <c r="L98">
        <f t="shared" si="3"/>
        <v>2023</v>
      </c>
    </row>
    <row r="99" spans="1:12" x14ac:dyDescent="0.3">
      <c r="A99" s="2">
        <v>45008</v>
      </c>
      <c r="B99" t="s">
        <v>116</v>
      </c>
      <c r="C99" t="s">
        <v>68</v>
      </c>
      <c r="D99" t="s">
        <v>156</v>
      </c>
      <c r="E99" t="s">
        <v>18</v>
      </c>
      <c r="F99" t="s">
        <v>40</v>
      </c>
      <c r="G99" t="s">
        <v>105</v>
      </c>
      <c r="H99" s="3">
        <v>2066.31</v>
      </c>
      <c r="I99" s="4">
        <v>1</v>
      </c>
      <c r="J99" s="3">
        <v>317.38</v>
      </c>
      <c r="K99" t="str">
        <f t="shared" si="2"/>
        <v>March</v>
      </c>
      <c r="L99">
        <f t="shared" si="3"/>
        <v>2023</v>
      </c>
    </row>
    <row r="100" spans="1:12" x14ac:dyDescent="0.3">
      <c r="A100" s="2">
        <v>45008</v>
      </c>
      <c r="B100" t="s">
        <v>11</v>
      </c>
      <c r="C100" t="s">
        <v>22</v>
      </c>
      <c r="D100" t="s">
        <v>156</v>
      </c>
      <c r="E100" t="s">
        <v>42</v>
      </c>
      <c r="F100" t="s">
        <v>43</v>
      </c>
      <c r="G100" t="s">
        <v>89</v>
      </c>
      <c r="H100" s="3">
        <v>60603.360000000001</v>
      </c>
      <c r="I100" s="4">
        <v>2</v>
      </c>
      <c r="J100" s="3">
        <v>6216.21</v>
      </c>
      <c r="K100" t="str">
        <f t="shared" si="2"/>
        <v>March</v>
      </c>
      <c r="L100">
        <f t="shared" si="3"/>
        <v>2023</v>
      </c>
    </row>
    <row r="101" spans="1:12" x14ac:dyDescent="0.3">
      <c r="A101" s="2">
        <v>45008</v>
      </c>
      <c r="B101" t="s">
        <v>80</v>
      </c>
      <c r="C101" t="s">
        <v>49</v>
      </c>
      <c r="D101" t="s">
        <v>156</v>
      </c>
      <c r="E101" t="s">
        <v>35</v>
      </c>
      <c r="F101" t="s">
        <v>75</v>
      </c>
      <c r="G101" t="s">
        <v>76</v>
      </c>
      <c r="H101" s="3">
        <v>39055.050000000003</v>
      </c>
      <c r="I101" s="4">
        <v>1</v>
      </c>
      <c r="J101" s="3">
        <v>4730.6400000000003</v>
      </c>
      <c r="K101" t="str">
        <f t="shared" si="2"/>
        <v>March</v>
      </c>
      <c r="L101">
        <f t="shared" si="3"/>
        <v>2023</v>
      </c>
    </row>
    <row r="102" spans="1:12" x14ac:dyDescent="0.3">
      <c r="A102" s="2">
        <v>45008</v>
      </c>
      <c r="B102" t="s">
        <v>73</v>
      </c>
      <c r="C102" t="s">
        <v>39</v>
      </c>
      <c r="D102" t="s">
        <v>156</v>
      </c>
      <c r="E102" t="s">
        <v>35</v>
      </c>
      <c r="F102" t="s">
        <v>50</v>
      </c>
      <c r="G102" t="s">
        <v>51</v>
      </c>
      <c r="H102" s="3">
        <v>30727.3</v>
      </c>
      <c r="I102" s="4">
        <v>4</v>
      </c>
      <c r="J102" s="3">
        <v>4774.2299999999996</v>
      </c>
      <c r="K102" t="str">
        <f t="shared" si="2"/>
        <v>March</v>
      </c>
      <c r="L102">
        <f t="shared" si="3"/>
        <v>2023</v>
      </c>
    </row>
    <row r="103" spans="1:12" x14ac:dyDescent="0.3">
      <c r="A103" s="2">
        <v>45009</v>
      </c>
      <c r="B103" t="s">
        <v>103</v>
      </c>
      <c r="C103" t="s">
        <v>56</v>
      </c>
      <c r="D103" t="s">
        <v>156</v>
      </c>
      <c r="E103" t="s">
        <v>18</v>
      </c>
      <c r="F103" t="s">
        <v>19</v>
      </c>
      <c r="G103" t="s">
        <v>72</v>
      </c>
      <c r="H103" s="3">
        <v>107322.93</v>
      </c>
      <c r="I103" s="4">
        <v>2</v>
      </c>
      <c r="J103" s="3">
        <v>-3318.3</v>
      </c>
      <c r="K103" t="str">
        <f t="shared" si="2"/>
        <v>March</v>
      </c>
      <c r="L103">
        <f t="shared" si="3"/>
        <v>2023</v>
      </c>
    </row>
    <row r="104" spans="1:12" x14ac:dyDescent="0.3">
      <c r="A104" s="2">
        <v>45009</v>
      </c>
      <c r="B104" t="s">
        <v>55</v>
      </c>
      <c r="C104" t="s">
        <v>68</v>
      </c>
      <c r="D104" t="s">
        <v>156</v>
      </c>
      <c r="E104" t="s">
        <v>35</v>
      </c>
      <c r="F104" t="s">
        <v>75</v>
      </c>
      <c r="G104" t="s">
        <v>76</v>
      </c>
      <c r="H104" s="3">
        <v>43378.52</v>
      </c>
      <c r="I104" s="4">
        <v>1</v>
      </c>
      <c r="J104" s="3">
        <v>5965.21</v>
      </c>
      <c r="K104" t="str">
        <f t="shared" si="2"/>
        <v>March</v>
      </c>
      <c r="L104">
        <f t="shared" si="3"/>
        <v>2023</v>
      </c>
    </row>
    <row r="105" spans="1:12" x14ac:dyDescent="0.3">
      <c r="A105" s="2">
        <v>45009</v>
      </c>
      <c r="B105" t="s">
        <v>83</v>
      </c>
      <c r="C105" t="s">
        <v>22</v>
      </c>
      <c r="D105" t="s">
        <v>156</v>
      </c>
      <c r="E105" t="s">
        <v>26</v>
      </c>
      <c r="F105" t="s">
        <v>53</v>
      </c>
      <c r="G105" t="s">
        <v>54</v>
      </c>
      <c r="H105" s="3">
        <v>40905.629999999997</v>
      </c>
      <c r="I105" s="4">
        <v>1</v>
      </c>
      <c r="J105" s="3">
        <v>5634.7</v>
      </c>
      <c r="K105" t="str">
        <f t="shared" si="2"/>
        <v>March</v>
      </c>
      <c r="L105">
        <f t="shared" si="3"/>
        <v>2023</v>
      </c>
    </row>
    <row r="106" spans="1:12" x14ac:dyDescent="0.3">
      <c r="A106" s="2">
        <v>45010</v>
      </c>
      <c r="B106" t="s">
        <v>67</v>
      </c>
      <c r="C106" t="s">
        <v>62</v>
      </c>
      <c r="D106" t="s">
        <v>156</v>
      </c>
      <c r="E106" t="s">
        <v>42</v>
      </c>
      <c r="F106" t="s">
        <v>43</v>
      </c>
      <c r="G106" t="s">
        <v>89</v>
      </c>
      <c r="H106" s="3">
        <v>59325.48</v>
      </c>
      <c r="I106" s="4">
        <v>2</v>
      </c>
      <c r="J106" s="3">
        <v>13132.47</v>
      </c>
      <c r="K106" t="str">
        <f t="shared" si="2"/>
        <v>March</v>
      </c>
      <c r="L106">
        <f t="shared" si="3"/>
        <v>2023</v>
      </c>
    </row>
    <row r="107" spans="1:12" x14ac:dyDescent="0.3">
      <c r="A107" s="2">
        <v>45011</v>
      </c>
      <c r="B107" t="s">
        <v>73</v>
      </c>
      <c r="C107" t="s">
        <v>17</v>
      </c>
      <c r="D107" t="s">
        <v>156</v>
      </c>
      <c r="E107" t="s">
        <v>35</v>
      </c>
      <c r="F107" t="s">
        <v>75</v>
      </c>
      <c r="G107" t="s">
        <v>76</v>
      </c>
      <c r="H107" s="3">
        <v>84453.28</v>
      </c>
      <c r="I107" s="4">
        <v>2</v>
      </c>
      <c r="J107" s="3">
        <v>15366.2</v>
      </c>
      <c r="K107" t="str">
        <f t="shared" si="2"/>
        <v>March</v>
      </c>
      <c r="L107">
        <f t="shared" si="3"/>
        <v>2023</v>
      </c>
    </row>
    <row r="108" spans="1:12" x14ac:dyDescent="0.3">
      <c r="A108" s="2">
        <v>45011</v>
      </c>
      <c r="B108" t="s">
        <v>101</v>
      </c>
      <c r="C108" t="s">
        <v>56</v>
      </c>
      <c r="D108" t="s">
        <v>156</v>
      </c>
      <c r="E108" t="s">
        <v>13</v>
      </c>
      <c r="F108" t="s">
        <v>23</v>
      </c>
      <c r="G108" t="s">
        <v>79</v>
      </c>
      <c r="H108" s="3">
        <v>240795.99</v>
      </c>
      <c r="I108" s="4">
        <v>4</v>
      </c>
      <c r="J108" s="3">
        <v>20183.29</v>
      </c>
      <c r="K108" t="str">
        <f t="shared" si="2"/>
        <v>March</v>
      </c>
      <c r="L108">
        <f t="shared" si="3"/>
        <v>2023</v>
      </c>
    </row>
    <row r="109" spans="1:12" x14ac:dyDescent="0.3">
      <c r="A109" s="2">
        <v>45012</v>
      </c>
      <c r="B109" t="s">
        <v>92</v>
      </c>
      <c r="C109" t="s">
        <v>69</v>
      </c>
      <c r="D109" t="s">
        <v>156</v>
      </c>
      <c r="E109" t="s">
        <v>35</v>
      </c>
      <c r="F109" t="s">
        <v>36</v>
      </c>
      <c r="G109" t="s">
        <v>99</v>
      </c>
      <c r="H109" s="3">
        <v>34014.980000000003</v>
      </c>
      <c r="I109" s="4">
        <v>1</v>
      </c>
      <c r="J109" s="3">
        <v>5788.04</v>
      </c>
      <c r="K109" t="str">
        <f t="shared" si="2"/>
        <v>March</v>
      </c>
      <c r="L109">
        <f t="shared" si="3"/>
        <v>2023</v>
      </c>
    </row>
    <row r="110" spans="1:12" x14ac:dyDescent="0.3">
      <c r="A110" s="2">
        <v>45013</v>
      </c>
      <c r="B110" t="s">
        <v>93</v>
      </c>
      <c r="C110" t="s">
        <v>58</v>
      </c>
      <c r="D110" t="s">
        <v>156</v>
      </c>
      <c r="E110" t="s">
        <v>18</v>
      </c>
      <c r="F110" t="s">
        <v>40</v>
      </c>
      <c r="G110" t="s">
        <v>41</v>
      </c>
      <c r="H110" s="3">
        <v>47935.83</v>
      </c>
      <c r="I110" s="4">
        <v>3</v>
      </c>
      <c r="J110" s="3">
        <v>6109.51</v>
      </c>
      <c r="K110" t="str">
        <f t="shared" si="2"/>
        <v>March</v>
      </c>
      <c r="L110">
        <f t="shared" si="3"/>
        <v>2023</v>
      </c>
    </row>
    <row r="111" spans="1:12" x14ac:dyDescent="0.3">
      <c r="A111" s="2">
        <v>45014</v>
      </c>
      <c r="B111" t="s">
        <v>45</v>
      </c>
      <c r="C111" t="s">
        <v>81</v>
      </c>
      <c r="D111" t="s">
        <v>156</v>
      </c>
      <c r="E111" t="s">
        <v>42</v>
      </c>
      <c r="F111" t="s">
        <v>43</v>
      </c>
      <c r="G111" t="s">
        <v>89</v>
      </c>
      <c r="H111" s="3">
        <v>32126.560000000001</v>
      </c>
      <c r="I111" s="4">
        <v>1</v>
      </c>
      <c r="J111" s="3">
        <v>3421.52</v>
      </c>
      <c r="K111" t="str">
        <f t="shared" si="2"/>
        <v>March</v>
      </c>
      <c r="L111">
        <f t="shared" si="3"/>
        <v>2023</v>
      </c>
    </row>
    <row r="112" spans="1:12" x14ac:dyDescent="0.3">
      <c r="A112" s="2">
        <v>45016</v>
      </c>
      <c r="B112" t="s">
        <v>21</v>
      </c>
      <c r="C112" t="s">
        <v>22</v>
      </c>
      <c r="D112" t="s">
        <v>156</v>
      </c>
      <c r="E112" t="s">
        <v>26</v>
      </c>
      <c r="F112" t="s">
        <v>27</v>
      </c>
      <c r="G112" t="s">
        <v>28</v>
      </c>
      <c r="H112" s="3">
        <v>96948.1</v>
      </c>
      <c r="I112" s="4">
        <v>4</v>
      </c>
      <c r="J112" s="3">
        <v>17026.759999999998</v>
      </c>
      <c r="K112" t="str">
        <f t="shared" si="2"/>
        <v>March</v>
      </c>
      <c r="L112">
        <f t="shared" si="3"/>
        <v>2023</v>
      </c>
    </row>
    <row r="113" spans="1:12" x14ac:dyDescent="0.3">
      <c r="A113" s="2">
        <v>45016</v>
      </c>
      <c r="B113" t="s">
        <v>116</v>
      </c>
      <c r="C113" t="s">
        <v>69</v>
      </c>
      <c r="D113" t="s">
        <v>156</v>
      </c>
      <c r="E113" t="s">
        <v>26</v>
      </c>
      <c r="F113" t="s">
        <v>53</v>
      </c>
      <c r="G113" t="s">
        <v>104</v>
      </c>
      <c r="H113" s="3">
        <v>307380.32</v>
      </c>
      <c r="I113" s="4">
        <v>4</v>
      </c>
      <c r="J113" s="3">
        <v>34311.08</v>
      </c>
      <c r="K113" t="str">
        <f t="shared" si="2"/>
        <v>March</v>
      </c>
      <c r="L113">
        <f t="shared" si="3"/>
        <v>2023</v>
      </c>
    </row>
    <row r="114" spans="1:12" x14ac:dyDescent="0.3">
      <c r="A114" s="2">
        <v>45016</v>
      </c>
      <c r="B114" t="s">
        <v>11</v>
      </c>
      <c r="C114" t="s">
        <v>22</v>
      </c>
      <c r="D114" t="s">
        <v>156</v>
      </c>
      <c r="E114" t="s">
        <v>26</v>
      </c>
      <c r="F114" t="s">
        <v>27</v>
      </c>
      <c r="G114" t="s">
        <v>94</v>
      </c>
      <c r="H114" s="3">
        <v>25685.66</v>
      </c>
      <c r="I114" s="4">
        <v>2</v>
      </c>
      <c r="J114" s="3">
        <v>3921.01</v>
      </c>
      <c r="K114" t="str">
        <f t="shared" si="2"/>
        <v>March</v>
      </c>
      <c r="L114">
        <f t="shared" si="3"/>
        <v>2023</v>
      </c>
    </row>
    <row r="115" spans="1:12" x14ac:dyDescent="0.3">
      <c r="A115" s="2">
        <v>45016</v>
      </c>
      <c r="B115" t="s">
        <v>55</v>
      </c>
      <c r="C115" t="s">
        <v>81</v>
      </c>
      <c r="D115" t="s">
        <v>156</v>
      </c>
      <c r="E115" t="s">
        <v>13</v>
      </c>
      <c r="F115" t="s">
        <v>14</v>
      </c>
      <c r="G115" t="s">
        <v>88</v>
      </c>
      <c r="H115" s="3">
        <v>5348.82</v>
      </c>
      <c r="I115" s="4">
        <v>4</v>
      </c>
      <c r="J115" s="3">
        <v>-349.9</v>
      </c>
      <c r="K115" t="str">
        <f t="shared" si="2"/>
        <v>March</v>
      </c>
      <c r="L115">
        <f t="shared" si="3"/>
        <v>2023</v>
      </c>
    </row>
    <row r="116" spans="1:12" x14ac:dyDescent="0.3">
      <c r="A116" s="2">
        <v>45017</v>
      </c>
      <c r="B116" t="s">
        <v>95</v>
      </c>
      <c r="C116" t="s">
        <v>39</v>
      </c>
      <c r="D116" t="s">
        <v>156</v>
      </c>
      <c r="E116" t="s">
        <v>35</v>
      </c>
      <c r="F116" t="s">
        <v>75</v>
      </c>
      <c r="G116" t="s">
        <v>110</v>
      </c>
      <c r="H116" s="3">
        <v>49102.720000000001</v>
      </c>
      <c r="I116" s="4">
        <v>1</v>
      </c>
      <c r="J116" s="3">
        <v>5236.32</v>
      </c>
      <c r="K116" t="str">
        <f t="shared" si="2"/>
        <v>April</v>
      </c>
      <c r="L116">
        <f t="shared" si="3"/>
        <v>2023</v>
      </c>
    </row>
    <row r="117" spans="1:12" x14ac:dyDescent="0.3">
      <c r="A117" s="2">
        <v>45017</v>
      </c>
      <c r="B117" t="s">
        <v>25</v>
      </c>
      <c r="C117" t="s">
        <v>58</v>
      </c>
      <c r="D117" t="s">
        <v>156</v>
      </c>
      <c r="E117" t="s">
        <v>42</v>
      </c>
      <c r="F117" t="s">
        <v>90</v>
      </c>
      <c r="G117" t="s">
        <v>97</v>
      </c>
      <c r="H117" s="3">
        <v>4566.83</v>
      </c>
      <c r="I117" s="4">
        <v>2</v>
      </c>
      <c r="J117" s="3">
        <v>966.9</v>
      </c>
      <c r="K117" t="str">
        <f t="shared" si="2"/>
        <v>April</v>
      </c>
      <c r="L117">
        <f t="shared" si="3"/>
        <v>2023</v>
      </c>
    </row>
    <row r="118" spans="1:12" x14ac:dyDescent="0.3">
      <c r="A118" s="2">
        <v>45017</v>
      </c>
      <c r="B118" t="s">
        <v>25</v>
      </c>
      <c r="C118" t="s">
        <v>61</v>
      </c>
      <c r="D118" t="s">
        <v>156</v>
      </c>
      <c r="E118" t="s">
        <v>18</v>
      </c>
      <c r="F118" t="s">
        <v>40</v>
      </c>
      <c r="G118" t="s">
        <v>117</v>
      </c>
      <c r="H118" s="3">
        <v>10367.1</v>
      </c>
      <c r="I118" s="4">
        <v>4</v>
      </c>
      <c r="J118" s="3">
        <v>1048.31</v>
      </c>
      <c r="K118" t="str">
        <f t="shared" si="2"/>
        <v>April</v>
      </c>
      <c r="L118">
        <f t="shared" si="3"/>
        <v>2023</v>
      </c>
    </row>
    <row r="119" spans="1:12" x14ac:dyDescent="0.3">
      <c r="A119" s="2">
        <v>45019</v>
      </c>
      <c r="B119" t="s">
        <v>48</v>
      </c>
      <c r="C119" t="s">
        <v>66</v>
      </c>
      <c r="D119" t="s">
        <v>156</v>
      </c>
      <c r="E119" t="s">
        <v>42</v>
      </c>
      <c r="F119" t="s">
        <v>90</v>
      </c>
      <c r="G119" t="s">
        <v>97</v>
      </c>
      <c r="H119" s="3">
        <v>4931.8500000000004</v>
      </c>
      <c r="I119" s="4">
        <v>2</v>
      </c>
      <c r="J119" s="3">
        <v>841.35</v>
      </c>
      <c r="K119" t="str">
        <f t="shared" si="2"/>
        <v>April</v>
      </c>
      <c r="L119">
        <f t="shared" si="3"/>
        <v>2023</v>
      </c>
    </row>
    <row r="120" spans="1:12" x14ac:dyDescent="0.3">
      <c r="A120" s="2">
        <v>45019</v>
      </c>
      <c r="B120" t="s">
        <v>55</v>
      </c>
      <c r="C120" t="s">
        <v>56</v>
      </c>
      <c r="D120" t="s">
        <v>156</v>
      </c>
      <c r="E120" t="s">
        <v>26</v>
      </c>
      <c r="F120" t="s">
        <v>53</v>
      </c>
      <c r="G120" t="s">
        <v>98</v>
      </c>
      <c r="H120" s="3">
        <v>27198.53</v>
      </c>
      <c r="I120" s="4">
        <v>1</v>
      </c>
      <c r="J120" s="3">
        <v>2557.2600000000002</v>
      </c>
      <c r="K120" t="str">
        <f t="shared" si="2"/>
        <v>April</v>
      </c>
      <c r="L120">
        <f t="shared" si="3"/>
        <v>2023</v>
      </c>
    </row>
    <row r="121" spans="1:12" x14ac:dyDescent="0.3">
      <c r="A121" s="2">
        <v>45020</v>
      </c>
      <c r="B121" t="s">
        <v>21</v>
      </c>
      <c r="C121" t="s">
        <v>12</v>
      </c>
      <c r="D121" t="s">
        <v>156</v>
      </c>
      <c r="E121" t="s">
        <v>35</v>
      </c>
      <c r="F121" t="s">
        <v>75</v>
      </c>
      <c r="G121" t="s">
        <v>110</v>
      </c>
      <c r="H121" s="3">
        <v>123097.62</v>
      </c>
      <c r="I121" s="4">
        <v>3</v>
      </c>
      <c r="J121" s="3">
        <v>14910.56</v>
      </c>
      <c r="K121" t="str">
        <f t="shared" si="2"/>
        <v>April</v>
      </c>
      <c r="L121">
        <f t="shared" si="3"/>
        <v>2023</v>
      </c>
    </row>
    <row r="122" spans="1:12" x14ac:dyDescent="0.3">
      <c r="A122" s="2">
        <v>45020</v>
      </c>
      <c r="B122" t="s">
        <v>86</v>
      </c>
      <c r="C122" t="s">
        <v>56</v>
      </c>
      <c r="D122" t="s">
        <v>156</v>
      </c>
      <c r="E122" t="s">
        <v>26</v>
      </c>
      <c r="F122" t="s">
        <v>53</v>
      </c>
      <c r="G122" t="s">
        <v>104</v>
      </c>
      <c r="H122" s="3">
        <v>78293.759999999995</v>
      </c>
      <c r="I122" s="4">
        <v>1</v>
      </c>
      <c r="J122" s="3">
        <v>11131.86</v>
      </c>
      <c r="K122" t="str">
        <f t="shared" si="2"/>
        <v>April</v>
      </c>
      <c r="L122">
        <f t="shared" si="3"/>
        <v>2023</v>
      </c>
    </row>
    <row r="123" spans="1:12" x14ac:dyDescent="0.3">
      <c r="A123" s="2">
        <v>45020</v>
      </c>
      <c r="B123" t="s">
        <v>29</v>
      </c>
      <c r="C123" t="s">
        <v>66</v>
      </c>
      <c r="D123" t="s">
        <v>156</v>
      </c>
      <c r="E123" t="s">
        <v>26</v>
      </c>
      <c r="F123" t="s">
        <v>53</v>
      </c>
      <c r="G123" t="s">
        <v>96</v>
      </c>
      <c r="H123" s="3">
        <v>64464.99</v>
      </c>
      <c r="I123" s="4">
        <v>1</v>
      </c>
      <c r="J123" s="3">
        <v>6978.95</v>
      </c>
      <c r="K123" t="str">
        <f t="shared" si="2"/>
        <v>April</v>
      </c>
      <c r="L123">
        <f t="shared" si="3"/>
        <v>2023</v>
      </c>
    </row>
    <row r="124" spans="1:12" x14ac:dyDescent="0.3">
      <c r="A124" s="2">
        <v>45024</v>
      </c>
      <c r="B124" t="s">
        <v>93</v>
      </c>
      <c r="C124" t="s">
        <v>39</v>
      </c>
      <c r="D124" t="s">
        <v>156</v>
      </c>
      <c r="E124" t="s">
        <v>18</v>
      </c>
      <c r="F124" t="s">
        <v>40</v>
      </c>
      <c r="G124" t="s">
        <v>105</v>
      </c>
      <c r="H124" s="3">
        <v>6907.35</v>
      </c>
      <c r="I124" s="4">
        <v>3</v>
      </c>
      <c r="J124" s="3">
        <v>759.82</v>
      </c>
      <c r="K124" t="str">
        <f t="shared" si="2"/>
        <v>April</v>
      </c>
      <c r="L124">
        <f t="shared" si="3"/>
        <v>2023</v>
      </c>
    </row>
    <row r="125" spans="1:12" x14ac:dyDescent="0.3">
      <c r="A125" s="2">
        <v>45027</v>
      </c>
      <c r="B125" t="s">
        <v>83</v>
      </c>
      <c r="C125" t="s">
        <v>46</v>
      </c>
      <c r="D125" t="s">
        <v>156</v>
      </c>
      <c r="E125" t="s">
        <v>35</v>
      </c>
      <c r="F125" t="s">
        <v>75</v>
      </c>
      <c r="G125" t="s">
        <v>76</v>
      </c>
      <c r="H125" s="3">
        <v>84273.67</v>
      </c>
      <c r="I125" s="4">
        <v>2</v>
      </c>
      <c r="J125" s="3">
        <v>13179.91</v>
      </c>
      <c r="K125" t="str">
        <f t="shared" si="2"/>
        <v>April</v>
      </c>
      <c r="L125">
        <f t="shared" si="3"/>
        <v>2023</v>
      </c>
    </row>
    <row r="126" spans="1:12" x14ac:dyDescent="0.3">
      <c r="A126" s="2">
        <v>45027</v>
      </c>
      <c r="B126" t="s">
        <v>38</v>
      </c>
      <c r="C126" t="s">
        <v>68</v>
      </c>
      <c r="D126" t="s">
        <v>156</v>
      </c>
      <c r="E126" t="s">
        <v>26</v>
      </c>
      <c r="F126" t="s">
        <v>53</v>
      </c>
      <c r="G126" t="s">
        <v>104</v>
      </c>
      <c r="H126" s="3">
        <v>148822.17000000001</v>
      </c>
      <c r="I126" s="4">
        <v>2</v>
      </c>
      <c r="J126" s="3">
        <v>20760.23</v>
      </c>
      <c r="K126" t="str">
        <f t="shared" si="2"/>
        <v>April</v>
      </c>
      <c r="L126">
        <f t="shared" si="3"/>
        <v>2023</v>
      </c>
    </row>
    <row r="127" spans="1:12" x14ac:dyDescent="0.3">
      <c r="A127" s="2">
        <v>45027</v>
      </c>
      <c r="B127" t="s">
        <v>48</v>
      </c>
      <c r="C127" t="s">
        <v>12</v>
      </c>
      <c r="D127" t="s">
        <v>156</v>
      </c>
      <c r="E127" t="s">
        <v>35</v>
      </c>
      <c r="F127" t="s">
        <v>50</v>
      </c>
      <c r="G127" t="s">
        <v>118</v>
      </c>
      <c r="H127" s="3">
        <v>7315.26</v>
      </c>
      <c r="I127" s="4">
        <v>1</v>
      </c>
      <c r="J127" s="3">
        <v>-201.85</v>
      </c>
      <c r="K127" t="str">
        <f t="shared" si="2"/>
        <v>April</v>
      </c>
      <c r="L127">
        <f t="shared" si="3"/>
        <v>2023</v>
      </c>
    </row>
    <row r="128" spans="1:12" x14ac:dyDescent="0.3">
      <c r="A128" s="2">
        <v>45029</v>
      </c>
      <c r="B128" t="s">
        <v>38</v>
      </c>
      <c r="C128" t="s">
        <v>56</v>
      </c>
      <c r="D128" t="s">
        <v>156</v>
      </c>
      <c r="E128" t="s">
        <v>26</v>
      </c>
      <c r="F128" t="s">
        <v>53</v>
      </c>
      <c r="G128" t="s">
        <v>104</v>
      </c>
      <c r="H128" s="3">
        <v>74636.69</v>
      </c>
      <c r="I128" s="4">
        <v>1</v>
      </c>
      <c r="J128" s="3">
        <v>9150.42</v>
      </c>
      <c r="K128" t="str">
        <f t="shared" si="2"/>
        <v>April</v>
      </c>
      <c r="L128">
        <f t="shared" si="3"/>
        <v>2023</v>
      </c>
    </row>
    <row r="129" spans="1:12" x14ac:dyDescent="0.3">
      <c r="A129" s="2">
        <v>45029</v>
      </c>
      <c r="B129" t="s">
        <v>52</v>
      </c>
      <c r="C129" t="s">
        <v>81</v>
      </c>
      <c r="D129" t="s">
        <v>156</v>
      </c>
      <c r="E129" t="s">
        <v>13</v>
      </c>
      <c r="F129" t="s">
        <v>23</v>
      </c>
      <c r="G129" t="s">
        <v>79</v>
      </c>
      <c r="H129" s="3">
        <v>69450.97</v>
      </c>
      <c r="I129" s="4">
        <v>1</v>
      </c>
      <c r="J129" s="3">
        <v>5830.83</v>
      </c>
      <c r="K129" t="str">
        <f t="shared" si="2"/>
        <v>April</v>
      </c>
      <c r="L129">
        <f t="shared" si="3"/>
        <v>2023</v>
      </c>
    </row>
    <row r="130" spans="1:12" x14ac:dyDescent="0.3">
      <c r="A130" s="2">
        <v>45032</v>
      </c>
      <c r="B130" t="s">
        <v>71</v>
      </c>
      <c r="C130" t="s">
        <v>56</v>
      </c>
      <c r="D130" t="s">
        <v>156</v>
      </c>
      <c r="E130" t="s">
        <v>35</v>
      </c>
      <c r="F130" t="s">
        <v>63</v>
      </c>
      <c r="G130" t="s">
        <v>112</v>
      </c>
      <c r="H130" s="3">
        <v>32550.09</v>
      </c>
      <c r="I130" s="4">
        <v>1</v>
      </c>
      <c r="J130" s="3">
        <v>-665.45</v>
      </c>
      <c r="K130" t="str">
        <f t="shared" si="2"/>
        <v>April</v>
      </c>
      <c r="L130">
        <f t="shared" si="3"/>
        <v>2023</v>
      </c>
    </row>
    <row r="131" spans="1:12" x14ac:dyDescent="0.3">
      <c r="A131" s="2">
        <v>45032</v>
      </c>
      <c r="B131" t="s">
        <v>52</v>
      </c>
      <c r="C131" t="s">
        <v>81</v>
      </c>
      <c r="D131" t="s">
        <v>156</v>
      </c>
      <c r="E131" t="s">
        <v>26</v>
      </c>
      <c r="F131" t="s">
        <v>53</v>
      </c>
      <c r="G131" t="s">
        <v>96</v>
      </c>
      <c r="H131" s="3">
        <v>124038.67</v>
      </c>
      <c r="I131" s="4">
        <v>2</v>
      </c>
      <c r="J131" s="3">
        <v>21982.36</v>
      </c>
      <c r="K131" t="str">
        <f t="shared" ref="K131:K194" si="4">TEXT(A131,"mmmm")</f>
        <v>April</v>
      </c>
      <c r="L131">
        <f t="shared" ref="L131:L194" si="5">YEAR(A131)</f>
        <v>2023</v>
      </c>
    </row>
    <row r="132" spans="1:12" x14ac:dyDescent="0.3">
      <c r="A132" s="2">
        <v>45032</v>
      </c>
      <c r="B132" t="s">
        <v>29</v>
      </c>
      <c r="C132" t="s">
        <v>22</v>
      </c>
      <c r="D132" t="s">
        <v>156</v>
      </c>
      <c r="E132" t="s">
        <v>42</v>
      </c>
      <c r="F132" t="s">
        <v>43</v>
      </c>
      <c r="G132" t="s">
        <v>87</v>
      </c>
      <c r="H132" s="3">
        <v>44623.12</v>
      </c>
      <c r="I132" s="4">
        <v>4</v>
      </c>
      <c r="J132" s="3">
        <v>9011</v>
      </c>
      <c r="K132" t="str">
        <f t="shared" si="4"/>
        <v>April</v>
      </c>
      <c r="L132">
        <f t="shared" si="5"/>
        <v>2023</v>
      </c>
    </row>
    <row r="133" spans="1:12" x14ac:dyDescent="0.3">
      <c r="A133" s="2">
        <v>45033</v>
      </c>
      <c r="B133" t="s">
        <v>93</v>
      </c>
      <c r="C133" t="s">
        <v>62</v>
      </c>
      <c r="D133" t="s">
        <v>156</v>
      </c>
      <c r="E133" t="s">
        <v>35</v>
      </c>
      <c r="F133" t="s">
        <v>50</v>
      </c>
      <c r="G133" t="s">
        <v>119</v>
      </c>
      <c r="H133" s="3">
        <v>2719.21</v>
      </c>
      <c r="I133" s="4">
        <v>1</v>
      </c>
      <c r="J133" s="3">
        <v>379.25</v>
      </c>
      <c r="K133" t="str">
        <f t="shared" si="4"/>
        <v>April</v>
      </c>
      <c r="L133">
        <f t="shared" si="5"/>
        <v>2023</v>
      </c>
    </row>
    <row r="134" spans="1:12" x14ac:dyDescent="0.3">
      <c r="A134" s="2">
        <v>45033</v>
      </c>
      <c r="B134" t="s">
        <v>55</v>
      </c>
      <c r="C134" t="s">
        <v>17</v>
      </c>
      <c r="D134" t="s">
        <v>156</v>
      </c>
      <c r="E134" t="s">
        <v>35</v>
      </c>
      <c r="F134" t="s">
        <v>50</v>
      </c>
      <c r="G134" t="s">
        <v>118</v>
      </c>
      <c r="H134" s="3">
        <v>6823.58</v>
      </c>
      <c r="I134" s="4">
        <v>1</v>
      </c>
      <c r="J134" s="3">
        <v>641.92999999999995</v>
      </c>
      <c r="K134" t="str">
        <f t="shared" si="4"/>
        <v>April</v>
      </c>
      <c r="L134">
        <f t="shared" si="5"/>
        <v>2023</v>
      </c>
    </row>
    <row r="135" spans="1:12" x14ac:dyDescent="0.3">
      <c r="A135" s="2">
        <v>45034</v>
      </c>
      <c r="B135" t="s">
        <v>71</v>
      </c>
      <c r="C135" t="s">
        <v>22</v>
      </c>
      <c r="D135" t="s">
        <v>156</v>
      </c>
      <c r="E135" t="s">
        <v>13</v>
      </c>
      <c r="F135" t="s">
        <v>23</v>
      </c>
      <c r="G135" t="s">
        <v>79</v>
      </c>
      <c r="H135" s="3">
        <v>275823.28000000003</v>
      </c>
      <c r="I135" s="4">
        <v>4</v>
      </c>
      <c r="J135" s="3">
        <v>24724.69</v>
      </c>
      <c r="K135" t="str">
        <f t="shared" si="4"/>
        <v>April</v>
      </c>
      <c r="L135">
        <f t="shared" si="5"/>
        <v>2023</v>
      </c>
    </row>
    <row r="136" spans="1:12" x14ac:dyDescent="0.3">
      <c r="A136" s="2">
        <v>45035</v>
      </c>
      <c r="B136" t="s">
        <v>60</v>
      </c>
      <c r="C136" t="s">
        <v>12</v>
      </c>
      <c r="D136" t="s">
        <v>156</v>
      </c>
      <c r="E136" t="s">
        <v>13</v>
      </c>
      <c r="F136" t="s">
        <v>14</v>
      </c>
      <c r="G136" t="s">
        <v>70</v>
      </c>
      <c r="H136" s="3">
        <v>5997.31</v>
      </c>
      <c r="I136" s="4">
        <v>2</v>
      </c>
      <c r="J136" s="3">
        <v>495.55</v>
      </c>
      <c r="K136" t="str">
        <f t="shared" si="4"/>
        <v>April</v>
      </c>
      <c r="L136">
        <f t="shared" si="5"/>
        <v>2023</v>
      </c>
    </row>
    <row r="137" spans="1:12" x14ac:dyDescent="0.3">
      <c r="A137" s="2">
        <v>45037</v>
      </c>
      <c r="B137" t="s">
        <v>45</v>
      </c>
      <c r="C137" t="s">
        <v>39</v>
      </c>
      <c r="D137" t="s">
        <v>156</v>
      </c>
      <c r="E137" t="s">
        <v>13</v>
      </c>
      <c r="F137" t="s">
        <v>23</v>
      </c>
      <c r="G137" t="s">
        <v>108</v>
      </c>
      <c r="H137" s="3">
        <v>102705.49</v>
      </c>
      <c r="I137" s="4">
        <v>2</v>
      </c>
      <c r="J137" s="3">
        <v>7172.36</v>
      </c>
      <c r="K137" t="str">
        <f t="shared" si="4"/>
        <v>April</v>
      </c>
      <c r="L137">
        <f t="shared" si="5"/>
        <v>2023</v>
      </c>
    </row>
    <row r="138" spans="1:12" x14ac:dyDescent="0.3">
      <c r="A138" s="2">
        <v>45037</v>
      </c>
      <c r="B138" t="s">
        <v>86</v>
      </c>
      <c r="C138" t="s">
        <v>69</v>
      </c>
      <c r="D138" t="s">
        <v>156</v>
      </c>
      <c r="E138" t="s">
        <v>18</v>
      </c>
      <c r="F138" t="s">
        <v>19</v>
      </c>
      <c r="G138" t="s">
        <v>106</v>
      </c>
      <c r="H138" s="3">
        <v>253510.63</v>
      </c>
      <c r="I138" s="4">
        <v>3</v>
      </c>
      <c r="J138" s="3">
        <v>28977.88</v>
      </c>
      <c r="K138" t="str">
        <f t="shared" si="4"/>
        <v>April</v>
      </c>
      <c r="L138">
        <f t="shared" si="5"/>
        <v>2023</v>
      </c>
    </row>
    <row r="139" spans="1:12" x14ac:dyDescent="0.3">
      <c r="A139" s="2">
        <v>45037</v>
      </c>
      <c r="B139" t="s">
        <v>86</v>
      </c>
      <c r="C139" t="s">
        <v>49</v>
      </c>
      <c r="D139" t="s">
        <v>156</v>
      </c>
      <c r="E139" t="s">
        <v>35</v>
      </c>
      <c r="F139" t="s">
        <v>63</v>
      </c>
      <c r="G139" t="s">
        <v>112</v>
      </c>
      <c r="H139" s="3">
        <v>32067.95</v>
      </c>
      <c r="I139" s="4">
        <v>1</v>
      </c>
      <c r="J139" s="3">
        <v>5085.33</v>
      </c>
      <c r="K139" t="str">
        <f t="shared" si="4"/>
        <v>April</v>
      </c>
      <c r="L139">
        <f t="shared" si="5"/>
        <v>2023</v>
      </c>
    </row>
    <row r="140" spans="1:12" x14ac:dyDescent="0.3">
      <c r="A140" s="2">
        <v>45037</v>
      </c>
      <c r="B140" t="s">
        <v>83</v>
      </c>
      <c r="C140" t="s">
        <v>22</v>
      </c>
      <c r="D140" t="s">
        <v>156</v>
      </c>
      <c r="E140" t="s">
        <v>26</v>
      </c>
      <c r="F140" t="s">
        <v>53</v>
      </c>
      <c r="G140" t="s">
        <v>98</v>
      </c>
      <c r="H140" s="3">
        <v>81549.440000000002</v>
      </c>
      <c r="I140" s="4">
        <v>3</v>
      </c>
      <c r="J140" s="3">
        <v>8020.76</v>
      </c>
      <c r="K140" t="str">
        <f t="shared" si="4"/>
        <v>April</v>
      </c>
      <c r="L140">
        <f t="shared" si="5"/>
        <v>2023</v>
      </c>
    </row>
    <row r="141" spans="1:12" x14ac:dyDescent="0.3">
      <c r="A141" s="2">
        <v>45037</v>
      </c>
      <c r="B141" t="s">
        <v>93</v>
      </c>
      <c r="C141" t="s">
        <v>22</v>
      </c>
      <c r="D141" t="s">
        <v>156</v>
      </c>
      <c r="E141" t="s">
        <v>18</v>
      </c>
      <c r="F141" t="s">
        <v>40</v>
      </c>
      <c r="G141" t="s">
        <v>102</v>
      </c>
      <c r="H141" s="3">
        <v>2759.54</v>
      </c>
      <c r="I141" s="4">
        <v>2</v>
      </c>
      <c r="J141" s="3">
        <v>326.3</v>
      </c>
      <c r="K141" t="str">
        <f t="shared" si="4"/>
        <v>April</v>
      </c>
      <c r="L141">
        <f t="shared" si="5"/>
        <v>2023</v>
      </c>
    </row>
    <row r="142" spans="1:12" x14ac:dyDescent="0.3">
      <c r="A142" s="2">
        <v>45037</v>
      </c>
      <c r="B142" t="s">
        <v>103</v>
      </c>
      <c r="C142" t="s">
        <v>56</v>
      </c>
      <c r="D142" t="s">
        <v>156</v>
      </c>
      <c r="E142" t="s">
        <v>13</v>
      </c>
      <c r="F142" t="s">
        <v>14</v>
      </c>
      <c r="G142" t="s">
        <v>70</v>
      </c>
      <c r="H142" s="3">
        <v>2903.93</v>
      </c>
      <c r="I142" s="4">
        <v>1</v>
      </c>
      <c r="J142" s="3">
        <v>211.28</v>
      </c>
      <c r="K142" t="str">
        <f t="shared" si="4"/>
        <v>April</v>
      </c>
      <c r="L142">
        <f t="shared" si="5"/>
        <v>2023</v>
      </c>
    </row>
    <row r="143" spans="1:12" x14ac:dyDescent="0.3">
      <c r="A143" s="2">
        <v>45038</v>
      </c>
      <c r="B143" t="s">
        <v>103</v>
      </c>
      <c r="C143" t="s">
        <v>17</v>
      </c>
      <c r="D143" t="s">
        <v>156</v>
      </c>
      <c r="E143" t="s">
        <v>18</v>
      </c>
      <c r="F143" t="s">
        <v>40</v>
      </c>
      <c r="G143" t="s">
        <v>41</v>
      </c>
      <c r="H143" s="3">
        <v>54882.59</v>
      </c>
      <c r="I143" s="4">
        <v>3</v>
      </c>
      <c r="J143" s="3">
        <v>6856.04</v>
      </c>
      <c r="K143" t="str">
        <f t="shared" si="4"/>
        <v>April</v>
      </c>
      <c r="L143">
        <f t="shared" si="5"/>
        <v>2023</v>
      </c>
    </row>
    <row r="144" spans="1:12" x14ac:dyDescent="0.3">
      <c r="A144" s="2">
        <v>45038</v>
      </c>
      <c r="B144" t="s">
        <v>29</v>
      </c>
      <c r="C144" t="s">
        <v>22</v>
      </c>
      <c r="D144" t="s">
        <v>156</v>
      </c>
      <c r="E144" t="s">
        <v>26</v>
      </c>
      <c r="F144" t="s">
        <v>27</v>
      </c>
      <c r="G144" t="s">
        <v>31</v>
      </c>
      <c r="H144" s="3">
        <v>9091.65</v>
      </c>
      <c r="I144" s="4">
        <v>1</v>
      </c>
      <c r="J144" s="3">
        <v>1267.31</v>
      </c>
      <c r="K144" t="str">
        <f t="shared" si="4"/>
        <v>April</v>
      </c>
      <c r="L144">
        <f t="shared" si="5"/>
        <v>2023</v>
      </c>
    </row>
    <row r="145" spans="1:12" x14ac:dyDescent="0.3">
      <c r="A145" s="2">
        <v>45038</v>
      </c>
      <c r="B145" t="s">
        <v>86</v>
      </c>
      <c r="C145" t="s">
        <v>39</v>
      </c>
      <c r="D145" t="s">
        <v>156</v>
      </c>
      <c r="E145" t="s">
        <v>26</v>
      </c>
      <c r="F145" t="s">
        <v>27</v>
      </c>
      <c r="G145" t="s">
        <v>31</v>
      </c>
      <c r="H145" s="3">
        <v>29566.13</v>
      </c>
      <c r="I145" s="4">
        <v>3</v>
      </c>
      <c r="J145" s="3">
        <v>3818.9</v>
      </c>
      <c r="K145" t="str">
        <f t="shared" si="4"/>
        <v>April</v>
      </c>
      <c r="L145">
        <f t="shared" si="5"/>
        <v>2023</v>
      </c>
    </row>
    <row r="146" spans="1:12" x14ac:dyDescent="0.3">
      <c r="A146" s="2">
        <v>45038</v>
      </c>
      <c r="B146" t="s">
        <v>93</v>
      </c>
      <c r="C146" t="s">
        <v>49</v>
      </c>
      <c r="D146" t="s">
        <v>156</v>
      </c>
      <c r="E146" t="s">
        <v>42</v>
      </c>
      <c r="F146" t="s">
        <v>43</v>
      </c>
      <c r="G146" t="s">
        <v>44</v>
      </c>
      <c r="H146" s="3">
        <v>28411.52</v>
      </c>
      <c r="I146" s="4">
        <v>2</v>
      </c>
      <c r="J146" s="3">
        <v>3109.09</v>
      </c>
      <c r="K146" t="str">
        <f t="shared" si="4"/>
        <v>April</v>
      </c>
      <c r="L146">
        <f t="shared" si="5"/>
        <v>2023</v>
      </c>
    </row>
    <row r="147" spans="1:12" x14ac:dyDescent="0.3">
      <c r="A147" s="2">
        <v>45038</v>
      </c>
      <c r="B147" t="s">
        <v>16</v>
      </c>
      <c r="C147" t="s">
        <v>22</v>
      </c>
      <c r="D147" t="s">
        <v>156</v>
      </c>
      <c r="E147" t="s">
        <v>26</v>
      </c>
      <c r="F147" t="s">
        <v>27</v>
      </c>
      <c r="G147" t="s">
        <v>31</v>
      </c>
      <c r="H147" s="3">
        <v>8266.4500000000007</v>
      </c>
      <c r="I147" s="4">
        <v>1</v>
      </c>
      <c r="J147" s="3">
        <v>961.27</v>
      </c>
      <c r="K147" t="str">
        <f t="shared" si="4"/>
        <v>April</v>
      </c>
      <c r="L147">
        <f t="shared" si="5"/>
        <v>2023</v>
      </c>
    </row>
    <row r="148" spans="1:12" x14ac:dyDescent="0.3">
      <c r="A148" s="2">
        <v>45038</v>
      </c>
      <c r="B148" t="s">
        <v>113</v>
      </c>
      <c r="C148" t="s">
        <v>66</v>
      </c>
      <c r="D148" t="s">
        <v>156</v>
      </c>
      <c r="E148" t="s">
        <v>18</v>
      </c>
      <c r="F148" t="s">
        <v>19</v>
      </c>
      <c r="G148" t="s">
        <v>20</v>
      </c>
      <c r="H148" s="3">
        <v>115861.86</v>
      </c>
      <c r="I148" s="4">
        <v>2</v>
      </c>
      <c r="J148" s="3">
        <v>14661.66</v>
      </c>
      <c r="K148" t="str">
        <f t="shared" si="4"/>
        <v>April</v>
      </c>
      <c r="L148">
        <f t="shared" si="5"/>
        <v>2023</v>
      </c>
    </row>
    <row r="149" spans="1:12" x14ac:dyDescent="0.3">
      <c r="A149" s="2">
        <v>45039</v>
      </c>
      <c r="B149" t="s">
        <v>21</v>
      </c>
      <c r="C149" t="s">
        <v>39</v>
      </c>
      <c r="D149" t="s">
        <v>156</v>
      </c>
      <c r="E149" t="s">
        <v>26</v>
      </c>
      <c r="F149" t="s">
        <v>53</v>
      </c>
      <c r="G149" t="s">
        <v>96</v>
      </c>
      <c r="H149" s="3">
        <v>122304.74</v>
      </c>
      <c r="I149" s="4">
        <v>2</v>
      </c>
      <c r="J149" s="3">
        <v>11788.13</v>
      </c>
      <c r="K149" t="str">
        <f t="shared" si="4"/>
        <v>April</v>
      </c>
      <c r="L149">
        <f t="shared" si="5"/>
        <v>2023</v>
      </c>
    </row>
    <row r="150" spans="1:12" x14ac:dyDescent="0.3">
      <c r="A150" s="2">
        <v>45039</v>
      </c>
      <c r="B150" t="s">
        <v>52</v>
      </c>
      <c r="C150" t="s">
        <v>62</v>
      </c>
      <c r="D150" t="s">
        <v>156</v>
      </c>
      <c r="E150" t="s">
        <v>13</v>
      </c>
      <c r="F150" t="s">
        <v>23</v>
      </c>
      <c r="G150" t="s">
        <v>79</v>
      </c>
      <c r="H150" s="3">
        <v>118712.2</v>
      </c>
      <c r="I150" s="4">
        <v>2</v>
      </c>
      <c r="J150" s="3">
        <v>10311.31</v>
      </c>
      <c r="K150" t="str">
        <f t="shared" si="4"/>
        <v>April</v>
      </c>
      <c r="L150">
        <f t="shared" si="5"/>
        <v>2023</v>
      </c>
    </row>
    <row r="151" spans="1:12" x14ac:dyDescent="0.3">
      <c r="A151" s="2">
        <v>45041</v>
      </c>
      <c r="B151" t="s">
        <v>83</v>
      </c>
      <c r="C151" t="s">
        <v>49</v>
      </c>
      <c r="D151" t="s">
        <v>156</v>
      </c>
      <c r="E151" t="s">
        <v>18</v>
      </c>
      <c r="F151" t="s">
        <v>40</v>
      </c>
      <c r="G151" t="s">
        <v>41</v>
      </c>
      <c r="H151" s="3">
        <v>16023.58</v>
      </c>
      <c r="I151" s="4">
        <v>1</v>
      </c>
      <c r="J151" s="3">
        <v>2515.36</v>
      </c>
      <c r="K151" t="str">
        <f t="shared" si="4"/>
        <v>April</v>
      </c>
      <c r="L151">
        <f t="shared" si="5"/>
        <v>2023</v>
      </c>
    </row>
    <row r="152" spans="1:12" x14ac:dyDescent="0.3">
      <c r="A152" s="2">
        <v>45041</v>
      </c>
      <c r="B152" t="s">
        <v>60</v>
      </c>
      <c r="C152" t="s">
        <v>17</v>
      </c>
      <c r="D152" t="s">
        <v>156</v>
      </c>
      <c r="E152" t="s">
        <v>18</v>
      </c>
      <c r="F152" t="s">
        <v>19</v>
      </c>
      <c r="G152" t="s">
        <v>20</v>
      </c>
      <c r="H152" s="3">
        <v>124357.28</v>
      </c>
      <c r="I152" s="4">
        <v>2</v>
      </c>
      <c r="J152" s="3">
        <v>11768.51</v>
      </c>
      <c r="K152" t="str">
        <f t="shared" si="4"/>
        <v>April</v>
      </c>
      <c r="L152">
        <f t="shared" si="5"/>
        <v>2023</v>
      </c>
    </row>
    <row r="153" spans="1:12" x14ac:dyDescent="0.3">
      <c r="A153" s="2">
        <v>45042</v>
      </c>
      <c r="B153" t="s">
        <v>73</v>
      </c>
      <c r="C153" t="s">
        <v>17</v>
      </c>
      <c r="D153" t="s">
        <v>156</v>
      </c>
      <c r="E153" t="s">
        <v>13</v>
      </c>
      <c r="F153" t="s">
        <v>14</v>
      </c>
      <c r="G153" t="s">
        <v>57</v>
      </c>
      <c r="H153" s="3">
        <v>1780.58</v>
      </c>
      <c r="I153" s="4">
        <v>1</v>
      </c>
      <c r="J153" s="3">
        <v>240.12</v>
      </c>
      <c r="K153" t="str">
        <f t="shared" si="4"/>
        <v>April</v>
      </c>
      <c r="L153">
        <f t="shared" si="5"/>
        <v>2023</v>
      </c>
    </row>
    <row r="154" spans="1:12" x14ac:dyDescent="0.3">
      <c r="A154" s="2">
        <v>45042</v>
      </c>
      <c r="B154" t="s">
        <v>55</v>
      </c>
      <c r="C154" t="s">
        <v>17</v>
      </c>
      <c r="D154" t="s">
        <v>156</v>
      </c>
      <c r="E154" t="s">
        <v>18</v>
      </c>
      <c r="F154" t="s">
        <v>19</v>
      </c>
      <c r="G154" t="s">
        <v>106</v>
      </c>
      <c r="H154" s="3">
        <v>89228.56</v>
      </c>
      <c r="I154" s="4">
        <v>1</v>
      </c>
      <c r="J154" s="3">
        <v>12246.9</v>
      </c>
      <c r="K154" t="str">
        <f t="shared" si="4"/>
        <v>April</v>
      </c>
      <c r="L154">
        <f t="shared" si="5"/>
        <v>2023</v>
      </c>
    </row>
    <row r="155" spans="1:12" x14ac:dyDescent="0.3">
      <c r="A155" s="2">
        <v>45042</v>
      </c>
      <c r="B155" t="s">
        <v>48</v>
      </c>
      <c r="C155" t="s">
        <v>68</v>
      </c>
      <c r="D155" t="s">
        <v>156</v>
      </c>
      <c r="E155" t="s">
        <v>26</v>
      </c>
      <c r="F155" t="s">
        <v>27</v>
      </c>
      <c r="G155" t="s">
        <v>28</v>
      </c>
      <c r="H155" s="3">
        <v>22168.67</v>
      </c>
      <c r="I155" s="4">
        <v>1</v>
      </c>
      <c r="J155" s="3">
        <v>2518.11</v>
      </c>
      <c r="K155" t="str">
        <f t="shared" si="4"/>
        <v>April</v>
      </c>
      <c r="L155">
        <f t="shared" si="5"/>
        <v>2023</v>
      </c>
    </row>
    <row r="156" spans="1:12" x14ac:dyDescent="0.3">
      <c r="A156" s="2">
        <v>45043</v>
      </c>
      <c r="B156" t="s">
        <v>29</v>
      </c>
      <c r="C156" t="s">
        <v>30</v>
      </c>
      <c r="D156" t="s">
        <v>156</v>
      </c>
      <c r="E156" t="s">
        <v>42</v>
      </c>
      <c r="F156" t="s">
        <v>43</v>
      </c>
      <c r="G156" t="s">
        <v>44</v>
      </c>
      <c r="H156" s="3">
        <v>56857.95</v>
      </c>
      <c r="I156" s="4">
        <v>4</v>
      </c>
      <c r="J156" s="3">
        <v>13573.4</v>
      </c>
      <c r="K156" t="str">
        <f t="shared" si="4"/>
        <v>April</v>
      </c>
      <c r="L156">
        <f t="shared" si="5"/>
        <v>2023</v>
      </c>
    </row>
    <row r="157" spans="1:12" x14ac:dyDescent="0.3">
      <c r="A157" s="2">
        <v>45043</v>
      </c>
      <c r="B157" t="s">
        <v>38</v>
      </c>
      <c r="C157" t="s">
        <v>39</v>
      </c>
      <c r="D157" t="s">
        <v>156</v>
      </c>
      <c r="E157" t="s">
        <v>13</v>
      </c>
      <c r="F157" t="s">
        <v>14</v>
      </c>
      <c r="G157" t="s">
        <v>15</v>
      </c>
      <c r="H157" s="3">
        <v>4441.5</v>
      </c>
      <c r="I157" s="4">
        <v>2</v>
      </c>
      <c r="J157" s="3">
        <v>334.41</v>
      </c>
      <c r="K157" t="str">
        <f t="shared" si="4"/>
        <v>April</v>
      </c>
      <c r="L157">
        <f t="shared" si="5"/>
        <v>2023</v>
      </c>
    </row>
    <row r="158" spans="1:12" x14ac:dyDescent="0.3">
      <c r="A158" s="2">
        <v>45044</v>
      </c>
      <c r="B158" t="s">
        <v>11</v>
      </c>
      <c r="C158" t="s">
        <v>17</v>
      </c>
      <c r="D158" t="s">
        <v>156</v>
      </c>
      <c r="E158" t="s">
        <v>42</v>
      </c>
      <c r="F158" t="s">
        <v>90</v>
      </c>
      <c r="G158" t="s">
        <v>97</v>
      </c>
      <c r="H158" s="3">
        <v>2059.75</v>
      </c>
      <c r="I158" s="4">
        <v>1</v>
      </c>
      <c r="J158" s="3">
        <v>390.69</v>
      </c>
      <c r="K158" t="str">
        <f t="shared" si="4"/>
        <v>April</v>
      </c>
      <c r="L158">
        <f t="shared" si="5"/>
        <v>2023</v>
      </c>
    </row>
    <row r="159" spans="1:12" x14ac:dyDescent="0.3">
      <c r="A159" s="2">
        <v>45044</v>
      </c>
      <c r="B159" t="s">
        <v>73</v>
      </c>
      <c r="C159" t="s">
        <v>17</v>
      </c>
      <c r="D159" t="s">
        <v>156</v>
      </c>
      <c r="E159" t="s">
        <v>13</v>
      </c>
      <c r="F159" t="s">
        <v>23</v>
      </c>
      <c r="G159" t="s">
        <v>24</v>
      </c>
      <c r="H159" s="3">
        <v>180575.99</v>
      </c>
      <c r="I159" s="4">
        <v>3</v>
      </c>
      <c r="J159" s="3">
        <v>13386.67</v>
      </c>
      <c r="K159" t="str">
        <f t="shared" si="4"/>
        <v>April</v>
      </c>
      <c r="L159">
        <f t="shared" si="5"/>
        <v>2023</v>
      </c>
    </row>
    <row r="160" spans="1:12" x14ac:dyDescent="0.3">
      <c r="A160" s="2">
        <v>45046</v>
      </c>
      <c r="B160" t="s">
        <v>29</v>
      </c>
      <c r="C160" t="s">
        <v>58</v>
      </c>
      <c r="D160" t="s">
        <v>156</v>
      </c>
      <c r="E160" t="s">
        <v>42</v>
      </c>
      <c r="F160" t="s">
        <v>43</v>
      </c>
      <c r="G160" t="s">
        <v>44</v>
      </c>
      <c r="H160" s="3">
        <v>61810.04</v>
      </c>
      <c r="I160" s="4">
        <v>5</v>
      </c>
      <c r="J160" s="3">
        <v>7047.51</v>
      </c>
      <c r="K160" t="str">
        <f t="shared" si="4"/>
        <v>April</v>
      </c>
      <c r="L160">
        <f t="shared" si="5"/>
        <v>2023</v>
      </c>
    </row>
    <row r="161" spans="1:12" x14ac:dyDescent="0.3">
      <c r="A161" s="2">
        <v>45046</v>
      </c>
      <c r="B161" t="s">
        <v>101</v>
      </c>
      <c r="C161" t="s">
        <v>46</v>
      </c>
      <c r="D161" t="s">
        <v>156</v>
      </c>
      <c r="E161" t="s">
        <v>18</v>
      </c>
      <c r="F161" t="s">
        <v>19</v>
      </c>
      <c r="G161" t="s">
        <v>72</v>
      </c>
      <c r="H161" s="3">
        <v>192234.89</v>
      </c>
      <c r="I161" s="4">
        <v>3</v>
      </c>
      <c r="J161" s="3">
        <v>17606.79</v>
      </c>
      <c r="K161" t="str">
        <f t="shared" si="4"/>
        <v>April</v>
      </c>
      <c r="L161">
        <f t="shared" si="5"/>
        <v>2023</v>
      </c>
    </row>
    <row r="162" spans="1:12" x14ac:dyDescent="0.3">
      <c r="A162" s="2">
        <v>45048</v>
      </c>
      <c r="B162" t="s">
        <v>86</v>
      </c>
      <c r="C162" t="s">
        <v>61</v>
      </c>
      <c r="D162" t="s">
        <v>156</v>
      </c>
      <c r="E162" t="s">
        <v>42</v>
      </c>
      <c r="F162" t="s">
        <v>90</v>
      </c>
      <c r="G162" t="s">
        <v>91</v>
      </c>
      <c r="H162" s="3">
        <v>5067.9399999999996</v>
      </c>
      <c r="I162" s="4">
        <v>3</v>
      </c>
      <c r="J162" s="3">
        <v>1188.32</v>
      </c>
      <c r="K162" t="str">
        <f t="shared" si="4"/>
        <v>May</v>
      </c>
      <c r="L162">
        <f t="shared" si="5"/>
        <v>2023</v>
      </c>
    </row>
    <row r="163" spans="1:12" x14ac:dyDescent="0.3">
      <c r="A163" s="2">
        <v>45049</v>
      </c>
      <c r="B163" t="s">
        <v>25</v>
      </c>
      <c r="C163" t="s">
        <v>62</v>
      </c>
      <c r="D163" t="s">
        <v>156</v>
      </c>
      <c r="E163" t="s">
        <v>26</v>
      </c>
      <c r="F163" t="s">
        <v>53</v>
      </c>
      <c r="G163" t="s">
        <v>100</v>
      </c>
      <c r="H163" s="3">
        <v>188578.52</v>
      </c>
      <c r="I163" s="4">
        <v>2</v>
      </c>
      <c r="J163" s="3">
        <v>25615.57</v>
      </c>
      <c r="K163" t="str">
        <f t="shared" si="4"/>
        <v>May</v>
      </c>
      <c r="L163">
        <f t="shared" si="5"/>
        <v>2023</v>
      </c>
    </row>
    <row r="164" spans="1:12" x14ac:dyDescent="0.3">
      <c r="A164" s="2">
        <v>45049</v>
      </c>
      <c r="B164" t="s">
        <v>21</v>
      </c>
      <c r="C164" t="s">
        <v>49</v>
      </c>
      <c r="D164" t="s">
        <v>156</v>
      </c>
      <c r="E164" t="s">
        <v>35</v>
      </c>
      <c r="F164" t="s">
        <v>63</v>
      </c>
      <c r="G164" t="s">
        <v>64</v>
      </c>
      <c r="H164" s="3">
        <v>26649.9</v>
      </c>
      <c r="I164" s="4">
        <v>1</v>
      </c>
      <c r="J164" s="3">
        <v>4144.38</v>
      </c>
      <c r="K164" t="str">
        <f t="shared" si="4"/>
        <v>May</v>
      </c>
      <c r="L164">
        <f t="shared" si="5"/>
        <v>2023</v>
      </c>
    </row>
    <row r="165" spans="1:12" x14ac:dyDescent="0.3">
      <c r="A165" s="2">
        <v>45050</v>
      </c>
      <c r="B165" t="s">
        <v>71</v>
      </c>
      <c r="C165" t="s">
        <v>56</v>
      </c>
      <c r="D165" t="s">
        <v>156</v>
      </c>
      <c r="E165" t="s">
        <v>18</v>
      </c>
      <c r="F165" t="s">
        <v>19</v>
      </c>
      <c r="G165" t="s">
        <v>59</v>
      </c>
      <c r="H165" s="3">
        <v>45295.49</v>
      </c>
      <c r="I165" s="4">
        <v>1</v>
      </c>
      <c r="J165" s="3">
        <v>4079.62</v>
      </c>
      <c r="K165" t="str">
        <f t="shared" si="4"/>
        <v>May</v>
      </c>
      <c r="L165">
        <f t="shared" si="5"/>
        <v>2023</v>
      </c>
    </row>
    <row r="166" spans="1:12" x14ac:dyDescent="0.3">
      <c r="A166" s="2">
        <v>45051</v>
      </c>
      <c r="B166" t="s">
        <v>65</v>
      </c>
      <c r="C166" t="s">
        <v>62</v>
      </c>
      <c r="D166" t="s">
        <v>156</v>
      </c>
      <c r="E166" t="s">
        <v>13</v>
      </c>
      <c r="F166" t="s">
        <v>23</v>
      </c>
      <c r="G166" t="s">
        <v>77</v>
      </c>
      <c r="H166" s="3">
        <v>33379.58</v>
      </c>
      <c r="I166" s="4">
        <v>1</v>
      </c>
      <c r="J166" s="3">
        <v>-1520.37</v>
      </c>
      <c r="K166" t="str">
        <f t="shared" si="4"/>
        <v>May</v>
      </c>
      <c r="L166">
        <f t="shared" si="5"/>
        <v>2023</v>
      </c>
    </row>
    <row r="167" spans="1:12" x14ac:dyDescent="0.3">
      <c r="A167" s="2">
        <v>45051</v>
      </c>
      <c r="B167" t="s">
        <v>38</v>
      </c>
      <c r="C167" t="s">
        <v>69</v>
      </c>
      <c r="D167" t="s">
        <v>156</v>
      </c>
      <c r="E167" t="s">
        <v>42</v>
      </c>
      <c r="F167" t="s">
        <v>90</v>
      </c>
      <c r="G167" t="s">
        <v>120</v>
      </c>
      <c r="H167" s="3">
        <v>5843.34</v>
      </c>
      <c r="I167" s="4">
        <v>1</v>
      </c>
      <c r="J167" s="3">
        <v>1190.05</v>
      </c>
      <c r="K167" t="str">
        <f t="shared" si="4"/>
        <v>May</v>
      </c>
      <c r="L167">
        <f t="shared" si="5"/>
        <v>2023</v>
      </c>
    </row>
    <row r="168" spans="1:12" x14ac:dyDescent="0.3">
      <c r="A168" s="2">
        <v>45051</v>
      </c>
      <c r="B168" t="s">
        <v>65</v>
      </c>
      <c r="C168" t="s">
        <v>22</v>
      </c>
      <c r="D168" t="s">
        <v>156</v>
      </c>
      <c r="E168" t="s">
        <v>26</v>
      </c>
      <c r="F168" t="s">
        <v>27</v>
      </c>
      <c r="G168" t="s">
        <v>82</v>
      </c>
      <c r="H168" s="3">
        <v>96977.75</v>
      </c>
      <c r="I168" s="4">
        <v>3</v>
      </c>
      <c r="J168" s="3">
        <v>-2741.48</v>
      </c>
      <c r="K168" t="str">
        <f t="shared" si="4"/>
        <v>May</v>
      </c>
      <c r="L168">
        <f t="shared" si="5"/>
        <v>2023</v>
      </c>
    </row>
    <row r="169" spans="1:12" x14ac:dyDescent="0.3">
      <c r="A169" s="2">
        <v>45052</v>
      </c>
      <c r="B169" t="s">
        <v>113</v>
      </c>
      <c r="C169" t="s">
        <v>81</v>
      </c>
      <c r="D169" t="s">
        <v>156</v>
      </c>
      <c r="E169" t="s">
        <v>26</v>
      </c>
      <c r="F169" t="s">
        <v>53</v>
      </c>
      <c r="G169" t="s">
        <v>100</v>
      </c>
      <c r="H169" s="3">
        <v>183674.55</v>
      </c>
      <c r="I169" s="4">
        <v>2</v>
      </c>
      <c r="J169" s="3">
        <v>20048.14</v>
      </c>
      <c r="K169" t="str">
        <f t="shared" si="4"/>
        <v>May</v>
      </c>
      <c r="L169">
        <f t="shared" si="5"/>
        <v>2023</v>
      </c>
    </row>
    <row r="170" spans="1:12" x14ac:dyDescent="0.3">
      <c r="A170" s="2">
        <v>45053</v>
      </c>
      <c r="B170" t="s">
        <v>34</v>
      </c>
      <c r="C170" t="s">
        <v>12</v>
      </c>
      <c r="D170" t="s">
        <v>156</v>
      </c>
      <c r="E170" t="s">
        <v>13</v>
      </c>
      <c r="F170" t="s">
        <v>23</v>
      </c>
      <c r="G170" t="s">
        <v>85</v>
      </c>
      <c r="H170" s="3">
        <v>38815.99</v>
      </c>
      <c r="I170" s="4">
        <v>1</v>
      </c>
      <c r="J170" s="3">
        <v>4447.8500000000004</v>
      </c>
      <c r="K170" t="str">
        <f t="shared" si="4"/>
        <v>May</v>
      </c>
      <c r="L170">
        <f t="shared" si="5"/>
        <v>2023</v>
      </c>
    </row>
    <row r="171" spans="1:12" x14ac:dyDescent="0.3">
      <c r="A171" s="2">
        <v>45055</v>
      </c>
      <c r="B171" t="s">
        <v>38</v>
      </c>
      <c r="C171" t="s">
        <v>56</v>
      </c>
      <c r="D171" t="s">
        <v>156</v>
      </c>
      <c r="E171" t="s">
        <v>35</v>
      </c>
      <c r="F171" t="s">
        <v>63</v>
      </c>
      <c r="G171" t="s">
        <v>114</v>
      </c>
      <c r="H171" s="3">
        <v>57367.94</v>
      </c>
      <c r="I171" s="4">
        <v>2</v>
      </c>
      <c r="J171" s="3">
        <v>5577.84</v>
      </c>
      <c r="K171" t="str">
        <f t="shared" si="4"/>
        <v>May</v>
      </c>
      <c r="L171">
        <f t="shared" si="5"/>
        <v>2023</v>
      </c>
    </row>
    <row r="172" spans="1:12" x14ac:dyDescent="0.3">
      <c r="A172" s="2">
        <v>45055</v>
      </c>
      <c r="B172" t="s">
        <v>86</v>
      </c>
      <c r="C172" t="s">
        <v>56</v>
      </c>
      <c r="D172" t="s">
        <v>156</v>
      </c>
      <c r="E172" t="s">
        <v>26</v>
      </c>
      <c r="F172" t="s">
        <v>27</v>
      </c>
      <c r="G172" t="s">
        <v>31</v>
      </c>
      <c r="H172" s="3">
        <v>17621.62</v>
      </c>
      <c r="I172" s="4">
        <v>2</v>
      </c>
      <c r="J172" s="3">
        <v>2796.24</v>
      </c>
      <c r="K172" t="str">
        <f t="shared" si="4"/>
        <v>May</v>
      </c>
      <c r="L172">
        <f t="shared" si="5"/>
        <v>2023</v>
      </c>
    </row>
    <row r="173" spans="1:12" x14ac:dyDescent="0.3">
      <c r="A173" s="2">
        <v>45057</v>
      </c>
      <c r="B173" t="s">
        <v>78</v>
      </c>
      <c r="C173" t="s">
        <v>66</v>
      </c>
      <c r="D173" t="s">
        <v>156</v>
      </c>
      <c r="E173" t="s">
        <v>13</v>
      </c>
      <c r="F173" t="s">
        <v>14</v>
      </c>
      <c r="G173" t="s">
        <v>111</v>
      </c>
      <c r="H173" s="3">
        <v>1934.24</v>
      </c>
      <c r="I173" s="4">
        <v>1</v>
      </c>
      <c r="J173" s="3">
        <v>139.63</v>
      </c>
      <c r="K173" t="str">
        <f t="shared" si="4"/>
        <v>May</v>
      </c>
      <c r="L173">
        <f t="shared" si="5"/>
        <v>2023</v>
      </c>
    </row>
    <row r="174" spans="1:12" x14ac:dyDescent="0.3">
      <c r="A174" s="2">
        <v>45057</v>
      </c>
      <c r="B174" t="s">
        <v>71</v>
      </c>
      <c r="C174" t="s">
        <v>22</v>
      </c>
      <c r="D174" t="s">
        <v>156</v>
      </c>
      <c r="E174" t="s">
        <v>35</v>
      </c>
      <c r="F174" t="s">
        <v>50</v>
      </c>
      <c r="G174" t="s">
        <v>51</v>
      </c>
      <c r="H174" s="3">
        <v>14956.09</v>
      </c>
      <c r="I174" s="4">
        <v>2</v>
      </c>
      <c r="J174" s="3">
        <v>1818.84</v>
      </c>
      <c r="K174" t="str">
        <f t="shared" si="4"/>
        <v>May</v>
      </c>
      <c r="L174">
        <f t="shared" si="5"/>
        <v>2023</v>
      </c>
    </row>
    <row r="175" spans="1:12" x14ac:dyDescent="0.3">
      <c r="A175" s="2">
        <v>45057</v>
      </c>
      <c r="B175" t="s">
        <v>80</v>
      </c>
      <c r="C175" t="s">
        <v>68</v>
      </c>
      <c r="D175" t="s">
        <v>156</v>
      </c>
      <c r="E175" t="s">
        <v>26</v>
      </c>
      <c r="F175" t="s">
        <v>53</v>
      </c>
      <c r="G175" t="s">
        <v>100</v>
      </c>
      <c r="H175" s="3">
        <v>430320.89</v>
      </c>
      <c r="I175" s="4">
        <v>5</v>
      </c>
      <c r="J175" s="3">
        <v>77009.8</v>
      </c>
      <c r="K175" t="str">
        <f t="shared" si="4"/>
        <v>May</v>
      </c>
      <c r="L175">
        <f t="shared" si="5"/>
        <v>2023</v>
      </c>
    </row>
    <row r="176" spans="1:12" x14ac:dyDescent="0.3">
      <c r="A176" s="2">
        <v>45058</v>
      </c>
      <c r="B176" t="s">
        <v>67</v>
      </c>
      <c r="C176" t="s">
        <v>61</v>
      </c>
      <c r="D176" t="s">
        <v>156</v>
      </c>
      <c r="E176" t="s">
        <v>13</v>
      </c>
      <c r="F176" t="s">
        <v>14</v>
      </c>
      <c r="G176" t="s">
        <v>15</v>
      </c>
      <c r="H176" s="3">
        <v>2227.36</v>
      </c>
      <c r="I176" s="4">
        <v>1</v>
      </c>
      <c r="J176" s="3">
        <v>309.5</v>
      </c>
      <c r="K176" t="str">
        <f t="shared" si="4"/>
        <v>May</v>
      </c>
      <c r="L176">
        <f t="shared" si="5"/>
        <v>2023</v>
      </c>
    </row>
    <row r="177" spans="1:12" x14ac:dyDescent="0.3">
      <c r="A177" s="2">
        <v>45059</v>
      </c>
      <c r="B177" t="s">
        <v>93</v>
      </c>
      <c r="C177" t="s">
        <v>58</v>
      </c>
      <c r="D177" t="s">
        <v>156</v>
      </c>
      <c r="E177" t="s">
        <v>13</v>
      </c>
      <c r="F177" t="s">
        <v>23</v>
      </c>
      <c r="G177" t="s">
        <v>79</v>
      </c>
      <c r="H177" s="3">
        <v>136238.49</v>
      </c>
      <c r="I177" s="4">
        <v>2</v>
      </c>
      <c r="J177" s="3">
        <v>10678.35</v>
      </c>
      <c r="K177" t="str">
        <f t="shared" si="4"/>
        <v>May</v>
      </c>
      <c r="L177">
        <f t="shared" si="5"/>
        <v>2023</v>
      </c>
    </row>
    <row r="178" spans="1:12" x14ac:dyDescent="0.3">
      <c r="A178" s="2">
        <v>45059</v>
      </c>
      <c r="B178" t="s">
        <v>52</v>
      </c>
      <c r="C178" t="s">
        <v>62</v>
      </c>
      <c r="D178" t="s">
        <v>156</v>
      </c>
      <c r="E178" t="s">
        <v>35</v>
      </c>
      <c r="F178" t="s">
        <v>50</v>
      </c>
      <c r="G178" t="s">
        <v>118</v>
      </c>
      <c r="H178" s="3">
        <v>21591.74</v>
      </c>
      <c r="I178" s="4">
        <v>3</v>
      </c>
      <c r="J178" s="3">
        <v>2027.09</v>
      </c>
      <c r="K178" t="str">
        <f t="shared" si="4"/>
        <v>May</v>
      </c>
      <c r="L178">
        <f t="shared" si="5"/>
        <v>2023</v>
      </c>
    </row>
    <row r="179" spans="1:12" x14ac:dyDescent="0.3">
      <c r="A179" s="2">
        <v>45060</v>
      </c>
      <c r="B179" t="s">
        <v>38</v>
      </c>
      <c r="C179" t="s">
        <v>61</v>
      </c>
      <c r="D179" t="s">
        <v>156</v>
      </c>
      <c r="E179" t="s">
        <v>26</v>
      </c>
      <c r="F179" t="s">
        <v>53</v>
      </c>
      <c r="G179" t="s">
        <v>100</v>
      </c>
      <c r="H179" s="3">
        <v>174985.76</v>
      </c>
      <c r="I179" s="4">
        <v>2</v>
      </c>
      <c r="J179" s="3">
        <v>19562.560000000001</v>
      </c>
      <c r="K179" t="str">
        <f t="shared" si="4"/>
        <v>May</v>
      </c>
      <c r="L179">
        <f t="shared" si="5"/>
        <v>2023</v>
      </c>
    </row>
    <row r="180" spans="1:12" x14ac:dyDescent="0.3">
      <c r="A180" s="2">
        <v>45060</v>
      </c>
      <c r="B180" t="s">
        <v>103</v>
      </c>
      <c r="C180" t="s">
        <v>56</v>
      </c>
      <c r="D180" t="s">
        <v>156</v>
      </c>
      <c r="E180" t="s">
        <v>42</v>
      </c>
      <c r="F180" t="s">
        <v>90</v>
      </c>
      <c r="G180" t="s">
        <v>120</v>
      </c>
      <c r="H180" s="3">
        <v>5812.64</v>
      </c>
      <c r="I180" s="4">
        <v>1</v>
      </c>
      <c r="J180" s="3">
        <v>617.48</v>
      </c>
      <c r="K180" t="str">
        <f t="shared" si="4"/>
        <v>May</v>
      </c>
      <c r="L180">
        <f t="shared" si="5"/>
        <v>2023</v>
      </c>
    </row>
    <row r="181" spans="1:12" x14ac:dyDescent="0.3">
      <c r="A181" s="2">
        <v>45061</v>
      </c>
      <c r="B181" t="s">
        <v>38</v>
      </c>
      <c r="C181" t="s">
        <v>39</v>
      </c>
      <c r="D181" t="s">
        <v>156</v>
      </c>
      <c r="E181" t="s">
        <v>13</v>
      </c>
      <c r="F181" t="s">
        <v>23</v>
      </c>
      <c r="G181" t="s">
        <v>24</v>
      </c>
      <c r="H181" s="3">
        <v>180898.14</v>
      </c>
      <c r="I181" s="4">
        <v>3</v>
      </c>
      <c r="J181" s="3">
        <v>20904.080000000002</v>
      </c>
      <c r="K181" t="str">
        <f t="shared" si="4"/>
        <v>May</v>
      </c>
      <c r="L181">
        <f t="shared" si="5"/>
        <v>2023</v>
      </c>
    </row>
    <row r="182" spans="1:12" x14ac:dyDescent="0.3">
      <c r="A182" s="2">
        <v>45061</v>
      </c>
      <c r="B182" t="s">
        <v>95</v>
      </c>
      <c r="C182" t="s">
        <v>12</v>
      </c>
      <c r="D182" t="s">
        <v>156</v>
      </c>
      <c r="E182" t="s">
        <v>18</v>
      </c>
      <c r="F182" t="s">
        <v>40</v>
      </c>
      <c r="G182" t="s">
        <v>115</v>
      </c>
      <c r="H182" s="3">
        <v>21906.19</v>
      </c>
      <c r="I182" s="4">
        <v>2</v>
      </c>
      <c r="J182" s="3">
        <v>2628.07</v>
      </c>
      <c r="K182" t="str">
        <f t="shared" si="4"/>
        <v>May</v>
      </c>
      <c r="L182">
        <f t="shared" si="5"/>
        <v>2023</v>
      </c>
    </row>
    <row r="183" spans="1:12" x14ac:dyDescent="0.3">
      <c r="A183" s="2">
        <v>45062</v>
      </c>
      <c r="B183" t="s">
        <v>21</v>
      </c>
      <c r="C183" t="s">
        <v>69</v>
      </c>
      <c r="D183" t="s">
        <v>156</v>
      </c>
      <c r="E183" t="s">
        <v>35</v>
      </c>
      <c r="F183" t="s">
        <v>36</v>
      </c>
      <c r="G183" t="s">
        <v>37</v>
      </c>
      <c r="H183" s="3">
        <v>24165.11</v>
      </c>
      <c r="I183" s="4">
        <v>1</v>
      </c>
      <c r="J183" s="3">
        <v>2269.5500000000002</v>
      </c>
      <c r="K183" t="str">
        <f t="shared" si="4"/>
        <v>May</v>
      </c>
      <c r="L183">
        <f t="shared" si="5"/>
        <v>2023</v>
      </c>
    </row>
    <row r="184" spans="1:12" x14ac:dyDescent="0.3">
      <c r="A184" s="2">
        <v>45062</v>
      </c>
      <c r="B184" t="s">
        <v>83</v>
      </c>
      <c r="C184" t="s">
        <v>46</v>
      </c>
      <c r="D184" t="s">
        <v>156</v>
      </c>
      <c r="E184" t="s">
        <v>35</v>
      </c>
      <c r="F184" t="s">
        <v>63</v>
      </c>
      <c r="G184" t="s">
        <v>112</v>
      </c>
      <c r="H184" s="3">
        <v>27560.05</v>
      </c>
      <c r="I184" s="4">
        <v>1</v>
      </c>
      <c r="J184" s="3">
        <v>3575.69</v>
      </c>
      <c r="K184" t="str">
        <f t="shared" si="4"/>
        <v>May</v>
      </c>
      <c r="L184">
        <f t="shared" si="5"/>
        <v>2023</v>
      </c>
    </row>
    <row r="185" spans="1:12" x14ac:dyDescent="0.3">
      <c r="A185" s="2">
        <v>45062</v>
      </c>
      <c r="B185" t="s">
        <v>38</v>
      </c>
      <c r="C185" t="s">
        <v>58</v>
      </c>
      <c r="D185" t="s">
        <v>156</v>
      </c>
      <c r="E185" t="s">
        <v>35</v>
      </c>
      <c r="F185" t="s">
        <v>50</v>
      </c>
      <c r="G185" t="s">
        <v>118</v>
      </c>
      <c r="H185" s="3">
        <v>6684.69</v>
      </c>
      <c r="I185" s="4">
        <v>1</v>
      </c>
      <c r="J185" s="3">
        <v>1045.6400000000001</v>
      </c>
      <c r="K185" t="str">
        <f t="shared" si="4"/>
        <v>May</v>
      </c>
      <c r="L185">
        <f t="shared" si="5"/>
        <v>2023</v>
      </c>
    </row>
    <row r="186" spans="1:12" x14ac:dyDescent="0.3">
      <c r="A186" s="2">
        <v>45063</v>
      </c>
      <c r="B186" t="s">
        <v>73</v>
      </c>
      <c r="C186" t="s">
        <v>39</v>
      </c>
      <c r="D186" t="s">
        <v>156</v>
      </c>
      <c r="E186" t="s">
        <v>42</v>
      </c>
      <c r="F186" t="s">
        <v>90</v>
      </c>
      <c r="G186" t="s">
        <v>97</v>
      </c>
      <c r="H186" s="3">
        <v>4163.24</v>
      </c>
      <c r="I186" s="4">
        <v>2</v>
      </c>
      <c r="J186" s="3">
        <v>576.36</v>
      </c>
      <c r="K186" t="str">
        <f t="shared" si="4"/>
        <v>May</v>
      </c>
      <c r="L186">
        <f t="shared" si="5"/>
        <v>2023</v>
      </c>
    </row>
    <row r="187" spans="1:12" x14ac:dyDescent="0.3">
      <c r="A187" s="2">
        <v>45064</v>
      </c>
      <c r="B187" t="s">
        <v>38</v>
      </c>
      <c r="C187" t="s">
        <v>46</v>
      </c>
      <c r="D187" t="s">
        <v>156</v>
      </c>
      <c r="E187" t="s">
        <v>35</v>
      </c>
      <c r="F187" t="s">
        <v>75</v>
      </c>
      <c r="G187" t="s">
        <v>76</v>
      </c>
      <c r="H187" s="3">
        <v>36934.14</v>
      </c>
      <c r="I187" s="4">
        <v>1</v>
      </c>
      <c r="J187" s="3">
        <v>3760.81</v>
      </c>
      <c r="K187" t="str">
        <f t="shared" si="4"/>
        <v>May</v>
      </c>
      <c r="L187">
        <f t="shared" si="5"/>
        <v>2023</v>
      </c>
    </row>
    <row r="188" spans="1:12" x14ac:dyDescent="0.3">
      <c r="A188" s="2">
        <v>45065</v>
      </c>
      <c r="B188" t="s">
        <v>92</v>
      </c>
      <c r="C188" t="s">
        <v>68</v>
      </c>
      <c r="D188" t="s">
        <v>156</v>
      </c>
      <c r="E188" t="s">
        <v>42</v>
      </c>
      <c r="F188" t="s">
        <v>90</v>
      </c>
      <c r="G188" t="s">
        <v>97</v>
      </c>
      <c r="H188" s="3">
        <v>2444.11</v>
      </c>
      <c r="I188" s="4">
        <v>1</v>
      </c>
      <c r="J188" s="3">
        <v>538.48</v>
      </c>
      <c r="K188" t="str">
        <f t="shared" si="4"/>
        <v>May</v>
      </c>
      <c r="L188">
        <f t="shared" si="5"/>
        <v>2023</v>
      </c>
    </row>
    <row r="189" spans="1:12" x14ac:dyDescent="0.3">
      <c r="A189" s="2">
        <v>45066</v>
      </c>
      <c r="B189" t="s">
        <v>29</v>
      </c>
      <c r="C189" t="s">
        <v>17</v>
      </c>
      <c r="D189" t="s">
        <v>156</v>
      </c>
      <c r="E189" t="s">
        <v>26</v>
      </c>
      <c r="F189" t="s">
        <v>27</v>
      </c>
      <c r="G189" t="s">
        <v>31</v>
      </c>
      <c r="H189" s="3">
        <v>9592.24</v>
      </c>
      <c r="I189" s="4">
        <v>1</v>
      </c>
      <c r="J189" s="3">
        <v>972.03</v>
      </c>
      <c r="K189" t="str">
        <f t="shared" si="4"/>
        <v>May</v>
      </c>
      <c r="L189">
        <f t="shared" si="5"/>
        <v>2023</v>
      </c>
    </row>
    <row r="190" spans="1:12" x14ac:dyDescent="0.3">
      <c r="A190" s="2">
        <v>45067</v>
      </c>
      <c r="B190" t="s">
        <v>11</v>
      </c>
      <c r="C190" t="s">
        <v>39</v>
      </c>
      <c r="D190" t="s">
        <v>156</v>
      </c>
      <c r="E190" t="s">
        <v>18</v>
      </c>
      <c r="F190" t="s">
        <v>19</v>
      </c>
      <c r="G190" t="s">
        <v>72</v>
      </c>
      <c r="H190" s="3">
        <v>63838.39</v>
      </c>
      <c r="I190" s="4">
        <v>1</v>
      </c>
      <c r="J190" s="3">
        <v>8514.43</v>
      </c>
      <c r="K190" t="str">
        <f t="shared" si="4"/>
        <v>May</v>
      </c>
      <c r="L190">
        <f t="shared" si="5"/>
        <v>2023</v>
      </c>
    </row>
    <row r="191" spans="1:12" x14ac:dyDescent="0.3">
      <c r="A191" s="2">
        <v>45067</v>
      </c>
      <c r="B191" t="s">
        <v>74</v>
      </c>
      <c r="C191" t="s">
        <v>81</v>
      </c>
      <c r="D191" t="s">
        <v>156</v>
      </c>
      <c r="E191" t="s">
        <v>35</v>
      </c>
      <c r="F191" t="s">
        <v>50</v>
      </c>
      <c r="G191" t="s">
        <v>119</v>
      </c>
      <c r="H191" s="3">
        <v>8080.23</v>
      </c>
      <c r="I191" s="4">
        <v>3</v>
      </c>
      <c r="J191" s="3">
        <v>971.88</v>
      </c>
      <c r="K191" t="str">
        <f t="shared" si="4"/>
        <v>May</v>
      </c>
      <c r="L191">
        <f t="shared" si="5"/>
        <v>2023</v>
      </c>
    </row>
    <row r="192" spans="1:12" x14ac:dyDescent="0.3">
      <c r="A192" s="2">
        <v>45068</v>
      </c>
      <c r="B192" t="s">
        <v>101</v>
      </c>
      <c r="C192" t="s">
        <v>56</v>
      </c>
      <c r="D192" t="s">
        <v>156</v>
      </c>
      <c r="E192" t="s">
        <v>35</v>
      </c>
      <c r="F192" t="s">
        <v>50</v>
      </c>
      <c r="G192" t="s">
        <v>121</v>
      </c>
      <c r="H192" s="3">
        <v>9562.4500000000007</v>
      </c>
      <c r="I192" s="4">
        <v>2</v>
      </c>
      <c r="J192" s="3">
        <v>1520.81</v>
      </c>
      <c r="K192" t="str">
        <f t="shared" si="4"/>
        <v>May</v>
      </c>
      <c r="L192">
        <f t="shared" si="5"/>
        <v>2023</v>
      </c>
    </row>
    <row r="193" spans="1:12" x14ac:dyDescent="0.3">
      <c r="A193" s="2">
        <v>45069</v>
      </c>
      <c r="B193" t="s">
        <v>116</v>
      </c>
      <c r="C193" t="s">
        <v>56</v>
      </c>
      <c r="D193" t="s">
        <v>156</v>
      </c>
      <c r="E193" t="s">
        <v>35</v>
      </c>
      <c r="F193" t="s">
        <v>75</v>
      </c>
      <c r="G193" t="s">
        <v>76</v>
      </c>
      <c r="H193" s="3">
        <v>39530.53</v>
      </c>
      <c r="I193" s="4">
        <v>1</v>
      </c>
      <c r="J193" s="3">
        <v>6350.64</v>
      </c>
      <c r="K193" t="str">
        <f t="shared" si="4"/>
        <v>May</v>
      </c>
      <c r="L193">
        <f t="shared" si="5"/>
        <v>2023</v>
      </c>
    </row>
    <row r="194" spans="1:12" x14ac:dyDescent="0.3">
      <c r="A194" s="2">
        <v>45070</v>
      </c>
      <c r="B194" t="s">
        <v>86</v>
      </c>
      <c r="C194" t="s">
        <v>69</v>
      </c>
      <c r="D194" t="s">
        <v>156</v>
      </c>
      <c r="E194" t="s">
        <v>13</v>
      </c>
      <c r="F194" t="s">
        <v>14</v>
      </c>
      <c r="G194" t="s">
        <v>15</v>
      </c>
      <c r="H194" s="3">
        <v>10555.9</v>
      </c>
      <c r="I194" s="4">
        <v>5</v>
      </c>
      <c r="J194" s="3">
        <v>700.2</v>
      </c>
      <c r="K194" t="str">
        <f t="shared" si="4"/>
        <v>May</v>
      </c>
      <c r="L194">
        <f t="shared" si="5"/>
        <v>2023</v>
      </c>
    </row>
    <row r="195" spans="1:12" x14ac:dyDescent="0.3">
      <c r="A195" s="2">
        <v>45071</v>
      </c>
      <c r="B195" t="s">
        <v>95</v>
      </c>
      <c r="C195" t="s">
        <v>56</v>
      </c>
      <c r="D195" t="s">
        <v>156</v>
      </c>
      <c r="E195" t="s">
        <v>26</v>
      </c>
      <c r="F195" t="s">
        <v>27</v>
      </c>
      <c r="G195" t="s">
        <v>31</v>
      </c>
      <c r="H195" s="3">
        <v>8856.74</v>
      </c>
      <c r="I195" s="4">
        <v>1</v>
      </c>
      <c r="J195" s="3">
        <v>-505.99</v>
      </c>
      <c r="K195" t="str">
        <f t="shared" ref="K195:K258" si="6">TEXT(A195,"mmmm")</f>
        <v>May</v>
      </c>
      <c r="L195">
        <f t="shared" ref="L195:L258" si="7">YEAR(A195)</f>
        <v>2023</v>
      </c>
    </row>
    <row r="196" spans="1:12" x14ac:dyDescent="0.3">
      <c r="A196" s="2">
        <v>45071</v>
      </c>
      <c r="B196" t="s">
        <v>78</v>
      </c>
      <c r="C196" t="s">
        <v>46</v>
      </c>
      <c r="D196" t="s">
        <v>156</v>
      </c>
      <c r="E196" t="s">
        <v>35</v>
      </c>
      <c r="F196" t="s">
        <v>63</v>
      </c>
      <c r="G196" t="s">
        <v>64</v>
      </c>
      <c r="H196" s="3">
        <v>30607.57</v>
      </c>
      <c r="I196" s="4">
        <v>1</v>
      </c>
      <c r="J196" s="3">
        <v>5279.97</v>
      </c>
      <c r="K196" t="str">
        <f t="shared" si="6"/>
        <v>May</v>
      </c>
      <c r="L196">
        <f t="shared" si="7"/>
        <v>2023</v>
      </c>
    </row>
    <row r="197" spans="1:12" x14ac:dyDescent="0.3">
      <c r="A197" s="2">
        <v>45072</v>
      </c>
      <c r="B197" t="s">
        <v>60</v>
      </c>
      <c r="C197" t="s">
        <v>22</v>
      </c>
      <c r="D197" t="s">
        <v>156</v>
      </c>
      <c r="E197" t="s">
        <v>26</v>
      </c>
      <c r="F197" t="s">
        <v>53</v>
      </c>
      <c r="G197" t="s">
        <v>54</v>
      </c>
      <c r="H197" s="3">
        <v>79586.59</v>
      </c>
      <c r="I197" s="4">
        <v>2</v>
      </c>
      <c r="J197" s="3">
        <v>13297.72</v>
      </c>
      <c r="K197" t="str">
        <f t="shared" si="6"/>
        <v>May</v>
      </c>
      <c r="L197">
        <f t="shared" si="7"/>
        <v>2023</v>
      </c>
    </row>
    <row r="198" spans="1:12" x14ac:dyDescent="0.3">
      <c r="A198" s="2">
        <v>45073</v>
      </c>
      <c r="B198" t="s">
        <v>34</v>
      </c>
      <c r="C198" t="s">
        <v>39</v>
      </c>
      <c r="D198" t="s">
        <v>156</v>
      </c>
      <c r="E198" t="s">
        <v>26</v>
      </c>
      <c r="F198" t="s">
        <v>53</v>
      </c>
      <c r="G198" t="s">
        <v>100</v>
      </c>
      <c r="H198" s="3">
        <v>95131.43</v>
      </c>
      <c r="I198" s="4">
        <v>1</v>
      </c>
      <c r="J198" s="3">
        <v>16413.89</v>
      </c>
      <c r="K198" t="str">
        <f t="shared" si="6"/>
        <v>May</v>
      </c>
      <c r="L198">
        <f t="shared" si="7"/>
        <v>2023</v>
      </c>
    </row>
    <row r="199" spans="1:12" x14ac:dyDescent="0.3">
      <c r="A199" s="2">
        <v>45073</v>
      </c>
      <c r="B199" t="s">
        <v>78</v>
      </c>
      <c r="C199" t="s">
        <v>58</v>
      </c>
      <c r="D199" t="s">
        <v>156</v>
      </c>
      <c r="E199" t="s">
        <v>26</v>
      </c>
      <c r="F199" t="s">
        <v>53</v>
      </c>
      <c r="G199" t="s">
        <v>104</v>
      </c>
      <c r="H199" s="3">
        <v>216957.7</v>
      </c>
      <c r="I199" s="4">
        <v>3</v>
      </c>
      <c r="J199" s="3">
        <v>20002.669999999998</v>
      </c>
      <c r="K199" t="str">
        <f t="shared" si="6"/>
        <v>May</v>
      </c>
      <c r="L199">
        <f t="shared" si="7"/>
        <v>2023</v>
      </c>
    </row>
    <row r="200" spans="1:12" x14ac:dyDescent="0.3">
      <c r="A200" s="2">
        <v>45074</v>
      </c>
      <c r="B200" t="s">
        <v>74</v>
      </c>
      <c r="C200" t="s">
        <v>61</v>
      </c>
      <c r="D200" t="s">
        <v>156</v>
      </c>
      <c r="E200" t="s">
        <v>42</v>
      </c>
      <c r="F200" t="s">
        <v>43</v>
      </c>
      <c r="G200" t="s">
        <v>87</v>
      </c>
      <c r="H200" s="3">
        <v>32301.31</v>
      </c>
      <c r="I200" s="4">
        <v>3</v>
      </c>
      <c r="J200" s="3">
        <v>5372.44</v>
      </c>
      <c r="K200" t="str">
        <f t="shared" si="6"/>
        <v>May</v>
      </c>
      <c r="L200">
        <f t="shared" si="7"/>
        <v>2023</v>
      </c>
    </row>
    <row r="201" spans="1:12" x14ac:dyDescent="0.3">
      <c r="A201" s="2">
        <v>45078</v>
      </c>
      <c r="B201" t="s">
        <v>67</v>
      </c>
      <c r="C201" t="s">
        <v>61</v>
      </c>
      <c r="D201" t="s">
        <v>156</v>
      </c>
      <c r="E201" t="s">
        <v>35</v>
      </c>
      <c r="F201" t="s">
        <v>63</v>
      </c>
      <c r="G201" t="s">
        <v>114</v>
      </c>
      <c r="H201" s="3">
        <v>98657.09</v>
      </c>
      <c r="I201" s="4">
        <v>4</v>
      </c>
      <c r="J201" s="3">
        <v>15799.02</v>
      </c>
      <c r="K201" t="str">
        <f t="shared" si="6"/>
        <v>June</v>
      </c>
      <c r="L201">
        <f t="shared" si="7"/>
        <v>2023</v>
      </c>
    </row>
    <row r="202" spans="1:12" x14ac:dyDescent="0.3">
      <c r="A202" s="2">
        <v>45079</v>
      </c>
      <c r="B202" t="s">
        <v>101</v>
      </c>
      <c r="C202" t="s">
        <v>39</v>
      </c>
      <c r="D202" t="s">
        <v>156</v>
      </c>
      <c r="E202" t="s">
        <v>13</v>
      </c>
      <c r="F202" t="s">
        <v>23</v>
      </c>
      <c r="G202" t="s">
        <v>108</v>
      </c>
      <c r="H202" s="3">
        <v>53187.54</v>
      </c>
      <c r="I202" s="4">
        <v>1</v>
      </c>
      <c r="J202" s="3">
        <v>3516.61</v>
      </c>
      <c r="K202" t="str">
        <f t="shared" si="6"/>
        <v>June</v>
      </c>
      <c r="L202">
        <f t="shared" si="7"/>
        <v>2023</v>
      </c>
    </row>
    <row r="203" spans="1:12" x14ac:dyDescent="0.3">
      <c r="A203" s="2">
        <v>45080</v>
      </c>
      <c r="B203" t="s">
        <v>86</v>
      </c>
      <c r="C203" t="s">
        <v>30</v>
      </c>
      <c r="D203" t="s">
        <v>156</v>
      </c>
      <c r="E203" t="s">
        <v>26</v>
      </c>
      <c r="F203" t="s">
        <v>27</v>
      </c>
      <c r="G203" t="s">
        <v>82</v>
      </c>
      <c r="H203" s="3">
        <v>29653.69</v>
      </c>
      <c r="I203" s="4">
        <v>1</v>
      </c>
      <c r="J203" s="3">
        <v>4770.9399999999996</v>
      </c>
      <c r="K203" t="str">
        <f t="shared" si="6"/>
        <v>June</v>
      </c>
      <c r="L203">
        <f t="shared" si="7"/>
        <v>2023</v>
      </c>
    </row>
    <row r="204" spans="1:12" x14ac:dyDescent="0.3">
      <c r="A204" s="2">
        <v>45080</v>
      </c>
      <c r="B204" t="s">
        <v>73</v>
      </c>
      <c r="C204" t="s">
        <v>56</v>
      </c>
      <c r="D204" t="s">
        <v>156</v>
      </c>
      <c r="E204" t="s">
        <v>26</v>
      </c>
      <c r="F204" t="s">
        <v>27</v>
      </c>
      <c r="G204" t="s">
        <v>28</v>
      </c>
      <c r="H204" s="3">
        <v>23284.76</v>
      </c>
      <c r="I204" s="4">
        <v>1</v>
      </c>
      <c r="J204" s="3">
        <v>2731.96</v>
      </c>
      <c r="K204" t="str">
        <f t="shared" si="6"/>
        <v>June</v>
      </c>
      <c r="L204">
        <f t="shared" si="7"/>
        <v>2023</v>
      </c>
    </row>
    <row r="205" spans="1:12" x14ac:dyDescent="0.3">
      <c r="A205" s="2">
        <v>45081</v>
      </c>
      <c r="B205" t="s">
        <v>32</v>
      </c>
      <c r="C205" t="s">
        <v>49</v>
      </c>
      <c r="D205" t="s">
        <v>156</v>
      </c>
      <c r="E205" t="s">
        <v>35</v>
      </c>
      <c r="F205" t="s">
        <v>50</v>
      </c>
      <c r="G205" t="s">
        <v>118</v>
      </c>
      <c r="H205" s="3">
        <v>12616.79</v>
      </c>
      <c r="I205" s="4">
        <v>2</v>
      </c>
      <c r="J205" s="3">
        <v>1982.84</v>
      </c>
      <c r="K205" t="str">
        <f t="shared" si="6"/>
        <v>June</v>
      </c>
      <c r="L205">
        <f t="shared" si="7"/>
        <v>2023</v>
      </c>
    </row>
    <row r="206" spans="1:12" x14ac:dyDescent="0.3">
      <c r="A206" s="2">
        <v>45083</v>
      </c>
      <c r="B206" t="s">
        <v>29</v>
      </c>
      <c r="C206" t="s">
        <v>66</v>
      </c>
      <c r="D206" t="s">
        <v>156</v>
      </c>
      <c r="E206" t="s">
        <v>26</v>
      </c>
      <c r="F206" t="s">
        <v>53</v>
      </c>
      <c r="G206" t="s">
        <v>104</v>
      </c>
      <c r="H206" s="3">
        <v>78156.36</v>
      </c>
      <c r="I206" s="4">
        <v>1</v>
      </c>
      <c r="J206" s="3">
        <v>12480.4</v>
      </c>
      <c r="K206" t="str">
        <f t="shared" si="6"/>
        <v>June</v>
      </c>
      <c r="L206">
        <f t="shared" si="7"/>
        <v>2023</v>
      </c>
    </row>
    <row r="207" spans="1:12" x14ac:dyDescent="0.3">
      <c r="A207" s="2">
        <v>45083</v>
      </c>
      <c r="B207" t="s">
        <v>103</v>
      </c>
      <c r="C207" t="s">
        <v>39</v>
      </c>
      <c r="D207" t="s">
        <v>156</v>
      </c>
      <c r="E207" t="s">
        <v>35</v>
      </c>
      <c r="F207" t="s">
        <v>50</v>
      </c>
      <c r="G207" t="s">
        <v>119</v>
      </c>
      <c r="H207" s="3">
        <v>5511.21</v>
      </c>
      <c r="I207" s="4">
        <v>2</v>
      </c>
      <c r="J207" s="3">
        <v>547.44000000000005</v>
      </c>
      <c r="K207" t="str">
        <f t="shared" si="6"/>
        <v>June</v>
      </c>
      <c r="L207">
        <f t="shared" si="7"/>
        <v>2023</v>
      </c>
    </row>
    <row r="208" spans="1:12" x14ac:dyDescent="0.3">
      <c r="A208" s="2">
        <v>45084</v>
      </c>
      <c r="B208" t="s">
        <v>21</v>
      </c>
      <c r="C208" t="s">
        <v>61</v>
      </c>
      <c r="D208" t="s">
        <v>156</v>
      </c>
      <c r="E208" t="s">
        <v>42</v>
      </c>
      <c r="F208" t="s">
        <v>90</v>
      </c>
      <c r="G208" t="s">
        <v>120</v>
      </c>
      <c r="H208" s="3">
        <v>16736.34</v>
      </c>
      <c r="I208" s="4">
        <v>3</v>
      </c>
      <c r="J208" s="3">
        <v>3774.27</v>
      </c>
      <c r="K208" t="str">
        <f t="shared" si="6"/>
        <v>June</v>
      </c>
      <c r="L208">
        <f t="shared" si="7"/>
        <v>2023</v>
      </c>
    </row>
    <row r="209" spans="1:12" x14ac:dyDescent="0.3">
      <c r="A209" s="2">
        <v>45084</v>
      </c>
      <c r="B209" t="s">
        <v>38</v>
      </c>
      <c r="C209" t="s">
        <v>61</v>
      </c>
      <c r="D209" t="s">
        <v>156</v>
      </c>
      <c r="E209" t="s">
        <v>18</v>
      </c>
      <c r="F209" t="s">
        <v>19</v>
      </c>
      <c r="G209" t="s">
        <v>33</v>
      </c>
      <c r="H209" s="3">
        <v>99398.3</v>
      </c>
      <c r="I209" s="4">
        <v>2</v>
      </c>
      <c r="J209" s="3">
        <v>12133.43</v>
      </c>
      <c r="K209" t="str">
        <f t="shared" si="6"/>
        <v>June</v>
      </c>
      <c r="L209">
        <f t="shared" si="7"/>
        <v>2023</v>
      </c>
    </row>
    <row r="210" spans="1:12" x14ac:dyDescent="0.3">
      <c r="A210" s="2">
        <v>45085</v>
      </c>
      <c r="B210" t="s">
        <v>45</v>
      </c>
      <c r="C210" t="s">
        <v>49</v>
      </c>
      <c r="D210" t="s">
        <v>156</v>
      </c>
      <c r="E210" t="s">
        <v>13</v>
      </c>
      <c r="F210" t="s">
        <v>14</v>
      </c>
      <c r="G210" t="s">
        <v>88</v>
      </c>
      <c r="H210" s="3">
        <v>1450.99</v>
      </c>
      <c r="I210" s="4">
        <v>1</v>
      </c>
      <c r="J210" s="3">
        <v>180.35</v>
      </c>
      <c r="K210" t="str">
        <f t="shared" si="6"/>
        <v>June</v>
      </c>
      <c r="L210">
        <f t="shared" si="7"/>
        <v>2023</v>
      </c>
    </row>
    <row r="211" spans="1:12" x14ac:dyDescent="0.3">
      <c r="A211" s="2">
        <v>45085</v>
      </c>
      <c r="B211" t="s">
        <v>101</v>
      </c>
      <c r="C211" t="s">
        <v>69</v>
      </c>
      <c r="D211" t="s">
        <v>156</v>
      </c>
      <c r="E211" t="s">
        <v>35</v>
      </c>
      <c r="F211" t="s">
        <v>50</v>
      </c>
      <c r="G211" t="s">
        <v>119</v>
      </c>
      <c r="H211" s="3">
        <v>5560.64</v>
      </c>
      <c r="I211" s="4">
        <v>2</v>
      </c>
      <c r="J211" s="3">
        <v>-200.2</v>
      </c>
      <c r="K211" t="str">
        <f t="shared" si="6"/>
        <v>June</v>
      </c>
      <c r="L211">
        <f t="shared" si="7"/>
        <v>2023</v>
      </c>
    </row>
    <row r="212" spans="1:12" x14ac:dyDescent="0.3">
      <c r="A212" s="2">
        <v>45085</v>
      </c>
      <c r="B212" t="s">
        <v>11</v>
      </c>
      <c r="C212" t="s">
        <v>81</v>
      </c>
      <c r="D212" t="s">
        <v>156</v>
      </c>
      <c r="E212" t="s">
        <v>18</v>
      </c>
      <c r="F212" t="s">
        <v>40</v>
      </c>
      <c r="G212" t="s">
        <v>41</v>
      </c>
      <c r="H212" s="3">
        <v>17532.22</v>
      </c>
      <c r="I212" s="4">
        <v>1</v>
      </c>
      <c r="J212" s="3">
        <v>-920.23</v>
      </c>
      <c r="K212" t="str">
        <f t="shared" si="6"/>
        <v>June</v>
      </c>
      <c r="L212">
        <f t="shared" si="7"/>
        <v>2023</v>
      </c>
    </row>
    <row r="213" spans="1:12" x14ac:dyDescent="0.3">
      <c r="A213" s="2">
        <v>45085</v>
      </c>
      <c r="B213" t="s">
        <v>52</v>
      </c>
      <c r="C213" t="s">
        <v>81</v>
      </c>
      <c r="D213" t="s">
        <v>156</v>
      </c>
      <c r="E213" t="s">
        <v>26</v>
      </c>
      <c r="F213" t="s">
        <v>27</v>
      </c>
      <c r="G213" t="s">
        <v>82</v>
      </c>
      <c r="H213" s="3">
        <v>33088.33</v>
      </c>
      <c r="I213" s="4">
        <v>1</v>
      </c>
      <c r="J213" s="3">
        <v>2954.29</v>
      </c>
      <c r="K213" t="str">
        <f t="shared" si="6"/>
        <v>June</v>
      </c>
      <c r="L213">
        <f t="shared" si="7"/>
        <v>2023</v>
      </c>
    </row>
    <row r="214" spans="1:12" x14ac:dyDescent="0.3">
      <c r="A214" s="2">
        <v>45086</v>
      </c>
      <c r="B214" t="s">
        <v>95</v>
      </c>
      <c r="C214" t="s">
        <v>62</v>
      </c>
      <c r="D214" t="s">
        <v>156</v>
      </c>
      <c r="E214" t="s">
        <v>13</v>
      </c>
      <c r="F214" t="s">
        <v>23</v>
      </c>
      <c r="G214" t="s">
        <v>47</v>
      </c>
      <c r="H214" s="3">
        <v>68036.14</v>
      </c>
      <c r="I214" s="4">
        <v>1</v>
      </c>
      <c r="J214" s="3">
        <v>4363.3999999999996</v>
      </c>
      <c r="K214" t="str">
        <f t="shared" si="6"/>
        <v>June</v>
      </c>
      <c r="L214">
        <f t="shared" si="7"/>
        <v>2023</v>
      </c>
    </row>
    <row r="215" spans="1:12" x14ac:dyDescent="0.3">
      <c r="A215" s="2">
        <v>45086</v>
      </c>
      <c r="B215" t="s">
        <v>65</v>
      </c>
      <c r="C215" t="s">
        <v>22</v>
      </c>
      <c r="D215" t="s">
        <v>156</v>
      </c>
      <c r="E215" t="s">
        <v>42</v>
      </c>
      <c r="F215" t="s">
        <v>43</v>
      </c>
      <c r="G215" t="s">
        <v>87</v>
      </c>
      <c r="H215" s="3">
        <v>21998.400000000001</v>
      </c>
      <c r="I215" s="4">
        <v>2</v>
      </c>
      <c r="J215" s="3">
        <v>3909.39</v>
      </c>
      <c r="K215" t="str">
        <f t="shared" si="6"/>
        <v>June</v>
      </c>
      <c r="L215">
        <f t="shared" si="7"/>
        <v>2023</v>
      </c>
    </row>
    <row r="216" spans="1:12" x14ac:dyDescent="0.3">
      <c r="A216" s="2">
        <v>45088</v>
      </c>
      <c r="B216" t="s">
        <v>109</v>
      </c>
      <c r="C216" t="s">
        <v>46</v>
      </c>
      <c r="D216" t="s">
        <v>156</v>
      </c>
      <c r="E216" t="s">
        <v>26</v>
      </c>
      <c r="F216" t="s">
        <v>27</v>
      </c>
      <c r="G216" t="s">
        <v>94</v>
      </c>
      <c r="H216" s="3">
        <v>12231.73</v>
      </c>
      <c r="I216" s="4">
        <v>1</v>
      </c>
      <c r="J216" s="3">
        <v>1340.16</v>
      </c>
      <c r="K216" t="str">
        <f t="shared" si="6"/>
        <v>June</v>
      </c>
      <c r="L216">
        <f t="shared" si="7"/>
        <v>2023</v>
      </c>
    </row>
    <row r="217" spans="1:12" x14ac:dyDescent="0.3">
      <c r="A217" s="2">
        <v>45089</v>
      </c>
      <c r="B217" t="s">
        <v>32</v>
      </c>
      <c r="C217" t="s">
        <v>62</v>
      </c>
      <c r="D217" t="s">
        <v>156</v>
      </c>
      <c r="E217" t="s">
        <v>26</v>
      </c>
      <c r="F217" t="s">
        <v>27</v>
      </c>
      <c r="G217" t="s">
        <v>94</v>
      </c>
      <c r="H217" s="3">
        <v>22673.43</v>
      </c>
      <c r="I217" s="4">
        <v>2</v>
      </c>
      <c r="J217" s="3">
        <v>3186.49</v>
      </c>
      <c r="K217" t="str">
        <f t="shared" si="6"/>
        <v>June</v>
      </c>
      <c r="L217">
        <f t="shared" si="7"/>
        <v>2023</v>
      </c>
    </row>
    <row r="218" spans="1:12" x14ac:dyDescent="0.3">
      <c r="A218" s="2">
        <v>45089</v>
      </c>
      <c r="B218" t="s">
        <v>101</v>
      </c>
      <c r="C218" t="s">
        <v>22</v>
      </c>
      <c r="D218" t="s">
        <v>156</v>
      </c>
      <c r="E218" t="s">
        <v>35</v>
      </c>
      <c r="F218" t="s">
        <v>63</v>
      </c>
      <c r="G218" t="s">
        <v>112</v>
      </c>
      <c r="H218" s="3">
        <v>54163.95</v>
      </c>
      <c r="I218" s="4">
        <v>2</v>
      </c>
      <c r="J218" s="3">
        <v>8334.19</v>
      </c>
      <c r="K218" t="str">
        <f t="shared" si="6"/>
        <v>June</v>
      </c>
      <c r="L218">
        <f t="shared" si="7"/>
        <v>2023</v>
      </c>
    </row>
    <row r="219" spans="1:12" x14ac:dyDescent="0.3">
      <c r="A219" s="2">
        <v>45090</v>
      </c>
      <c r="B219" t="s">
        <v>67</v>
      </c>
      <c r="C219" t="s">
        <v>49</v>
      </c>
      <c r="D219" t="s">
        <v>156</v>
      </c>
      <c r="E219" t="s">
        <v>13</v>
      </c>
      <c r="F219" t="s">
        <v>14</v>
      </c>
      <c r="G219" t="s">
        <v>15</v>
      </c>
      <c r="H219" s="3">
        <v>4196.93</v>
      </c>
      <c r="I219" s="4">
        <v>2</v>
      </c>
      <c r="J219" s="3">
        <v>562.30999999999995</v>
      </c>
      <c r="K219" t="str">
        <f t="shared" si="6"/>
        <v>June</v>
      </c>
      <c r="L219">
        <f t="shared" si="7"/>
        <v>2023</v>
      </c>
    </row>
    <row r="220" spans="1:12" x14ac:dyDescent="0.3">
      <c r="A220" s="2">
        <v>45091</v>
      </c>
      <c r="B220" t="s">
        <v>93</v>
      </c>
      <c r="C220" t="s">
        <v>62</v>
      </c>
      <c r="D220" t="s">
        <v>156</v>
      </c>
      <c r="E220" t="s">
        <v>42</v>
      </c>
      <c r="F220" t="s">
        <v>43</v>
      </c>
      <c r="G220" t="s">
        <v>89</v>
      </c>
      <c r="H220" s="3">
        <v>58801.47</v>
      </c>
      <c r="I220" s="4">
        <v>2</v>
      </c>
      <c r="J220" s="3">
        <v>9897.0300000000007</v>
      </c>
      <c r="K220" t="str">
        <f t="shared" si="6"/>
        <v>June</v>
      </c>
      <c r="L220">
        <f t="shared" si="7"/>
        <v>2023</v>
      </c>
    </row>
    <row r="221" spans="1:12" x14ac:dyDescent="0.3">
      <c r="A221" s="2">
        <v>45092</v>
      </c>
      <c r="B221" t="s">
        <v>55</v>
      </c>
      <c r="C221" t="s">
        <v>61</v>
      </c>
      <c r="D221" t="s">
        <v>156</v>
      </c>
      <c r="E221" t="s">
        <v>26</v>
      </c>
      <c r="F221" t="s">
        <v>27</v>
      </c>
      <c r="G221" t="s">
        <v>82</v>
      </c>
      <c r="H221" s="3">
        <v>69170.95</v>
      </c>
      <c r="I221" s="4">
        <v>2</v>
      </c>
      <c r="J221" s="3">
        <v>8353.08</v>
      </c>
      <c r="K221" t="str">
        <f t="shared" si="6"/>
        <v>June</v>
      </c>
      <c r="L221">
        <f t="shared" si="7"/>
        <v>2023</v>
      </c>
    </row>
    <row r="222" spans="1:12" x14ac:dyDescent="0.3">
      <c r="A222" s="2">
        <v>45092</v>
      </c>
      <c r="B222" t="s">
        <v>21</v>
      </c>
      <c r="C222" t="s">
        <v>81</v>
      </c>
      <c r="D222" t="s">
        <v>156</v>
      </c>
      <c r="E222" t="s">
        <v>13</v>
      </c>
      <c r="F222" t="s">
        <v>14</v>
      </c>
      <c r="G222" t="s">
        <v>70</v>
      </c>
      <c r="H222" s="3">
        <v>2632.73</v>
      </c>
      <c r="I222" s="4">
        <v>1</v>
      </c>
      <c r="J222" s="3">
        <v>249.48</v>
      </c>
      <c r="K222" t="str">
        <f t="shared" si="6"/>
        <v>June</v>
      </c>
      <c r="L222">
        <f t="shared" si="7"/>
        <v>2023</v>
      </c>
    </row>
    <row r="223" spans="1:12" x14ac:dyDescent="0.3">
      <c r="A223" s="2">
        <v>45093</v>
      </c>
      <c r="B223" t="s">
        <v>67</v>
      </c>
      <c r="C223" t="s">
        <v>56</v>
      </c>
      <c r="D223" t="s">
        <v>156</v>
      </c>
      <c r="E223" t="s">
        <v>35</v>
      </c>
      <c r="F223" t="s">
        <v>50</v>
      </c>
      <c r="G223" t="s">
        <v>119</v>
      </c>
      <c r="H223" s="3">
        <v>5991.73</v>
      </c>
      <c r="I223" s="4">
        <v>2</v>
      </c>
      <c r="J223" s="3">
        <v>1176.6099999999999</v>
      </c>
      <c r="K223" t="str">
        <f t="shared" si="6"/>
        <v>June</v>
      </c>
      <c r="L223">
        <f t="shared" si="7"/>
        <v>2023</v>
      </c>
    </row>
    <row r="224" spans="1:12" x14ac:dyDescent="0.3">
      <c r="A224" s="2">
        <v>45093</v>
      </c>
      <c r="B224" t="s">
        <v>73</v>
      </c>
      <c r="C224" t="s">
        <v>68</v>
      </c>
      <c r="D224" t="s">
        <v>156</v>
      </c>
      <c r="E224" t="s">
        <v>35</v>
      </c>
      <c r="F224" t="s">
        <v>63</v>
      </c>
      <c r="G224" t="s">
        <v>114</v>
      </c>
      <c r="H224" s="3">
        <v>26712.35</v>
      </c>
      <c r="I224" s="4">
        <v>1</v>
      </c>
      <c r="J224" s="3">
        <v>4419.1099999999997</v>
      </c>
      <c r="K224" t="str">
        <f t="shared" si="6"/>
        <v>June</v>
      </c>
      <c r="L224">
        <f t="shared" si="7"/>
        <v>2023</v>
      </c>
    </row>
    <row r="225" spans="1:12" x14ac:dyDescent="0.3">
      <c r="A225" s="2">
        <v>45094</v>
      </c>
      <c r="B225" t="s">
        <v>109</v>
      </c>
      <c r="C225" t="s">
        <v>39</v>
      </c>
      <c r="D225" t="s">
        <v>156</v>
      </c>
      <c r="E225" t="s">
        <v>42</v>
      </c>
      <c r="F225" t="s">
        <v>43</v>
      </c>
      <c r="G225" t="s">
        <v>89</v>
      </c>
      <c r="H225" s="3">
        <v>30479.279999999999</v>
      </c>
      <c r="I225" s="4">
        <v>1</v>
      </c>
      <c r="J225" s="3">
        <v>4066.42</v>
      </c>
      <c r="K225" t="str">
        <f t="shared" si="6"/>
        <v>June</v>
      </c>
      <c r="L225">
        <f t="shared" si="7"/>
        <v>2023</v>
      </c>
    </row>
    <row r="226" spans="1:12" x14ac:dyDescent="0.3">
      <c r="A226" s="2">
        <v>45094</v>
      </c>
      <c r="B226" t="s">
        <v>80</v>
      </c>
      <c r="C226" t="s">
        <v>58</v>
      </c>
      <c r="D226" t="s">
        <v>156</v>
      </c>
      <c r="E226" t="s">
        <v>42</v>
      </c>
      <c r="F226" t="s">
        <v>43</v>
      </c>
      <c r="G226" t="s">
        <v>87</v>
      </c>
      <c r="H226" s="3">
        <v>47026.6</v>
      </c>
      <c r="I226" s="4">
        <v>4</v>
      </c>
      <c r="J226" s="3">
        <v>10159.08</v>
      </c>
      <c r="K226" t="str">
        <f t="shared" si="6"/>
        <v>June</v>
      </c>
      <c r="L226">
        <f t="shared" si="7"/>
        <v>2023</v>
      </c>
    </row>
    <row r="227" spans="1:12" x14ac:dyDescent="0.3">
      <c r="A227" s="2">
        <v>45094</v>
      </c>
      <c r="B227" t="s">
        <v>60</v>
      </c>
      <c r="C227" t="s">
        <v>56</v>
      </c>
      <c r="D227" t="s">
        <v>156</v>
      </c>
      <c r="E227" t="s">
        <v>13</v>
      </c>
      <c r="F227" t="s">
        <v>14</v>
      </c>
      <c r="G227" t="s">
        <v>57</v>
      </c>
      <c r="H227" s="3">
        <v>1509.22</v>
      </c>
      <c r="I227" s="4">
        <v>1</v>
      </c>
      <c r="J227" s="3">
        <v>126.55</v>
      </c>
      <c r="K227" t="str">
        <f t="shared" si="6"/>
        <v>June</v>
      </c>
      <c r="L227">
        <f t="shared" si="7"/>
        <v>2023</v>
      </c>
    </row>
    <row r="228" spans="1:12" x14ac:dyDescent="0.3">
      <c r="A228" s="2">
        <v>45094</v>
      </c>
      <c r="B228" t="s">
        <v>92</v>
      </c>
      <c r="C228" t="s">
        <v>17</v>
      </c>
      <c r="D228" t="s">
        <v>156</v>
      </c>
      <c r="E228" t="s">
        <v>13</v>
      </c>
      <c r="F228" t="s">
        <v>23</v>
      </c>
      <c r="G228" t="s">
        <v>85</v>
      </c>
      <c r="H228" s="3">
        <v>87089.32</v>
      </c>
      <c r="I228" s="4">
        <v>2</v>
      </c>
      <c r="J228" s="3">
        <v>6653.51</v>
      </c>
      <c r="K228" t="str">
        <f t="shared" si="6"/>
        <v>June</v>
      </c>
      <c r="L228">
        <f t="shared" si="7"/>
        <v>2023</v>
      </c>
    </row>
    <row r="229" spans="1:12" x14ac:dyDescent="0.3">
      <c r="A229" s="2">
        <v>45094</v>
      </c>
      <c r="B229" t="s">
        <v>21</v>
      </c>
      <c r="C229" t="s">
        <v>56</v>
      </c>
      <c r="D229" t="s">
        <v>156</v>
      </c>
      <c r="E229" t="s">
        <v>35</v>
      </c>
      <c r="F229" t="s">
        <v>50</v>
      </c>
      <c r="G229" t="s">
        <v>121</v>
      </c>
      <c r="H229" s="3">
        <v>9531.09</v>
      </c>
      <c r="I229" s="4">
        <v>2</v>
      </c>
      <c r="J229" s="3">
        <v>1712.41</v>
      </c>
      <c r="K229" t="str">
        <f t="shared" si="6"/>
        <v>June</v>
      </c>
      <c r="L229">
        <f t="shared" si="7"/>
        <v>2023</v>
      </c>
    </row>
    <row r="230" spans="1:12" x14ac:dyDescent="0.3">
      <c r="A230" s="2">
        <v>45094</v>
      </c>
      <c r="B230" t="s">
        <v>74</v>
      </c>
      <c r="C230" t="s">
        <v>58</v>
      </c>
      <c r="D230" t="s">
        <v>156</v>
      </c>
      <c r="E230" t="s">
        <v>13</v>
      </c>
      <c r="F230" t="s">
        <v>14</v>
      </c>
      <c r="G230" t="s">
        <v>111</v>
      </c>
      <c r="H230" s="3">
        <v>5931.26</v>
      </c>
      <c r="I230" s="4">
        <v>3</v>
      </c>
      <c r="J230" s="3">
        <v>653.28</v>
      </c>
      <c r="K230" t="str">
        <f t="shared" si="6"/>
        <v>June</v>
      </c>
      <c r="L230">
        <f t="shared" si="7"/>
        <v>2023</v>
      </c>
    </row>
    <row r="231" spans="1:12" x14ac:dyDescent="0.3">
      <c r="A231" s="2">
        <v>45095</v>
      </c>
      <c r="B231" t="s">
        <v>65</v>
      </c>
      <c r="C231" t="s">
        <v>30</v>
      </c>
      <c r="D231" t="s">
        <v>156</v>
      </c>
      <c r="E231" t="s">
        <v>35</v>
      </c>
      <c r="F231" t="s">
        <v>75</v>
      </c>
      <c r="G231" t="s">
        <v>107</v>
      </c>
      <c r="H231" s="3">
        <v>37402.32</v>
      </c>
      <c r="I231" s="4">
        <v>1</v>
      </c>
      <c r="J231" s="3">
        <v>3820.84</v>
      </c>
      <c r="K231" t="str">
        <f t="shared" si="6"/>
        <v>June</v>
      </c>
      <c r="L231">
        <f t="shared" si="7"/>
        <v>2023</v>
      </c>
    </row>
    <row r="232" spans="1:12" x14ac:dyDescent="0.3">
      <c r="A232" s="2">
        <v>45096</v>
      </c>
      <c r="B232" t="s">
        <v>60</v>
      </c>
      <c r="C232" t="s">
        <v>46</v>
      </c>
      <c r="D232" t="s">
        <v>156</v>
      </c>
      <c r="E232" t="s">
        <v>13</v>
      </c>
      <c r="F232" t="s">
        <v>14</v>
      </c>
      <c r="G232" t="s">
        <v>70</v>
      </c>
      <c r="H232" s="3">
        <v>2728.11</v>
      </c>
      <c r="I232" s="4">
        <v>1</v>
      </c>
      <c r="J232" s="3">
        <v>353.68</v>
      </c>
      <c r="K232" t="str">
        <f t="shared" si="6"/>
        <v>June</v>
      </c>
      <c r="L232">
        <f t="shared" si="7"/>
        <v>2023</v>
      </c>
    </row>
    <row r="233" spans="1:12" x14ac:dyDescent="0.3">
      <c r="A233" s="2">
        <v>45096</v>
      </c>
      <c r="B233" t="s">
        <v>93</v>
      </c>
      <c r="C233" t="s">
        <v>17</v>
      </c>
      <c r="D233" t="s">
        <v>156</v>
      </c>
      <c r="E233" t="s">
        <v>26</v>
      </c>
      <c r="F233" t="s">
        <v>27</v>
      </c>
      <c r="G233" t="s">
        <v>82</v>
      </c>
      <c r="H233" s="3">
        <v>30703.61</v>
      </c>
      <c r="I233" s="4">
        <v>1</v>
      </c>
      <c r="J233" s="3">
        <v>4838.62</v>
      </c>
      <c r="K233" t="str">
        <f t="shared" si="6"/>
        <v>June</v>
      </c>
      <c r="L233">
        <f t="shared" si="7"/>
        <v>2023</v>
      </c>
    </row>
    <row r="234" spans="1:12" x14ac:dyDescent="0.3">
      <c r="A234" s="2">
        <v>45097</v>
      </c>
      <c r="B234" t="s">
        <v>109</v>
      </c>
      <c r="C234" t="s">
        <v>22</v>
      </c>
      <c r="D234" t="s">
        <v>156</v>
      </c>
      <c r="E234" t="s">
        <v>18</v>
      </c>
      <c r="F234" t="s">
        <v>40</v>
      </c>
      <c r="G234" t="s">
        <v>117</v>
      </c>
      <c r="H234" s="3">
        <v>5180.33</v>
      </c>
      <c r="I234" s="4">
        <v>2</v>
      </c>
      <c r="J234" s="3">
        <v>595.71</v>
      </c>
      <c r="K234" t="str">
        <f t="shared" si="6"/>
        <v>June</v>
      </c>
      <c r="L234">
        <f t="shared" si="7"/>
        <v>2023</v>
      </c>
    </row>
    <row r="235" spans="1:12" x14ac:dyDescent="0.3">
      <c r="A235" s="2">
        <v>45098</v>
      </c>
      <c r="B235" t="s">
        <v>52</v>
      </c>
      <c r="C235" t="s">
        <v>68</v>
      </c>
      <c r="D235" t="s">
        <v>156</v>
      </c>
      <c r="E235" t="s">
        <v>26</v>
      </c>
      <c r="F235" t="s">
        <v>27</v>
      </c>
      <c r="G235" t="s">
        <v>82</v>
      </c>
      <c r="H235" s="3">
        <v>32602.33</v>
      </c>
      <c r="I235" s="4">
        <v>1</v>
      </c>
      <c r="J235" s="3">
        <v>3298.25</v>
      </c>
      <c r="K235" t="str">
        <f t="shared" si="6"/>
        <v>June</v>
      </c>
      <c r="L235">
        <f t="shared" si="7"/>
        <v>2023</v>
      </c>
    </row>
    <row r="236" spans="1:12" x14ac:dyDescent="0.3">
      <c r="A236" s="2">
        <v>45098</v>
      </c>
      <c r="B236" t="s">
        <v>74</v>
      </c>
      <c r="C236" t="s">
        <v>46</v>
      </c>
      <c r="D236" t="s">
        <v>156</v>
      </c>
      <c r="E236" t="s">
        <v>18</v>
      </c>
      <c r="F236" t="s">
        <v>19</v>
      </c>
      <c r="G236" t="s">
        <v>59</v>
      </c>
      <c r="H236" s="3">
        <v>145024.97</v>
      </c>
      <c r="I236" s="4">
        <v>3</v>
      </c>
      <c r="J236" s="3">
        <v>22996.89</v>
      </c>
      <c r="K236" t="str">
        <f t="shared" si="6"/>
        <v>June</v>
      </c>
      <c r="L236">
        <f t="shared" si="7"/>
        <v>2023</v>
      </c>
    </row>
    <row r="237" spans="1:12" x14ac:dyDescent="0.3">
      <c r="A237" s="2">
        <v>45099</v>
      </c>
      <c r="B237" t="s">
        <v>80</v>
      </c>
      <c r="C237" t="s">
        <v>39</v>
      </c>
      <c r="D237" t="s">
        <v>156</v>
      </c>
      <c r="E237" t="s">
        <v>26</v>
      </c>
      <c r="F237" t="s">
        <v>53</v>
      </c>
      <c r="G237" t="s">
        <v>100</v>
      </c>
      <c r="H237" s="3">
        <v>164308.07</v>
      </c>
      <c r="I237" s="4">
        <v>2</v>
      </c>
      <c r="J237" s="3">
        <v>21755.51</v>
      </c>
      <c r="K237" t="str">
        <f t="shared" si="6"/>
        <v>June</v>
      </c>
      <c r="L237">
        <f t="shared" si="7"/>
        <v>2023</v>
      </c>
    </row>
    <row r="238" spans="1:12" x14ac:dyDescent="0.3">
      <c r="A238" s="2">
        <v>45100</v>
      </c>
      <c r="B238" t="s">
        <v>21</v>
      </c>
      <c r="C238" t="s">
        <v>17</v>
      </c>
      <c r="D238" t="s">
        <v>156</v>
      </c>
      <c r="E238" t="s">
        <v>42</v>
      </c>
      <c r="F238" t="s">
        <v>43</v>
      </c>
      <c r="G238" t="s">
        <v>87</v>
      </c>
      <c r="H238" s="3">
        <v>31130.03</v>
      </c>
      <c r="I238" s="4">
        <v>3</v>
      </c>
      <c r="J238" s="3">
        <v>6045.18</v>
      </c>
      <c r="K238" t="str">
        <f t="shared" si="6"/>
        <v>June</v>
      </c>
      <c r="L238">
        <f t="shared" si="7"/>
        <v>2023</v>
      </c>
    </row>
    <row r="239" spans="1:12" x14ac:dyDescent="0.3">
      <c r="A239" s="2">
        <v>45100</v>
      </c>
      <c r="B239" t="s">
        <v>116</v>
      </c>
      <c r="C239" t="s">
        <v>66</v>
      </c>
      <c r="D239" t="s">
        <v>156</v>
      </c>
      <c r="E239" t="s">
        <v>26</v>
      </c>
      <c r="F239" t="s">
        <v>53</v>
      </c>
      <c r="G239" t="s">
        <v>98</v>
      </c>
      <c r="H239" s="3">
        <v>29558.47</v>
      </c>
      <c r="I239" s="4">
        <v>1</v>
      </c>
      <c r="J239" s="3">
        <v>3674.45</v>
      </c>
      <c r="K239" t="str">
        <f t="shared" si="6"/>
        <v>June</v>
      </c>
      <c r="L239">
        <f t="shared" si="7"/>
        <v>2023</v>
      </c>
    </row>
    <row r="240" spans="1:12" x14ac:dyDescent="0.3">
      <c r="A240" s="2">
        <v>45100</v>
      </c>
      <c r="B240" t="s">
        <v>21</v>
      </c>
      <c r="C240" t="s">
        <v>17</v>
      </c>
      <c r="D240" t="s">
        <v>156</v>
      </c>
      <c r="E240" t="s">
        <v>35</v>
      </c>
      <c r="F240" t="s">
        <v>75</v>
      </c>
      <c r="G240" t="s">
        <v>76</v>
      </c>
      <c r="H240" s="3">
        <v>76553.850000000006</v>
      </c>
      <c r="I240" s="4">
        <v>2</v>
      </c>
      <c r="J240" s="3">
        <v>12911.03</v>
      </c>
      <c r="K240" t="str">
        <f t="shared" si="6"/>
        <v>June</v>
      </c>
      <c r="L240">
        <f t="shared" si="7"/>
        <v>2023</v>
      </c>
    </row>
    <row r="241" spans="1:12" x14ac:dyDescent="0.3">
      <c r="A241" s="2">
        <v>45101</v>
      </c>
      <c r="B241" t="s">
        <v>71</v>
      </c>
      <c r="C241" t="s">
        <v>62</v>
      </c>
      <c r="D241" t="s">
        <v>156</v>
      </c>
      <c r="E241" t="s">
        <v>35</v>
      </c>
      <c r="F241" t="s">
        <v>75</v>
      </c>
      <c r="G241" t="s">
        <v>107</v>
      </c>
      <c r="H241" s="3">
        <v>75851.92</v>
      </c>
      <c r="I241" s="4">
        <v>2</v>
      </c>
      <c r="J241" s="3">
        <v>12926.75</v>
      </c>
      <c r="K241" t="str">
        <f t="shared" si="6"/>
        <v>June</v>
      </c>
      <c r="L241">
        <f t="shared" si="7"/>
        <v>2023</v>
      </c>
    </row>
    <row r="242" spans="1:12" x14ac:dyDescent="0.3">
      <c r="A242" s="2">
        <v>45102</v>
      </c>
      <c r="B242" t="s">
        <v>38</v>
      </c>
      <c r="C242" t="s">
        <v>56</v>
      </c>
      <c r="D242" t="s">
        <v>156</v>
      </c>
      <c r="E242" t="s">
        <v>26</v>
      </c>
      <c r="F242" t="s">
        <v>27</v>
      </c>
      <c r="G242" t="s">
        <v>94</v>
      </c>
      <c r="H242" s="3">
        <v>11163.95</v>
      </c>
      <c r="I242" s="4">
        <v>1</v>
      </c>
      <c r="J242" s="3">
        <v>1474.89</v>
      </c>
      <c r="K242" t="str">
        <f t="shared" si="6"/>
        <v>June</v>
      </c>
      <c r="L242">
        <f t="shared" si="7"/>
        <v>2023</v>
      </c>
    </row>
    <row r="243" spans="1:12" x14ac:dyDescent="0.3">
      <c r="A243" s="2">
        <v>45103</v>
      </c>
      <c r="B243" t="s">
        <v>95</v>
      </c>
      <c r="C243" t="s">
        <v>22</v>
      </c>
      <c r="D243" t="s">
        <v>156</v>
      </c>
      <c r="E243" t="s">
        <v>35</v>
      </c>
      <c r="F243" t="s">
        <v>63</v>
      </c>
      <c r="G243" t="s">
        <v>112</v>
      </c>
      <c r="H243" s="3">
        <v>127625.09</v>
      </c>
      <c r="I243" s="4">
        <v>4</v>
      </c>
      <c r="J243" s="3">
        <v>11533.49</v>
      </c>
      <c r="K243" t="str">
        <f t="shared" si="6"/>
        <v>June</v>
      </c>
      <c r="L243">
        <f t="shared" si="7"/>
        <v>2023</v>
      </c>
    </row>
    <row r="244" spans="1:12" x14ac:dyDescent="0.3">
      <c r="A244" s="2">
        <v>45106</v>
      </c>
      <c r="B244" t="s">
        <v>103</v>
      </c>
      <c r="C244" t="s">
        <v>69</v>
      </c>
      <c r="D244" t="s">
        <v>156</v>
      </c>
      <c r="E244" t="s">
        <v>35</v>
      </c>
      <c r="F244" t="s">
        <v>50</v>
      </c>
      <c r="G244" t="s">
        <v>118</v>
      </c>
      <c r="H244" s="3">
        <v>6411.49</v>
      </c>
      <c r="I244" s="4">
        <v>1</v>
      </c>
      <c r="J244" s="3">
        <v>1259.49</v>
      </c>
      <c r="K244" t="str">
        <f t="shared" si="6"/>
        <v>June</v>
      </c>
      <c r="L244">
        <f t="shared" si="7"/>
        <v>2023</v>
      </c>
    </row>
    <row r="245" spans="1:12" x14ac:dyDescent="0.3">
      <c r="A245" s="2">
        <v>45107</v>
      </c>
      <c r="B245" t="s">
        <v>93</v>
      </c>
      <c r="C245" t="s">
        <v>58</v>
      </c>
      <c r="D245" t="s">
        <v>156</v>
      </c>
      <c r="E245" t="s">
        <v>35</v>
      </c>
      <c r="F245" t="s">
        <v>75</v>
      </c>
      <c r="G245" t="s">
        <v>76</v>
      </c>
      <c r="H245" s="3">
        <v>194774.53</v>
      </c>
      <c r="I245" s="4">
        <v>5</v>
      </c>
      <c r="J245" s="3">
        <v>15997.28</v>
      </c>
      <c r="K245" t="str">
        <f t="shared" si="6"/>
        <v>June</v>
      </c>
      <c r="L245">
        <f t="shared" si="7"/>
        <v>2023</v>
      </c>
    </row>
    <row r="246" spans="1:12" x14ac:dyDescent="0.3">
      <c r="A246" s="2">
        <v>45108</v>
      </c>
      <c r="B246" t="s">
        <v>101</v>
      </c>
      <c r="C246" t="s">
        <v>69</v>
      </c>
      <c r="D246" t="s">
        <v>156</v>
      </c>
      <c r="E246" t="s">
        <v>18</v>
      </c>
      <c r="F246" t="s">
        <v>40</v>
      </c>
      <c r="G246" t="s">
        <v>105</v>
      </c>
      <c r="H246" s="3">
        <v>2386.75</v>
      </c>
      <c r="I246" s="4">
        <v>1</v>
      </c>
      <c r="J246" s="3">
        <v>183.25</v>
      </c>
      <c r="K246" t="str">
        <f t="shared" si="6"/>
        <v>July</v>
      </c>
      <c r="L246">
        <f t="shared" si="7"/>
        <v>2023</v>
      </c>
    </row>
    <row r="247" spans="1:12" x14ac:dyDescent="0.3">
      <c r="A247" s="2">
        <v>45108</v>
      </c>
      <c r="B247" t="s">
        <v>92</v>
      </c>
      <c r="C247" t="s">
        <v>61</v>
      </c>
      <c r="D247" t="s">
        <v>156</v>
      </c>
      <c r="E247" t="s">
        <v>42</v>
      </c>
      <c r="F247" t="s">
        <v>43</v>
      </c>
      <c r="G247" t="s">
        <v>87</v>
      </c>
      <c r="H247" s="3">
        <v>22386.29</v>
      </c>
      <c r="I247" s="4">
        <v>2</v>
      </c>
      <c r="J247" s="3">
        <v>4184.55</v>
      </c>
      <c r="K247" t="str">
        <f t="shared" si="6"/>
        <v>July</v>
      </c>
      <c r="L247">
        <f t="shared" si="7"/>
        <v>2023</v>
      </c>
    </row>
    <row r="248" spans="1:12" x14ac:dyDescent="0.3">
      <c r="A248" s="2">
        <v>45108</v>
      </c>
      <c r="B248" t="s">
        <v>80</v>
      </c>
      <c r="C248" t="s">
        <v>56</v>
      </c>
      <c r="D248" t="s">
        <v>156</v>
      </c>
      <c r="E248" t="s">
        <v>26</v>
      </c>
      <c r="F248" t="s">
        <v>53</v>
      </c>
      <c r="G248" t="s">
        <v>54</v>
      </c>
      <c r="H248" s="3">
        <v>38674.120000000003</v>
      </c>
      <c r="I248" s="4">
        <v>1</v>
      </c>
      <c r="J248" s="3">
        <v>3900.47</v>
      </c>
      <c r="K248" t="str">
        <f t="shared" si="6"/>
        <v>July</v>
      </c>
      <c r="L248">
        <f t="shared" si="7"/>
        <v>2023</v>
      </c>
    </row>
    <row r="249" spans="1:12" x14ac:dyDescent="0.3">
      <c r="A249" s="2">
        <v>45109</v>
      </c>
      <c r="B249" t="s">
        <v>74</v>
      </c>
      <c r="C249" t="s">
        <v>69</v>
      </c>
      <c r="D249" t="s">
        <v>156</v>
      </c>
      <c r="E249" t="s">
        <v>42</v>
      </c>
      <c r="F249" t="s">
        <v>90</v>
      </c>
      <c r="G249" t="s">
        <v>120</v>
      </c>
      <c r="H249" s="3">
        <v>21521.75</v>
      </c>
      <c r="I249" s="4">
        <v>4</v>
      </c>
      <c r="J249" s="3">
        <v>2536.09</v>
      </c>
      <c r="K249" t="str">
        <f t="shared" si="6"/>
        <v>July</v>
      </c>
      <c r="L249">
        <f t="shared" si="7"/>
        <v>2023</v>
      </c>
    </row>
    <row r="250" spans="1:12" x14ac:dyDescent="0.3">
      <c r="A250" s="2">
        <v>45110</v>
      </c>
      <c r="B250" t="s">
        <v>92</v>
      </c>
      <c r="C250" t="s">
        <v>58</v>
      </c>
      <c r="D250" t="s">
        <v>156</v>
      </c>
      <c r="E250" t="s">
        <v>35</v>
      </c>
      <c r="F250" t="s">
        <v>75</v>
      </c>
      <c r="G250" t="s">
        <v>107</v>
      </c>
      <c r="H250" s="3">
        <v>72824.11</v>
      </c>
      <c r="I250" s="4">
        <v>2</v>
      </c>
      <c r="J250" s="3">
        <v>6874.6</v>
      </c>
      <c r="K250" t="str">
        <f t="shared" si="6"/>
        <v>July</v>
      </c>
      <c r="L250">
        <f t="shared" si="7"/>
        <v>2023</v>
      </c>
    </row>
    <row r="251" spans="1:12" x14ac:dyDescent="0.3">
      <c r="A251" s="2">
        <v>45111</v>
      </c>
      <c r="B251" t="s">
        <v>34</v>
      </c>
      <c r="C251" t="s">
        <v>46</v>
      </c>
      <c r="D251" t="s">
        <v>156</v>
      </c>
      <c r="E251" t="s">
        <v>42</v>
      </c>
      <c r="F251" t="s">
        <v>43</v>
      </c>
      <c r="G251" t="s">
        <v>89</v>
      </c>
      <c r="H251" s="3">
        <v>57960.12</v>
      </c>
      <c r="I251" s="4">
        <v>2</v>
      </c>
      <c r="J251" s="3">
        <v>-4267.8100000000004</v>
      </c>
      <c r="K251" t="str">
        <f t="shared" si="6"/>
        <v>July</v>
      </c>
      <c r="L251">
        <f t="shared" si="7"/>
        <v>2023</v>
      </c>
    </row>
    <row r="252" spans="1:12" x14ac:dyDescent="0.3">
      <c r="A252" s="2">
        <v>45111</v>
      </c>
      <c r="B252" t="s">
        <v>92</v>
      </c>
      <c r="C252" t="s">
        <v>17</v>
      </c>
      <c r="D252" t="s">
        <v>156</v>
      </c>
      <c r="E252" t="s">
        <v>13</v>
      </c>
      <c r="F252" t="s">
        <v>23</v>
      </c>
      <c r="G252" t="s">
        <v>24</v>
      </c>
      <c r="H252" s="3">
        <v>119310.19</v>
      </c>
      <c r="I252" s="4">
        <v>2</v>
      </c>
      <c r="J252" s="3">
        <v>17652.68</v>
      </c>
      <c r="K252" t="str">
        <f t="shared" si="6"/>
        <v>July</v>
      </c>
      <c r="L252">
        <f t="shared" si="7"/>
        <v>2023</v>
      </c>
    </row>
    <row r="253" spans="1:12" x14ac:dyDescent="0.3">
      <c r="A253" s="2">
        <v>45112</v>
      </c>
      <c r="B253" t="s">
        <v>86</v>
      </c>
      <c r="C253" t="s">
        <v>58</v>
      </c>
      <c r="D253" t="s">
        <v>156</v>
      </c>
      <c r="E253" t="s">
        <v>18</v>
      </c>
      <c r="F253" t="s">
        <v>19</v>
      </c>
      <c r="G253" t="s">
        <v>59</v>
      </c>
      <c r="H253" s="3">
        <v>142779.62</v>
      </c>
      <c r="I253" s="4">
        <v>3</v>
      </c>
      <c r="J253" s="3">
        <v>10343.15</v>
      </c>
      <c r="K253" t="str">
        <f t="shared" si="6"/>
        <v>July</v>
      </c>
      <c r="L253">
        <f t="shared" si="7"/>
        <v>2023</v>
      </c>
    </row>
    <row r="254" spans="1:12" x14ac:dyDescent="0.3">
      <c r="A254" s="2">
        <v>45112</v>
      </c>
      <c r="B254" t="s">
        <v>21</v>
      </c>
      <c r="C254" t="s">
        <v>49</v>
      </c>
      <c r="D254" t="s">
        <v>156</v>
      </c>
      <c r="E254" t="s">
        <v>26</v>
      </c>
      <c r="F254" t="s">
        <v>27</v>
      </c>
      <c r="G254" t="s">
        <v>31</v>
      </c>
      <c r="H254" s="3">
        <v>9161.77</v>
      </c>
      <c r="I254" s="4">
        <v>1</v>
      </c>
      <c r="J254" s="3">
        <v>1336.34</v>
      </c>
      <c r="K254" t="str">
        <f t="shared" si="6"/>
        <v>July</v>
      </c>
      <c r="L254">
        <f t="shared" si="7"/>
        <v>2023</v>
      </c>
    </row>
    <row r="255" spans="1:12" x14ac:dyDescent="0.3">
      <c r="A255" s="2">
        <v>45114</v>
      </c>
      <c r="B255" t="s">
        <v>16</v>
      </c>
      <c r="C255" t="s">
        <v>30</v>
      </c>
      <c r="D255" t="s">
        <v>156</v>
      </c>
      <c r="E255" t="s">
        <v>13</v>
      </c>
      <c r="F255" t="s">
        <v>14</v>
      </c>
      <c r="G255" t="s">
        <v>88</v>
      </c>
      <c r="H255" s="3">
        <v>1305.54</v>
      </c>
      <c r="I255" s="4">
        <v>1</v>
      </c>
      <c r="J255" s="3">
        <v>123.79</v>
      </c>
      <c r="K255" t="str">
        <f t="shared" si="6"/>
        <v>July</v>
      </c>
      <c r="L255">
        <f t="shared" si="7"/>
        <v>2023</v>
      </c>
    </row>
    <row r="256" spans="1:12" x14ac:dyDescent="0.3">
      <c r="A256" s="2">
        <v>45117</v>
      </c>
      <c r="B256" t="s">
        <v>34</v>
      </c>
      <c r="C256" t="s">
        <v>46</v>
      </c>
      <c r="D256" t="s">
        <v>156</v>
      </c>
      <c r="E256" t="s">
        <v>18</v>
      </c>
      <c r="F256" t="s">
        <v>40</v>
      </c>
      <c r="G256" t="s">
        <v>105</v>
      </c>
      <c r="H256" s="3">
        <v>2324.56</v>
      </c>
      <c r="I256" s="4">
        <v>1</v>
      </c>
      <c r="J256" s="3">
        <v>182.41</v>
      </c>
      <c r="K256" t="str">
        <f t="shared" si="6"/>
        <v>July</v>
      </c>
      <c r="L256">
        <f t="shared" si="7"/>
        <v>2023</v>
      </c>
    </row>
    <row r="257" spans="1:12" x14ac:dyDescent="0.3">
      <c r="A257" s="2">
        <v>45117</v>
      </c>
      <c r="B257" t="s">
        <v>73</v>
      </c>
      <c r="C257" t="s">
        <v>56</v>
      </c>
      <c r="D257" t="s">
        <v>156</v>
      </c>
      <c r="E257" t="s">
        <v>18</v>
      </c>
      <c r="F257" t="s">
        <v>19</v>
      </c>
      <c r="G257" t="s">
        <v>72</v>
      </c>
      <c r="H257" s="3">
        <v>53732.71</v>
      </c>
      <c r="I257" s="4">
        <v>1</v>
      </c>
      <c r="J257" s="3">
        <v>5221.92</v>
      </c>
      <c r="K257" t="str">
        <f t="shared" si="6"/>
        <v>July</v>
      </c>
      <c r="L257">
        <f t="shared" si="7"/>
        <v>2023</v>
      </c>
    </row>
    <row r="258" spans="1:12" x14ac:dyDescent="0.3">
      <c r="A258" s="2">
        <v>45117</v>
      </c>
      <c r="B258" t="s">
        <v>11</v>
      </c>
      <c r="C258" t="s">
        <v>68</v>
      </c>
      <c r="D258" t="s">
        <v>156</v>
      </c>
      <c r="E258" t="s">
        <v>42</v>
      </c>
      <c r="F258" t="s">
        <v>43</v>
      </c>
      <c r="G258" t="s">
        <v>89</v>
      </c>
      <c r="H258" s="3">
        <v>30563.119999999999</v>
      </c>
      <c r="I258" s="4">
        <v>1</v>
      </c>
      <c r="J258" s="3">
        <v>5223.9399999999996</v>
      </c>
      <c r="K258" t="str">
        <f t="shared" si="6"/>
        <v>July</v>
      </c>
      <c r="L258">
        <f t="shared" si="7"/>
        <v>2023</v>
      </c>
    </row>
    <row r="259" spans="1:12" x14ac:dyDescent="0.3">
      <c r="A259" s="2">
        <v>45118</v>
      </c>
      <c r="B259" t="s">
        <v>103</v>
      </c>
      <c r="C259" t="s">
        <v>56</v>
      </c>
      <c r="D259" t="s">
        <v>156</v>
      </c>
      <c r="E259" t="s">
        <v>18</v>
      </c>
      <c r="F259" t="s">
        <v>19</v>
      </c>
      <c r="G259" t="s">
        <v>33</v>
      </c>
      <c r="H259" s="3">
        <v>100511.54</v>
      </c>
      <c r="I259" s="4">
        <v>2</v>
      </c>
      <c r="J259" s="3">
        <v>12697.09</v>
      </c>
      <c r="K259" t="str">
        <f t="shared" ref="K259:K322" si="8">TEXT(A259,"mmmm")</f>
        <v>July</v>
      </c>
      <c r="L259">
        <f t="shared" ref="L259:L322" si="9">YEAR(A259)</f>
        <v>2023</v>
      </c>
    </row>
    <row r="260" spans="1:12" x14ac:dyDescent="0.3">
      <c r="A260" s="2">
        <v>45119</v>
      </c>
      <c r="B260" t="s">
        <v>67</v>
      </c>
      <c r="C260" t="s">
        <v>62</v>
      </c>
      <c r="D260" t="s">
        <v>156</v>
      </c>
      <c r="E260" t="s">
        <v>26</v>
      </c>
      <c r="F260" t="s">
        <v>27</v>
      </c>
      <c r="G260" t="s">
        <v>82</v>
      </c>
      <c r="H260" s="3">
        <v>31359.01</v>
      </c>
      <c r="I260" s="4">
        <v>1</v>
      </c>
      <c r="J260" s="3">
        <v>3616.85</v>
      </c>
      <c r="K260" t="str">
        <f t="shared" si="8"/>
        <v>July</v>
      </c>
      <c r="L260">
        <f t="shared" si="9"/>
        <v>2023</v>
      </c>
    </row>
    <row r="261" spans="1:12" x14ac:dyDescent="0.3">
      <c r="A261" s="2">
        <v>45119</v>
      </c>
      <c r="B261" t="s">
        <v>83</v>
      </c>
      <c r="C261" t="s">
        <v>62</v>
      </c>
      <c r="D261" t="s">
        <v>156</v>
      </c>
      <c r="E261" t="s">
        <v>18</v>
      </c>
      <c r="F261" t="s">
        <v>19</v>
      </c>
      <c r="G261" t="s">
        <v>106</v>
      </c>
      <c r="H261" s="3">
        <v>88341.24</v>
      </c>
      <c r="I261" s="4">
        <v>1</v>
      </c>
      <c r="J261" s="3">
        <v>11852.52</v>
      </c>
      <c r="K261" t="str">
        <f t="shared" si="8"/>
        <v>July</v>
      </c>
      <c r="L261">
        <f t="shared" si="9"/>
        <v>2023</v>
      </c>
    </row>
    <row r="262" spans="1:12" x14ac:dyDescent="0.3">
      <c r="A262" s="2">
        <v>45120</v>
      </c>
      <c r="B262" t="s">
        <v>29</v>
      </c>
      <c r="C262" t="s">
        <v>46</v>
      </c>
      <c r="D262" t="s">
        <v>156</v>
      </c>
      <c r="E262" t="s">
        <v>26</v>
      </c>
      <c r="F262" t="s">
        <v>27</v>
      </c>
      <c r="G262" t="s">
        <v>31</v>
      </c>
      <c r="H262" s="3">
        <v>43631.69</v>
      </c>
      <c r="I262" s="4">
        <v>5</v>
      </c>
      <c r="J262" s="3">
        <v>4792.34</v>
      </c>
      <c r="K262" t="str">
        <f t="shared" si="8"/>
        <v>July</v>
      </c>
      <c r="L262">
        <f t="shared" si="9"/>
        <v>2023</v>
      </c>
    </row>
    <row r="263" spans="1:12" x14ac:dyDescent="0.3">
      <c r="A263" s="2">
        <v>45121</v>
      </c>
      <c r="B263" t="s">
        <v>95</v>
      </c>
      <c r="C263" t="s">
        <v>62</v>
      </c>
      <c r="D263" t="s">
        <v>156</v>
      </c>
      <c r="E263" t="s">
        <v>18</v>
      </c>
      <c r="F263" t="s">
        <v>19</v>
      </c>
      <c r="G263" t="s">
        <v>106</v>
      </c>
      <c r="H263" s="3">
        <v>274308.07</v>
      </c>
      <c r="I263" s="4">
        <v>3</v>
      </c>
      <c r="J263" s="3">
        <v>24954.880000000001</v>
      </c>
      <c r="K263" t="str">
        <f t="shared" si="8"/>
        <v>July</v>
      </c>
      <c r="L263">
        <f t="shared" si="9"/>
        <v>2023</v>
      </c>
    </row>
    <row r="264" spans="1:12" x14ac:dyDescent="0.3">
      <c r="A264" s="2">
        <v>45122</v>
      </c>
      <c r="B264" t="s">
        <v>32</v>
      </c>
      <c r="C264" t="s">
        <v>66</v>
      </c>
      <c r="D264" t="s">
        <v>156</v>
      </c>
      <c r="E264" t="s">
        <v>42</v>
      </c>
      <c r="F264" t="s">
        <v>90</v>
      </c>
      <c r="G264" t="s">
        <v>91</v>
      </c>
      <c r="H264" s="3">
        <v>1888.8</v>
      </c>
      <c r="I264" s="4">
        <v>1</v>
      </c>
      <c r="J264" s="3">
        <v>400.44</v>
      </c>
      <c r="K264" t="str">
        <f t="shared" si="8"/>
        <v>July</v>
      </c>
      <c r="L264">
        <f t="shared" si="9"/>
        <v>2023</v>
      </c>
    </row>
    <row r="265" spans="1:12" x14ac:dyDescent="0.3">
      <c r="A265" s="2">
        <v>45125</v>
      </c>
      <c r="B265" t="s">
        <v>11</v>
      </c>
      <c r="C265" t="s">
        <v>12</v>
      </c>
      <c r="D265" t="s">
        <v>156</v>
      </c>
      <c r="E265" t="s">
        <v>35</v>
      </c>
      <c r="F265" t="s">
        <v>75</v>
      </c>
      <c r="G265" t="s">
        <v>76</v>
      </c>
      <c r="H265" s="3">
        <v>75446.94</v>
      </c>
      <c r="I265" s="4">
        <v>2</v>
      </c>
      <c r="J265" s="3">
        <v>11285.31</v>
      </c>
      <c r="K265" t="str">
        <f t="shared" si="8"/>
        <v>July</v>
      </c>
      <c r="L265">
        <f t="shared" si="9"/>
        <v>2023</v>
      </c>
    </row>
    <row r="266" spans="1:12" x14ac:dyDescent="0.3">
      <c r="A266" s="2">
        <v>45126</v>
      </c>
      <c r="B266" t="s">
        <v>67</v>
      </c>
      <c r="C266" t="s">
        <v>69</v>
      </c>
      <c r="D266" t="s">
        <v>156</v>
      </c>
      <c r="E266" t="s">
        <v>35</v>
      </c>
      <c r="F266" t="s">
        <v>75</v>
      </c>
      <c r="G266" t="s">
        <v>76</v>
      </c>
      <c r="H266" s="3">
        <v>38428.949999999997</v>
      </c>
      <c r="I266" s="4">
        <v>1</v>
      </c>
      <c r="J266" s="3">
        <v>3605.03</v>
      </c>
      <c r="K266" t="str">
        <f t="shared" si="8"/>
        <v>July</v>
      </c>
      <c r="L266">
        <f t="shared" si="9"/>
        <v>2023</v>
      </c>
    </row>
    <row r="267" spans="1:12" x14ac:dyDescent="0.3">
      <c r="A267" s="2">
        <v>45126</v>
      </c>
      <c r="B267" t="s">
        <v>67</v>
      </c>
      <c r="C267" t="s">
        <v>46</v>
      </c>
      <c r="D267" t="s">
        <v>156</v>
      </c>
      <c r="E267" t="s">
        <v>26</v>
      </c>
      <c r="F267" t="s">
        <v>53</v>
      </c>
      <c r="G267" t="s">
        <v>96</v>
      </c>
      <c r="H267" s="3">
        <v>62494.36</v>
      </c>
      <c r="I267" s="4">
        <v>1</v>
      </c>
      <c r="J267" s="3">
        <v>8846.8799999999992</v>
      </c>
      <c r="K267" t="str">
        <f t="shared" si="8"/>
        <v>July</v>
      </c>
      <c r="L267">
        <f t="shared" si="9"/>
        <v>2023</v>
      </c>
    </row>
    <row r="268" spans="1:12" x14ac:dyDescent="0.3">
      <c r="A268" s="2">
        <v>45126</v>
      </c>
      <c r="B268" t="s">
        <v>74</v>
      </c>
      <c r="C268" t="s">
        <v>68</v>
      </c>
      <c r="D268" t="s">
        <v>156</v>
      </c>
      <c r="E268" t="s">
        <v>42</v>
      </c>
      <c r="F268" t="s">
        <v>90</v>
      </c>
      <c r="G268" t="s">
        <v>120</v>
      </c>
      <c r="H268" s="3">
        <v>17510.48</v>
      </c>
      <c r="I268" s="4">
        <v>3</v>
      </c>
      <c r="J268" s="3">
        <v>3190.49</v>
      </c>
      <c r="K268" t="str">
        <f t="shared" si="8"/>
        <v>July</v>
      </c>
      <c r="L268">
        <f t="shared" si="9"/>
        <v>2023</v>
      </c>
    </row>
    <row r="269" spans="1:12" x14ac:dyDescent="0.3">
      <c r="A269" s="2">
        <v>45127</v>
      </c>
      <c r="B269" t="s">
        <v>25</v>
      </c>
      <c r="C269" t="s">
        <v>39</v>
      </c>
      <c r="D269" t="s">
        <v>156</v>
      </c>
      <c r="E269" t="s">
        <v>42</v>
      </c>
      <c r="F269" t="s">
        <v>90</v>
      </c>
      <c r="G269" t="s">
        <v>91</v>
      </c>
      <c r="H269" s="3">
        <v>6774.49</v>
      </c>
      <c r="I269" s="4">
        <v>4</v>
      </c>
      <c r="J269" s="3">
        <v>835.18</v>
      </c>
      <c r="K269" t="str">
        <f t="shared" si="8"/>
        <v>July</v>
      </c>
      <c r="L269">
        <f t="shared" si="9"/>
        <v>2023</v>
      </c>
    </row>
    <row r="270" spans="1:12" x14ac:dyDescent="0.3">
      <c r="A270" s="2">
        <v>45127</v>
      </c>
      <c r="B270" t="s">
        <v>116</v>
      </c>
      <c r="C270" t="s">
        <v>12</v>
      </c>
      <c r="D270" t="s">
        <v>156</v>
      </c>
      <c r="E270" t="s">
        <v>18</v>
      </c>
      <c r="F270" t="s">
        <v>40</v>
      </c>
      <c r="G270" t="s">
        <v>102</v>
      </c>
      <c r="H270" s="3">
        <v>2631.63</v>
      </c>
      <c r="I270" s="4">
        <v>2</v>
      </c>
      <c r="J270" s="3">
        <v>269.08</v>
      </c>
      <c r="K270" t="str">
        <f t="shared" si="8"/>
        <v>July</v>
      </c>
      <c r="L270">
        <f t="shared" si="9"/>
        <v>2023</v>
      </c>
    </row>
    <row r="271" spans="1:12" x14ac:dyDescent="0.3">
      <c r="A271" s="2">
        <v>45128</v>
      </c>
      <c r="B271" t="s">
        <v>95</v>
      </c>
      <c r="C271" t="s">
        <v>30</v>
      </c>
      <c r="D271" t="s">
        <v>156</v>
      </c>
      <c r="E271" t="s">
        <v>13</v>
      </c>
      <c r="F271" t="s">
        <v>23</v>
      </c>
      <c r="G271" t="s">
        <v>24</v>
      </c>
      <c r="H271" s="3">
        <v>113400.51</v>
      </c>
      <c r="I271" s="4">
        <v>2</v>
      </c>
      <c r="J271" s="3">
        <v>12966.5</v>
      </c>
      <c r="K271" t="str">
        <f t="shared" si="8"/>
        <v>July</v>
      </c>
      <c r="L271">
        <f t="shared" si="9"/>
        <v>2023</v>
      </c>
    </row>
    <row r="272" spans="1:12" x14ac:dyDescent="0.3">
      <c r="A272" s="2">
        <v>45130</v>
      </c>
      <c r="B272" t="s">
        <v>78</v>
      </c>
      <c r="C272" t="s">
        <v>61</v>
      </c>
      <c r="D272" t="s">
        <v>156</v>
      </c>
      <c r="E272" t="s">
        <v>18</v>
      </c>
      <c r="F272" t="s">
        <v>19</v>
      </c>
      <c r="G272" t="s">
        <v>33</v>
      </c>
      <c r="H272" s="3">
        <v>58038.31</v>
      </c>
      <c r="I272" s="4">
        <v>1</v>
      </c>
      <c r="J272" s="3">
        <v>5843.26</v>
      </c>
      <c r="K272" t="str">
        <f t="shared" si="8"/>
        <v>July</v>
      </c>
      <c r="L272">
        <f t="shared" si="9"/>
        <v>2023</v>
      </c>
    </row>
    <row r="273" spans="1:12" x14ac:dyDescent="0.3">
      <c r="A273" s="2">
        <v>45131</v>
      </c>
      <c r="B273" t="s">
        <v>52</v>
      </c>
      <c r="C273" t="s">
        <v>58</v>
      </c>
      <c r="D273" t="s">
        <v>156</v>
      </c>
      <c r="E273" t="s">
        <v>42</v>
      </c>
      <c r="F273" t="s">
        <v>90</v>
      </c>
      <c r="G273" t="s">
        <v>120</v>
      </c>
      <c r="H273" s="3">
        <v>5544.78</v>
      </c>
      <c r="I273" s="4">
        <v>1</v>
      </c>
      <c r="J273" s="3">
        <v>727.49</v>
      </c>
      <c r="K273" t="str">
        <f t="shared" si="8"/>
        <v>July</v>
      </c>
      <c r="L273">
        <f t="shared" si="9"/>
        <v>2023</v>
      </c>
    </row>
    <row r="274" spans="1:12" x14ac:dyDescent="0.3">
      <c r="A274" s="2">
        <v>45131</v>
      </c>
      <c r="B274" t="s">
        <v>95</v>
      </c>
      <c r="C274" t="s">
        <v>58</v>
      </c>
      <c r="D274" t="s">
        <v>156</v>
      </c>
      <c r="E274" t="s">
        <v>18</v>
      </c>
      <c r="F274" t="s">
        <v>40</v>
      </c>
      <c r="G274" t="s">
        <v>41</v>
      </c>
      <c r="H274" s="3">
        <v>16255.93</v>
      </c>
      <c r="I274" s="4">
        <v>1</v>
      </c>
      <c r="J274" s="3">
        <v>1892.13</v>
      </c>
      <c r="K274" t="str">
        <f t="shared" si="8"/>
        <v>July</v>
      </c>
      <c r="L274">
        <f t="shared" si="9"/>
        <v>2023</v>
      </c>
    </row>
    <row r="275" spans="1:12" x14ac:dyDescent="0.3">
      <c r="A275" s="2">
        <v>45132</v>
      </c>
      <c r="B275" t="s">
        <v>109</v>
      </c>
      <c r="C275" t="s">
        <v>62</v>
      </c>
      <c r="D275" t="s">
        <v>156</v>
      </c>
      <c r="E275" t="s">
        <v>35</v>
      </c>
      <c r="F275" t="s">
        <v>63</v>
      </c>
      <c r="G275" t="s">
        <v>114</v>
      </c>
      <c r="H275" s="3">
        <v>89886.09</v>
      </c>
      <c r="I275" s="4">
        <v>3</v>
      </c>
      <c r="J275" s="3">
        <v>13127.17</v>
      </c>
      <c r="K275" t="str">
        <f t="shared" si="8"/>
        <v>July</v>
      </c>
      <c r="L275">
        <f t="shared" si="9"/>
        <v>2023</v>
      </c>
    </row>
    <row r="276" spans="1:12" x14ac:dyDescent="0.3">
      <c r="A276" s="2">
        <v>45132</v>
      </c>
      <c r="B276" t="s">
        <v>83</v>
      </c>
      <c r="C276" t="s">
        <v>30</v>
      </c>
      <c r="D276" t="s">
        <v>156</v>
      </c>
      <c r="E276" t="s">
        <v>42</v>
      </c>
      <c r="F276" t="s">
        <v>90</v>
      </c>
      <c r="G276" t="s">
        <v>97</v>
      </c>
      <c r="H276" s="3">
        <v>6309.29</v>
      </c>
      <c r="I276" s="4">
        <v>3</v>
      </c>
      <c r="J276" s="3">
        <v>1406.37</v>
      </c>
      <c r="K276" t="str">
        <f t="shared" si="8"/>
        <v>July</v>
      </c>
      <c r="L276">
        <f t="shared" si="9"/>
        <v>2023</v>
      </c>
    </row>
    <row r="277" spans="1:12" x14ac:dyDescent="0.3">
      <c r="A277" s="2">
        <v>45132</v>
      </c>
      <c r="B277" t="s">
        <v>103</v>
      </c>
      <c r="C277" t="s">
        <v>17</v>
      </c>
      <c r="D277" t="s">
        <v>156</v>
      </c>
      <c r="E277" t="s">
        <v>35</v>
      </c>
      <c r="F277" t="s">
        <v>75</v>
      </c>
      <c r="G277" t="s">
        <v>107</v>
      </c>
      <c r="H277" s="3">
        <v>68371.179999999993</v>
      </c>
      <c r="I277" s="4">
        <v>2</v>
      </c>
      <c r="J277" s="3">
        <v>5896.76</v>
      </c>
      <c r="K277" t="str">
        <f t="shared" si="8"/>
        <v>July</v>
      </c>
      <c r="L277">
        <f t="shared" si="9"/>
        <v>2023</v>
      </c>
    </row>
    <row r="278" spans="1:12" x14ac:dyDescent="0.3">
      <c r="A278" s="2">
        <v>45132</v>
      </c>
      <c r="B278" t="s">
        <v>101</v>
      </c>
      <c r="C278" t="s">
        <v>61</v>
      </c>
      <c r="D278" t="s">
        <v>156</v>
      </c>
      <c r="E278" t="s">
        <v>18</v>
      </c>
      <c r="F278" t="s">
        <v>19</v>
      </c>
      <c r="G278" t="s">
        <v>20</v>
      </c>
      <c r="H278" s="3">
        <v>59065.52</v>
      </c>
      <c r="I278" s="4">
        <v>1</v>
      </c>
      <c r="J278" s="3">
        <v>7369.77</v>
      </c>
      <c r="K278" t="str">
        <f t="shared" si="8"/>
        <v>July</v>
      </c>
      <c r="L278">
        <f t="shared" si="9"/>
        <v>2023</v>
      </c>
    </row>
    <row r="279" spans="1:12" x14ac:dyDescent="0.3">
      <c r="A279" s="2">
        <v>45133</v>
      </c>
      <c r="B279" t="s">
        <v>34</v>
      </c>
      <c r="C279" t="s">
        <v>66</v>
      </c>
      <c r="D279" t="s">
        <v>156</v>
      </c>
      <c r="E279" t="s">
        <v>35</v>
      </c>
      <c r="F279" t="s">
        <v>63</v>
      </c>
      <c r="G279" t="s">
        <v>112</v>
      </c>
      <c r="H279" s="3">
        <v>61202.54</v>
      </c>
      <c r="I279" s="4">
        <v>2</v>
      </c>
      <c r="J279" s="3">
        <v>6617.26</v>
      </c>
      <c r="K279" t="str">
        <f t="shared" si="8"/>
        <v>July</v>
      </c>
      <c r="L279">
        <f t="shared" si="9"/>
        <v>2023</v>
      </c>
    </row>
    <row r="280" spans="1:12" x14ac:dyDescent="0.3">
      <c r="A280" s="2">
        <v>45133</v>
      </c>
      <c r="B280" t="s">
        <v>71</v>
      </c>
      <c r="C280" t="s">
        <v>81</v>
      </c>
      <c r="D280" t="s">
        <v>156</v>
      </c>
      <c r="E280" t="s">
        <v>42</v>
      </c>
      <c r="F280" t="s">
        <v>43</v>
      </c>
      <c r="G280" t="s">
        <v>89</v>
      </c>
      <c r="H280" s="3">
        <v>33605.1</v>
      </c>
      <c r="I280" s="4">
        <v>1</v>
      </c>
      <c r="J280" s="3">
        <v>7237.52</v>
      </c>
      <c r="K280" t="str">
        <f t="shared" si="8"/>
        <v>July</v>
      </c>
      <c r="L280">
        <f t="shared" si="9"/>
        <v>2023</v>
      </c>
    </row>
    <row r="281" spans="1:12" x14ac:dyDescent="0.3">
      <c r="A281" s="2">
        <v>45133</v>
      </c>
      <c r="B281" t="s">
        <v>38</v>
      </c>
      <c r="C281" t="s">
        <v>58</v>
      </c>
      <c r="D281" t="s">
        <v>156</v>
      </c>
      <c r="E281" t="s">
        <v>26</v>
      </c>
      <c r="F281" t="s">
        <v>53</v>
      </c>
      <c r="G281" t="s">
        <v>98</v>
      </c>
      <c r="H281" s="3">
        <v>59754.55</v>
      </c>
      <c r="I281" s="4">
        <v>2</v>
      </c>
      <c r="J281" s="3">
        <v>9688.17</v>
      </c>
      <c r="K281" t="str">
        <f t="shared" si="8"/>
        <v>July</v>
      </c>
      <c r="L281">
        <f t="shared" si="9"/>
        <v>2023</v>
      </c>
    </row>
    <row r="282" spans="1:12" x14ac:dyDescent="0.3">
      <c r="A282" s="2">
        <v>45134</v>
      </c>
      <c r="B282" t="s">
        <v>65</v>
      </c>
      <c r="C282" t="s">
        <v>81</v>
      </c>
      <c r="D282" t="s">
        <v>156</v>
      </c>
      <c r="E282" t="s">
        <v>42</v>
      </c>
      <c r="F282" t="s">
        <v>43</v>
      </c>
      <c r="G282" t="s">
        <v>87</v>
      </c>
      <c r="H282" s="3">
        <v>10580.26</v>
      </c>
      <c r="I282" s="4">
        <v>1</v>
      </c>
      <c r="J282" s="3">
        <v>1902.37</v>
      </c>
      <c r="K282" t="str">
        <f t="shared" si="8"/>
        <v>July</v>
      </c>
      <c r="L282">
        <f t="shared" si="9"/>
        <v>2023</v>
      </c>
    </row>
    <row r="283" spans="1:12" x14ac:dyDescent="0.3">
      <c r="A283" s="2">
        <v>45134</v>
      </c>
      <c r="B283" t="s">
        <v>48</v>
      </c>
      <c r="C283" t="s">
        <v>17</v>
      </c>
      <c r="D283" t="s">
        <v>156</v>
      </c>
      <c r="E283" t="s">
        <v>13</v>
      </c>
      <c r="F283" t="s">
        <v>14</v>
      </c>
      <c r="G283" t="s">
        <v>70</v>
      </c>
      <c r="H283" s="3">
        <v>2986.92</v>
      </c>
      <c r="I283" s="4">
        <v>1</v>
      </c>
      <c r="J283" s="3">
        <v>434.69</v>
      </c>
      <c r="K283" t="str">
        <f t="shared" si="8"/>
        <v>July</v>
      </c>
      <c r="L283">
        <f t="shared" si="9"/>
        <v>2023</v>
      </c>
    </row>
    <row r="284" spans="1:12" x14ac:dyDescent="0.3">
      <c r="A284" s="2">
        <v>45135</v>
      </c>
      <c r="B284" t="s">
        <v>101</v>
      </c>
      <c r="C284" t="s">
        <v>17</v>
      </c>
      <c r="D284" t="s">
        <v>156</v>
      </c>
      <c r="E284" t="s">
        <v>13</v>
      </c>
      <c r="F284" t="s">
        <v>23</v>
      </c>
      <c r="G284" t="s">
        <v>47</v>
      </c>
      <c r="H284" s="3">
        <v>126484.84</v>
      </c>
      <c r="I284" s="4">
        <v>2</v>
      </c>
      <c r="J284" s="3">
        <v>17959.419999999998</v>
      </c>
      <c r="K284" t="str">
        <f t="shared" si="8"/>
        <v>July</v>
      </c>
      <c r="L284">
        <f t="shared" si="9"/>
        <v>2023</v>
      </c>
    </row>
    <row r="285" spans="1:12" x14ac:dyDescent="0.3">
      <c r="A285" s="2">
        <v>45135</v>
      </c>
      <c r="B285" t="s">
        <v>16</v>
      </c>
      <c r="C285" t="s">
        <v>17</v>
      </c>
      <c r="D285" t="s">
        <v>156</v>
      </c>
      <c r="E285" t="s">
        <v>42</v>
      </c>
      <c r="F285" t="s">
        <v>90</v>
      </c>
      <c r="G285" t="s">
        <v>97</v>
      </c>
      <c r="H285" s="3">
        <v>8916.67</v>
      </c>
      <c r="I285" s="4">
        <v>4</v>
      </c>
      <c r="J285" s="3">
        <v>2116.8000000000002</v>
      </c>
      <c r="K285" t="str">
        <f t="shared" si="8"/>
        <v>July</v>
      </c>
      <c r="L285">
        <f t="shared" si="9"/>
        <v>2023</v>
      </c>
    </row>
    <row r="286" spans="1:12" x14ac:dyDescent="0.3">
      <c r="A286" s="2">
        <v>45136</v>
      </c>
      <c r="B286" t="s">
        <v>55</v>
      </c>
      <c r="C286" t="s">
        <v>30</v>
      </c>
      <c r="D286" t="s">
        <v>156</v>
      </c>
      <c r="E286" t="s">
        <v>26</v>
      </c>
      <c r="F286" t="s">
        <v>27</v>
      </c>
      <c r="G286" t="s">
        <v>31</v>
      </c>
      <c r="H286" s="3">
        <v>18137.060000000001</v>
      </c>
      <c r="I286" s="4">
        <v>2</v>
      </c>
      <c r="J286" s="3">
        <v>1638.31</v>
      </c>
      <c r="K286" t="str">
        <f t="shared" si="8"/>
        <v>July</v>
      </c>
      <c r="L286">
        <f t="shared" si="9"/>
        <v>2023</v>
      </c>
    </row>
    <row r="287" spans="1:12" x14ac:dyDescent="0.3">
      <c r="A287" s="2">
        <v>45136</v>
      </c>
      <c r="B287" t="s">
        <v>34</v>
      </c>
      <c r="C287" t="s">
        <v>56</v>
      </c>
      <c r="D287" t="s">
        <v>156</v>
      </c>
      <c r="E287" t="s">
        <v>42</v>
      </c>
      <c r="F287" t="s">
        <v>90</v>
      </c>
      <c r="G287" t="s">
        <v>120</v>
      </c>
      <c r="H287" s="3">
        <v>11158.14</v>
      </c>
      <c r="I287" s="4">
        <v>2</v>
      </c>
      <c r="J287" s="3">
        <v>1913.95</v>
      </c>
      <c r="K287" t="str">
        <f t="shared" si="8"/>
        <v>July</v>
      </c>
      <c r="L287">
        <f t="shared" si="9"/>
        <v>2023</v>
      </c>
    </row>
    <row r="288" spans="1:12" x14ac:dyDescent="0.3">
      <c r="A288" s="2">
        <v>45137</v>
      </c>
      <c r="B288" t="s">
        <v>78</v>
      </c>
      <c r="C288" t="s">
        <v>12</v>
      </c>
      <c r="D288" t="s">
        <v>156</v>
      </c>
      <c r="E288" t="s">
        <v>13</v>
      </c>
      <c r="F288" t="s">
        <v>14</v>
      </c>
      <c r="G288" t="s">
        <v>88</v>
      </c>
      <c r="H288" s="3">
        <v>1438.48</v>
      </c>
      <c r="I288" s="4">
        <v>1</v>
      </c>
      <c r="J288" s="3">
        <v>115.65</v>
      </c>
      <c r="K288" t="str">
        <f t="shared" si="8"/>
        <v>July</v>
      </c>
      <c r="L288">
        <f t="shared" si="9"/>
        <v>2023</v>
      </c>
    </row>
    <row r="289" spans="1:12" x14ac:dyDescent="0.3">
      <c r="A289" s="2">
        <v>45137</v>
      </c>
      <c r="B289" t="s">
        <v>95</v>
      </c>
      <c r="C289" t="s">
        <v>49</v>
      </c>
      <c r="D289" t="s">
        <v>156</v>
      </c>
      <c r="E289" t="s">
        <v>42</v>
      </c>
      <c r="F289" t="s">
        <v>43</v>
      </c>
      <c r="G289" t="s">
        <v>87</v>
      </c>
      <c r="H289" s="3">
        <v>29817.14</v>
      </c>
      <c r="I289" s="4">
        <v>3</v>
      </c>
      <c r="J289" s="3">
        <v>5018.12</v>
      </c>
      <c r="K289" t="str">
        <f t="shared" si="8"/>
        <v>July</v>
      </c>
      <c r="L289">
        <f t="shared" si="9"/>
        <v>2023</v>
      </c>
    </row>
    <row r="290" spans="1:12" x14ac:dyDescent="0.3">
      <c r="A290" s="2">
        <v>45139</v>
      </c>
      <c r="B290" t="s">
        <v>45</v>
      </c>
      <c r="C290" t="s">
        <v>58</v>
      </c>
      <c r="D290" t="s">
        <v>156</v>
      </c>
      <c r="E290" t="s">
        <v>18</v>
      </c>
      <c r="F290" t="s">
        <v>19</v>
      </c>
      <c r="G290" t="s">
        <v>20</v>
      </c>
      <c r="H290" s="3">
        <v>67573.39</v>
      </c>
      <c r="I290" s="4">
        <v>1</v>
      </c>
      <c r="J290" s="3">
        <v>-3486.09</v>
      </c>
      <c r="K290" t="str">
        <f t="shared" si="8"/>
        <v>August</v>
      </c>
      <c r="L290">
        <f t="shared" si="9"/>
        <v>2023</v>
      </c>
    </row>
    <row r="291" spans="1:12" x14ac:dyDescent="0.3">
      <c r="A291" s="2">
        <v>45140</v>
      </c>
      <c r="B291" t="s">
        <v>16</v>
      </c>
      <c r="C291" t="s">
        <v>66</v>
      </c>
      <c r="D291" t="s">
        <v>156</v>
      </c>
      <c r="E291" t="s">
        <v>35</v>
      </c>
      <c r="F291" t="s">
        <v>50</v>
      </c>
      <c r="G291" t="s">
        <v>51</v>
      </c>
      <c r="H291" s="3">
        <v>38664.32</v>
      </c>
      <c r="I291" s="4">
        <v>5</v>
      </c>
      <c r="J291" s="3">
        <v>5921.78</v>
      </c>
      <c r="K291" t="str">
        <f t="shared" si="8"/>
        <v>August</v>
      </c>
      <c r="L291">
        <f t="shared" si="9"/>
        <v>2023</v>
      </c>
    </row>
    <row r="292" spans="1:12" x14ac:dyDescent="0.3">
      <c r="A292" s="2">
        <v>45142</v>
      </c>
      <c r="B292" t="s">
        <v>29</v>
      </c>
      <c r="C292" t="s">
        <v>22</v>
      </c>
      <c r="D292" t="s">
        <v>156</v>
      </c>
      <c r="E292" t="s">
        <v>13</v>
      </c>
      <c r="F292" t="s">
        <v>23</v>
      </c>
      <c r="G292" t="s">
        <v>77</v>
      </c>
      <c r="H292" s="3">
        <v>75583.8</v>
      </c>
      <c r="I292" s="4">
        <v>2</v>
      </c>
      <c r="J292" s="3">
        <v>10122.25</v>
      </c>
      <c r="K292" t="str">
        <f t="shared" si="8"/>
        <v>August</v>
      </c>
      <c r="L292">
        <f t="shared" si="9"/>
        <v>2023</v>
      </c>
    </row>
    <row r="293" spans="1:12" x14ac:dyDescent="0.3">
      <c r="A293" s="2">
        <v>45143</v>
      </c>
      <c r="B293" t="s">
        <v>109</v>
      </c>
      <c r="C293" t="s">
        <v>62</v>
      </c>
      <c r="D293" t="s">
        <v>156</v>
      </c>
      <c r="E293" t="s">
        <v>35</v>
      </c>
      <c r="F293" t="s">
        <v>36</v>
      </c>
      <c r="G293" t="s">
        <v>99</v>
      </c>
      <c r="H293" s="3">
        <v>36234.36</v>
      </c>
      <c r="I293" s="4">
        <v>1</v>
      </c>
      <c r="J293" s="3">
        <v>5727.02</v>
      </c>
      <c r="K293" t="str">
        <f t="shared" si="8"/>
        <v>August</v>
      </c>
      <c r="L293">
        <f t="shared" si="9"/>
        <v>2023</v>
      </c>
    </row>
    <row r="294" spans="1:12" x14ac:dyDescent="0.3">
      <c r="A294" s="2">
        <v>45144</v>
      </c>
      <c r="B294" t="s">
        <v>21</v>
      </c>
      <c r="C294" t="s">
        <v>49</v>
      </c>
      <c r="D294" t="s">
        <v>156</v>
      </c>
      <c r="E294" t="s">
        <v>18</v>
      </c>
      <c r="F294" t="s">
        <v>19</v>
      </c>
      <c r="G294" t="s">
        <v>20</v>
      </c>
      <c r="H294" s="3">
        <v>187900.9</v>
      </c>
      <c r="I294" s="4">
        <v>3</v>
      </c>
      <c r="J294" s="3">
        <v>20577.28</v>
      </c>
      <c r="K294" t="str">
        <f t="shared" si="8"/>
        <v>August</v>
      </c>
      <c r="L294">
        <f t="shared" si="9"/>
        <v>2023</v>
      </c>
    </row>
    <row r="295" spans="1:12" x14ac:dyDescent="0.3">
      <c r="A295" s="2">
        <v>45145</v>
      </c>
      <c r="B295" t="s">
        <v>92</v>
      </c>
      <c r="C295" t="s">
        <v>68</v>
      </c>
      <c r="D295" t="s">
        <v>156</v>
      </c>
      <c r="E295" t="s">
        <v>26</v>
      </c>
      <c r="F295" t="s">
        <v>53</v>
      </c>
      <c r="G295" t="s">
        <v>98</v>
      </c>
      <c r="H295" s="3">
        <v>26989.11</v>
      </c>
      <c r="I295" s="4">
        <v>1</v>
      </c>
      <c r="J295" s="3">
        <v>4635.3</v>
      </c>
      <c r="K295" t="str">
        <f t="shared" si="8"/>
        <v>August</v>
      </c>
      <c r="L295">
        <f t="shared" si="9"/>
        <v>2023</v>
      </c>
    </row>
    <row r="296" spans="1:12" x14ac:dyDescent="0.3">
      <c r="A296" s="2">
        <v>45146</v>
      </c>
      <c r="B296" t="s">
        <v>11</v>
      </c>
      <c r="C296" t="s">
        <v>30</v>
      </c>
      <c r="D296" t="s">
        <v>156</v>
      </c>
      <c r="E296" t="s">
        <v>26</v>
      </c>
      <c r="F296" t="s">
        <v>27</v>
      </c>
      <c r="G296" t="s">
        <v>28</v>
      </c>
      <c r="H296" s="3">
        <v>21384.89</v>
      </c>
      <c r="I296" s="4">
        <v>1</v>
      </c>
      <c r="J296" s="3">
        <v>3376.41</v>
      </c>
      <c r="K296" t="str">
        <f t="shared" si="8"/>
        <v>August</v>
      </c>
      <c r="L296">
        <f t="shared" si="9"/>
        <v>2023</v>
      </c>
    </row>
    <row r="297" spans="1:12" x14ac:dyDescent="0.3">
      <c r="A297" s="2">
        <v>45148</v>
      </c>
      <c r="B297" t="s">
        <v>65</v>
      </c>
      <c r="C297" t="s">
        <v>66</v>
      </c>
      <c r="D297" t="s">
        <v>156</v>
      </c>
      <c r="E297" t="s">
        <v>13</v>
      </c>
      <c r="F297" t="s">
        <v>14</v>
      </c>
      <c r="G297" t="s">
        <v>57</v>
      </c>
      <c r="H297" s="3">
        <v>2970.37</v>
      </c>
      <c r="I297" s="4">
        <v>2</v>
      </c>
      <c r="J297" s="3">
        <v>414.69</v>
      </c>
      <c r="K297" t="str">
        <f t="shared" si="8"/>
        <v>August</v>
      </c>
      <c r="L297">
        <f t="shared" si="9"/>
        <v>2023</v>
      </c>
    </row>
    <row r="298" spans="1:12" x14ac:dyDescent="0.3">
      <c r="A298" s="2">
        <v>45148</v>
      </c>
      <c r="B298" t="s">
        <v>52</v>
      </c>
      <c r="C298" t="s">
        <v>56</v>
      </c>
      <c r="D298" t="s">
        <v>156</v>
      </c>
      <c r="E298" t="s">
        <v>13</v>
      </c>
      <c r="F298" t="s">
        <v>23</v>
      </c>
      <c r="G298" t="s">
        <v>85</v>
      </c>
      <c r="H298" s="3">
        <v>41400.129999999997</v>
      </c>
      <c r="I298" s="4">
        <v>1</v>
      </c>
      <c r="J298" s="3">
        <v>2944.52</v>
      </c>
      <c r="K298" t="str">
        <f t="shared" si="8"/>
        <v>August</v>
      </c>
      <c r="L298">
        <f t="shared" si="9"/>
        <v>2023</v>
      </c>
    </row>
    <row r="299" spans="1:12" x14ac:dyDescent="0.3">
      <c r="A299" s="2">
        <v>45148</v>
      </c>
      <c r="B299" t="s">
        <v>83</v>
      </c>
      <c r="C299" t="s">
        <v>22</v>
      </c>
      <c r="D299" t="s">
        <v>156</v>
      </c>
      <c r="E299" t="s">
        <v>35</v>
      </c>
      <c r="F299" t="s">
        <v>50</v>
      </c>
      <c r="G299" t="s">
        <v>121</v>
      </c>
      <c r="H299" s="3">
        <v>4940.99</v>
      </c>
      <c r="I299" s="4">
        <v>1</v>
      </c>
      <c r="J299" s="3">
        <v>598.30999999999995</v>
      </c>
      <c r="K299" t="str">
        <f t="shared" si="8"/>
        <v>August</v>
      </c>
      <c r="L299">
        <f t="shared" si="9"/>
        <v>2023</v>
      </c>
    </row>
    <row r="300" spans="1:12" x14ac:dyDescent="0.3">
      <c r="A300" s="2">
        <v>45149</v>
      </c>
      <c r="B300" t="s">
        <v>74</v>
      </c>
      <c r="C300" t="s">
        <v>46</v>
      </c>
      <c r="D300" t="s">
        <v>156</v>
      </c>
      <c r="E300" t="s">
        <v>35</v>
      </c>
      <c r="F300" t="s">
        <v>75</v>
      </c>
      <c r="G300" t="s">
        <v>76</v>
      </c>
      <c r="H300" s="3">
        <v>39524.639999999999</v>
      </c>
      <c r="I300" s="4">
        <v>1</v>
      </c>
      <c r="J300" s="3">
        <v>4004.49</v>
      </c>
      <c r="K300" t="str">
        <f t="shared" si="8"/>
        <v>August</v>
      </c>
      <c r="L300">
        <f t="shared" si="9"/>
        <v>2023</v>
      </c>
    </row>
    <row r="301" spans="1:12" x14ac:dyDescent="0.3">
      <c r="A301" s="2">
        <v>45150</v>
      </c>
      <c r="B301" t="s">
        <v>45</v>
      </c>
      <c r="C301" t="s">
        <v>49</v>
      </c>
      <c r="D301" t="s">
        <v>156</v>
      </c>
      <c r="E301" t="s">
        <v>26</v>
      </c>
      <c r="F301" t="s">
        <v>53</v>
      </c>
      <c r="G301" t="s">
        <v>98</v>
      </c>
      <c r="H301" s="3">
        <v>29134.3</v>
      </c>
      <c r="I301" s="4">
        <v>1</v>
      </c>
      <c r="J301" s="3">
        <v>3961.82</v>
      </c>
      <c r="K301" t="str">
        <f t="shared" si="8"/>
        <v>August</v>
      </c>
      <c r="L301">
        <f t="shared" si="9"/>
        <v>2023</v>
      </c>
    </row>
    <row r="302" spans="1:12" x14ac:dyDescent="0.3">
      <c r="A302" s="2">
        <v>45150</v>
      </c>
      <c r="B302" t="s">
        <v>55</v>
      </c>
      <c r="C302" t="s">
        <v>30</v>
      </c>
      <c r="D302" t="s">
        <v>156</v>
      </c>
      <c r="E302" t="s">
        <v>26</v>
      </c>
      <c r="F302" t="s">
        <v>27</v>
      </c>
      <c r="G302" t="s">
        <v>31</v>
      </c>
      <c r="H302" s="3">
        <v>9772.89</v>
      </c>
      <c r="I302" s="4">
        <v>1</v>
      </c>
      <c r="J302" s="3">
        <v>1131.98</v>
      </c>
      <c r="K302" t="str">
        <f t="shared" si="8"/>
        <v>August</v>
      </c>
      <c r="L302">
        <f t="shared" si="9"/>
        <v>2023</v>
      </c>
    </row>
    <row r="303" spans="1:12" x14ac:dyDescent="0.3">
      <c r="A303" s="2">
        <v>45151</v>
      </c>
      <c r="B303" t="s">
        <v>55</v>
      </c>
      <c r="C303" t="s">
        <v>39</v>
      </c>
      <c r="D303" t="s">
        <v>156</v>
      </c>
      <c r="E303" t="s">
        <v>26</v>
      </c>
      <c r="F303" t="s">
        <v>27</v>
      </c>
      <c r="G303" t="s">
        <v>28</v>
      </c>
      <c r="H303" s="3">
        <v>22309.57</v>
      </c>
      <c r="I303" s="4">
        <v>1</v>
      </c>
      <c r="J303" s="3">
        <v>2828.96</v>
      </c>
      <c r="K303" t="str">
        <f t="shared" si="8"/>
        <v>August</v>
      </c>
      <c r="L303">
        <f t="shared" si="9"/>
        <v>2023</v>
      </c>
    </row>
    <row r="304" spans="1:12" x14ac:dyDescent="0.3">
      <c r="A304" s="2">
        <v>45151</v>
      </c>
      <c r="B304" t="s">
        <v>109</v>
      </c>
      <c r="C304" t="s">
        <v>46</v>
      </c>
      <c r="D304" t="s">
        <v>156</v>
      </c>
      <c r="E304" t="s">
        <v>18</v>
      </c>
      <c r="F304" t="s">
        <v>19</v>
      </c>
      <c r="G304" t="s">
        <v>106</v>
      </c>
      <c r="H304" s="3">
        <v>82584.47</v>
      </c>
      <c r="I304" s="4">
        <v>1</v>
      </c>
      <c r="J304" s="3">
        <v>12246.48</v>
      </c>
      <c r="K304" t="str">
        <f t="shared" si="8"/>
        <v>August</v>
      </c>
      <c r="L304">
        <f t="shared" si="9"/>
        <v>2023</v>
      </c>
    </row>
    <row r="305" spans="1:12" x14ac:dyDescent="0.3">
      <c r="A305" s="2">
        <v>45152</v>
      </c>
      <c r="B305" t="s">
        <v>34</v>
      </c>
      <c r="C305" t="s">
        <v>46</v>
      </c>
      <c r="D305" t="s">
        <v>156</v>
      </c>
      <c r="E305" t="s">
        <v>18</v>
      </c>
      <c r="F305" t="s">
        <v>19</v>
      </c>
      <c r="G305" t="s">
        <v>106</v>
      </c>
      <c r="H305" s="3">
        <v>165773.39000000001</v>
      </c>
      <c r="I305" s="4">
        <v>2</v>
      </c>
      <c r="J305" s="3">
        <v>11954.21</v>
      </c>
      <c r="K305" t="str">
        <f t="shared" si="8"/>
        <v>August</v>
      </c>
      <c r="L305">
        <f t="shared" si="9"/>
        <v>2023</v>
      </c>
    </row>
    <row r="306" spans="1:12" x14ac:dyDescent="0.3">
      <c r="A306" s="2">
        <v>45153</v>
      </c>
      <c r="B306" t="s">
        <v>32</v>
      </c>
      <c r="C306" t="s">
        <v>81</v>
      </c>
      <c r="D306" t="s">
        <v>156</v>
      </c>
      <c r="E306" t="s">
        <v>42</v>
      </c>
      <c r="F306" t="s">
        <v>90</v>
      </c>
      <c r="G306" t="s">
        <v>120</v>
      </c>
      <c r="H306" s="3">
        <v>10286.18</v>
      </c>
      <c r="I306" s="4">
        <v>2</v>
      </c>
      <c r="J306" s="3">
        <v>1488.57</v>
      </c>
      <c r="K306" t="str">
        <f t="shared" si="8"/>
        <v>August</v>
      </c>
      <c r="L306">
        <f t="shared" si="9"/>
        <v>2023</v>
      </c>
    </row>
    <row r="307" spans="1:12" x14ac:dyDescent="0.3">
      <c r="A307" s="2">
        <v>45153</v>
      </c>
      <c r="B307" t="s">
        <v>95</v>
      </c>
      <c r="C307" t="s">
        <v>12</v>
      </c>
      <c r="D307" t="s">
        <v>156</v>
      </c>
      <c r="E307" t="s">
        <v>26</v>
      </c>
      <c r="F307" t="s">
        <v>53</v>
      </c>
      <c r="G307" t="s">
        <v>54</v>
      </c>
      <c r="H307" s="3">
        <v>80531.929999999993</v>
      </c>
      <c r="I307" s="4">
        <v>2</v>
      </c>
      <c r="J307" s="3">
        <v>8196.16</v>
      </c>
      <c r="K307" t="str">
        <f t="shared" si="8"/>
        <v>August</v>
      </c>
      <c r="L307">
        <f t="shared" si="9"/>
        <v>2023</v>
      </c>
    </row>
    <row r="308" spans="1:12" x14ac:dyDescent="0.3">
      <c r="A308" s="2">
        <v>45154</v>
      </c>
      <c r="B308" t="s">
        <v>83</v>
      </c>
      <c r="C308" t="s">
        <v>49</v>
      </c>
      <c r="D308" t="s">
        <v>156</v>
      </c>
      <c r="E308" t="s">
        <v>26</v>
      </c>
      <c r="F308" t="s">
        <v>27</v>
      </c>
      <c r="G308" t="s">
        <v>94</v>
      </c>
      <c r="H308" s="3">
        <v>21558.14</v>
      </c>
      <c r="I308" s="4">
        <v>2</v>
      </c>
      <c r="J308" s="3">
        <v>1903.74</v>
      </c>
      <c r="K308" t="str">
        <f t="shared" si="8"/>
        <v>August</v>
      </c>
      <c r="L308">
        <f t="shared" si="9"/>
        <v>2023</v>
      </c>
    </row>
    <row r="309" spans="1:12" x14ac:dyDescent="0.3">
      <c r="A309" s="2">
        <v>45155</v>
      </c>
      <c r="B309" t="s">
        <v>86</v>
      </c>
      <c r="C309" t="s">
        <v>69</v>
      </c>
      <c r="D309" t="s">
        <v>156</v>
      </c>
      <c r="E309" t="s">
        <v>18</v>
      </c>
      <c r="F309" t="s">
        <v>19</v>
      </c>
      <c r="G309" t="s">
        <v>33</v>
      </c>
      <c r="H309" s="3">
        <v>57901.69</v>
      </c>
      <c r="I309" s="4">
        <v>1</v>
      </c>
      <c r="J309" s="3">
        <v>8341.7099999999991</v>
      </c>
      <c r="K309" t="str">
        <f t="shared" si="8"/>
        <v>August</v>
      </c>
      <c r="L309">
        <f t="shared" si="9"/>
        <v>2023</v>
      </c>
    </row>
    <row r="310" spans="1:12" x14ac:dyDescent="0.3">
      <c r="A310" s="2">
        <v>45155</v>
      </c>
      <c r="B310" t="s">
        <v>34</v>
      </c>
      <c r="C310" t="s">
        <v>61</v>
      </c>
      <c r="D310" t="s">
        <v>156</v>
      </c>
      <c r="E310" t="s">
        <v>42</v>
      </c>
      <c r="F310" t="s">
        <v>90</v>
      </c>
      <c r="G310" t="s">
        <v>120</v>
      </c>
      <c r="H310" s="3">
        <v>5126.68</v>
      </c>
      <c r="I310" s="4">
        <v>1</v>
      </c>
      <c r="J310" s="3">
        <v>700.18</v>
      </c>
      <c r="K310" t="str">
        <f t="shared" si="8"/>
        <v>August</v>
      </c>
      <c r="L310">
        <f t="shared" si="9"/>
        <v>2023</v>
      </c>
    </row>
    <row r="311" spans="1:12" x14ac:dyDescent="0.3">
      <c r="A311" s="2">
        <v>45155</v>
      </c>
      <c r="B311" t="s">
        <v>65</v>
      </c>
      <c r="C311" t="s">
        <v>22</v>
      </c>
      <c r="D311" t="s">
        <v>156</v>
      </c>
      <c r="E311" t="s">
        <v>35</v>
      </c>
      <c r="F311" t="s">
        <v>36</v>
      </c>
      <c r="G311" t="s">
        <v>84</v>
      </c>
      <c r="H311" s="3">
        <v>85356.26</v>
      </c>
      <c r="I311" s="4">
        <v>3</v>
      </c>
      <c r="J311" s="3">
        <v>-5362.01</v>
      </c>
      <c r="K311" t="str">
        <f t="shared" si="8"/>
        <v>August</v>
      </c>
      <c r="L311">
        <f t="shared" si="9"/>
        <v>2023</v>
      </c>
    </row>
    <row r="312" spans="1:12" x14ac:dyDescent="0.3">
      <c r="A312" s="2">
        <v>45155</v>
      </c>
      <c r="B312" t="s">
        <v>11</v>
      </c>
      <c r="C312" t="s">
        <v>66</v>
      </c>
      <c r="D312" t="s">
        <v>156</v>
      </c>
      <c r="E312" t="s">
        <v>35</v>
      </c>
      <c r="F312" t="s">
        <v>36</v>
      </c>
      <c r="G312" t="s">
        <v>37</v>
      </c>
      <c r="H312" s="3">
        <v>74345.990000000005</v>
      </c>
      <c r="I312" s="4">
        <v>3</v>
      </c>
      <c r="J312" s="3">
        <v>8104.47</v>
      </c>
      <c r="K312" t="str">
        <f t="shared" si="8"/>
        <v>August</v>
      </c>
      <c r="L312">
        <f t="shared" si="9"/>
        <v>2023</v>
      </c>
    </row>
    <row r="313" spans="1:12" x14ac:dyDescent="0.3">
      <c r="A313" s="2">
        <v>45157</v>
      </c>
      <c r="B313" t="s">
        <v>65</v>
      </c>
      <c r="C313" t="s">
        <v>66</v>
      </c>
      <c r="D313" t="s">
        <v>156</v>
      </c>
      <c r="E313" t="s">
        <v>26</v>
      </c>
      <c r="F313" t="s">
        <v>53</v>
      </c>
      <c r="G313" t="s">
        <v>104</v>
      </c>
      <c r="H313" s="3">
        <v>74376.179999999993</v>
      </c>
      <c r="I313" s="4">
        <v>1</v>
      </c>
      <c r="J313" s="3">
        <v>6777.74</v>
      </c>
      <c r="K313" t="str">
        <f t="shared" si="8"/>
        <v>August</v>
      </c>
      <c r="L313">
        <f t="shared" si="9"/>
        <v>2023</v>
      </c>
    </row>
    <row r="314" spans="1:12" x14ac:dyDescent="0.3">
      <c r="A314" s="2">
        <v>45157</v>
      </c>
      <c r="B314" t="s">
        <v>78</v>
      </c>
      <c r="C314" t="s">
        <v>61</v>
      </c>
      <c r="D314" t="s">
        <v>156</v>
      </c>
      <c r="E314" t="s">
        <v>42</v>
      </c>
      <c r="F314" t="s">
        <v>90</v>
      </c>
      <c r="G314" t="s">
        <v>120</v>
      </c>
      <c r="H314" s="3">
        <v>21361.1</v>
      </c>
      <c r="I314" s="4">
        <v>4</v>
      </c>
      <c r="J314" s="3">
        <v>5105.58</v>
      </c>
      <c r="K314" t="str">
        <f t="shared" si="8"/>
        <v>August</v>
      </c>
      <c r="L314">
        <f t="shared" si="9"/>
        <v>2023</v>
      </c>
    </row>
    <row r="315" spans="1:12" x14ac:dyDescent="0.3">
      <c r="A315" s="2">
        <v>45161</v>
      </c>
      <c r="B315" t="s">
        <v>95</v>
      </c>
      <c r="C315" t="s">
        <v>81</v>
      </c>
      <c r="D315" t="s">
        <v>156</v>
      </c>
      <c r="E315" t="s">
        <v>35</v>
      </c>
      <c r="F315" t="s">
        <v>75</v>
      </c>
      <c r="G315" t="s">
        <v>110</v>
      </c>
      <c r="H315" s="3">
        <v>44525.87</v>
      </c>
      <c r="I315" s="4">
        <v>1</v>
      </c>
      <c r="J315" s="3">
        <v>7558.31</v>
      </c>
      <c r="K315" t="str">
        <f t="shared" si="8"/>
        <v>August</v>
      </c>
      <c r="L315">
        <f t="shared" si="9"/>
        <v>2023</v>
      </c>
    </row>
    <row r="316" spans="1:12" x14ac:dyDescent="0.3">
      <c r="A316" s="2">
        <v>45162</v>
      </c>
      <c r="B316" t="s">
        <v>55</v>
      </c>
      <c r="C316" t="s">
        <v>12</v>
      </c>
      <c r="D316" t="s">
        <v>156</v>
      </c>
      <c r="E316" t="s">
        <v>35</v>
      </c>
      <c r="F316" t="s">
        <v>36</v>
      </c>
      <c r="G316" t="s">
        <v>84</v>
      </c>
      <c r="H316" s="3">
        <v>55163.82</v>
      </c>
      <c r="I316" s="4">
        <v>2</v>
      </c>
      <c r="J316" s="3">
        <v>-1315.53</v>
      </c>
      <c r="K316" t="str">
        <f t="shared" si="8"/>
        <v>August</v>
      </c>
      <c r="L316">
        <f t="shared" si="9"/>
        <v>2023</v>
      </c>
    </row>
    <row r="317" spans="1:12" x14ac:dyDescent="0.3">
      <c r="A317" s="2">
        <v>45163</v>
      </c>
      <c r="B317" t="s">
        <v>11</v>
      </c>
      <c r="C317" t="s">
        <v>69</v>
      </c>
      <c r="D317" t="s">
        <v>156</v>
      </c>
      <c r="E317" t="s">
        <v>42</v>
      </c>
      <c r="F317" t="s">
        <v>90</v>
      </c>
      <c r="G317" t="s">
        <v>91</v>
      </c>
      <c r="H317" s="3">
        <v>5983.74</v>
      </c>
      <c r="I317" s="4">
        <v>3</v>
      </c>
      <c r="J317" s="3">
        <v>636.89</v>
      </c>
      <c r="K317" t="str">
        <f t="shared" si="8"/>
        <v>August</v>
      </c>
      <c r="L317">
        <f t="shared" si="9"/>
        <v>2023</v>
      </c>
    </row>
    <row r="318" spans="1:12" x14ac:dyDescent="0.3">
      <c r="A318" s="2">
        <v>45163</v>
      </c>
      <c r="B318" t="s">
        <v>80</v>
      </c>
      <c r="C318" t="s">
        <v>39</v>
      </c>
      <c r="D318" t="s">
        <v>156</v>
      </c>
      <c r="E318" t="s">
        <v>26</v>
      </c>
      <c r="F318" t="s">
        <v>27</v>
      </c>
      <c r="G318" t="s">
        <v>82</v>
      </c>
      <c r="H318" s="3">
        <v>32955.74</v>
      </c>
      <c r="I318" s="4">
        <v>1</v>
      </c>
      <c r="J318" s="3">
        <v>4494.3999999999996</v>
      </c>
      <c r="K318" t="str">
        <f t="shared" si="8"/>
        <v>August</v>
      </c>
      <c r="L318">
        <f t="shared" si="9"/>
        <v>2023</v>
      </c>
    </row>
    <row r="319" spans="1:12" x14ac:dyDescent="0.3">
      <c r="A319" s="2">
        <v>45165</v>
      </c>
      <c r="B319" t="s">
        <v>83</v>
      </c>
      <c r="C319" t="s">
        <v>12</v>
      </c>
      <c r="D319" t="s">
        <v>156</v>
      </c>
      <c r="E319" t="s">
        <v>13</v>
      </c>
      <c r="F319" t="s">
        <v>23</v>
      </c>
      <c r="G319" t="s">
        <v>85</v>
      </c>
      <c r="H319" s="3">
        <v>114796.76</v>
      </c>
      <c r="I319" s="4">
        <v>3</v>
      </c>
      <c r="J319" s="3">
        <v>17058.36</v>
      </c>
      <c r="K319" t="str">
        <f t="shared" si="8"/>
        <v>August</v>
      </c>
      <c r="L319">
        <f t="shared" si="9"/>
        <v>2023</v>
      </c>
    </row>
    <row r="320" spans="1:12" x14ac:dyDescent="0.3">
      <c r="A320" s="2">
        <v>45166</v>
      </c>
      <c r="B320" t="s">
        <v>21</v>
      </c>
      <c r="C320" t="s">
        <v>66</v>
      </c>
      <c r="D320" t="s">
        <v>156</v>
      </c>
      <c r="E320" t="s">
        <v>35</v>
      </c>
      <c r="F320" t="s">
        <v>36</v>
      </c>
      <c r="G320" t="s">
        <v>99</v>
      </c>
      <c r="H320" s="3">
        <v>37640.75</v>
      </c>
      <c r="I320" s="4">
        <v>1</v>
      </c>
      <c r="J320" s="3">
        <v>5758.21</v>
      </c>
      <c r="K320" t="str">
        <f t="shared" si="8"/>
        <v>August</v>
      </c>
      <c r="L320">
        <f t="shared" si="9"/>
        <v>2023</v>
      </c>
    </row>
    <row r="321" spans="1:12" x14ac:dyDescent="0.3">
      <c r="A321" s="2">
        <v>45167</v>
      </c>
      <c r="B321" t="s">
        <v>71</v>
      </c>
      <c r="C321" t="s">
        <v>61</v>
      </c>
      <c r="D321" t="s">
        <v>156</v>
      </c>
      <c r="E321" t="s">
        <v>26</v>
      </c>
      <c r="F321" t="s">
        <v>27</v>
      </c>
      <c r="G321" t="s">
        <v>28</v>
      </c>
      <c r="H321" s="3">
        <v>22187.87</v>
      </c>
      <c r="I321" s="4">
        <v>1</v>
      </c>
      <c r="J321" s="3">
        <v>2915.62</v>
      </c>
      <c r="K321" t="str">
        <f t="shared" si="8"/>
        <v>August</v>
      </c>
      <c r="L321">
        <f t="shared" si="9"/>
        <v>2023</v>
      </c>
    </row>
    <row r="322" spans="1:12" x14ac:dyDescent="0.3">
      <c r="A322" s="2">
        <v>45168</v>
      </c>
      <c r="B322" t="s">
        <v>80</v>
      </c>
      <c r="C322" t="s">
        <v>66</v>
      </c>
      <c r="D322" t="s">
        <v>156</v>
      </c>
      <c r="E322" t="s">
        <v>35</v>
      </c>
      <c r="F322" t="s">
        <v>36</v>
      </c>
      <c r="G322" t="s">
        <v>84</v>
      </c>
      <c r="H322" s="3">
        <v>88907.36</v>
      </c>
      <c r="I322" s="4">
        <v>3</v>
      </c>
      <c r="J322" s="3">
        <v>8249.7099999999991</v>
      </c>
      <c r="K322" t="str">
        <f t="shared" si="8"/>
        <v>August</v>
      </c>
      <c r="L322">
        <f t="shared" si="9"/>
        <v>2023</v>
      </c>
    </row>
    <row r="323" spans="1:12" x14ac:dyDescent="0.3">
      <c r="A323" s="2">
        <v>45169</v>
      </c>
      <c r="B323" t="s">
        <v>86</v>
      </c>
      <c r="C323" t="s">
        <v>58</v>
      </c>
      <c r="D323" t="s">
        <v>156</v>
      </c>
      <c r="E323" t="s">
        <v>13</v>
      </c>
      <c r="F323" t="s">
        <v>23</v>
      </c>
      <c r="G323" t="s">
        <v>77</v>
      </c>
      <c r="H323" s="3">
        <v>185089.89</v>
      </c>
      <c r="I323" s="4">
        <v>5</v>
      </c>
      <c r="J323" s="3">
        <v>16665.73</v>
      </c>
      <c r="K323" t="str">
        <f t="shared" ref="K323:K386" si="10">TEXT(A323,"mmmm")</f>
        <v>August</v>
      </c>
      <c r="L323">
        <f t="shared" ref="L323:L386" si="11">YEAR(A323)</f>
        <v>2023</v>
      </c>
    </row>
    <row r="324" spans="1:12" x14ac:dyDescent="0.3">
      <c r="A324" s="2">
        <v>45170</v>
      </c>
      <c r="B324" t="s">
        <v>34</v>
      </c>
      <c r="C324" t="s">
        <v>56</v>
      </c>
      <c r="D324" t="s">
        <v>156</v>
      </c>
      <c r="E324" t="s">
        <v>35</v>
      </c>
      <c r="F324" t="s">
        <v>63</v>
      </c>
      <c r="G324" t="s">
        <v>112</v>
      </c>
      <c r="H324" s="3">
        <v>31270.35</v>
      </c>
      <c r="I324" s="4">
        <v>1</v>
      </c>
      <c r="J324" s="3">
        <v>4463.32</v>
      </c>
      <c r="K324" t="str">
        <f t="shared" si="10"/>
        <v>September</v>
      </c>
      <c r="L324">
        <f t="shared" si="11"/>
        <v>2023</v>
      </c>
    </row>
    <row r="325" spans="1:12" x14ac:dyDescent="0.3">
      <c r="A325" s="2">
        <v>45171</v>
      </c>
      <c r="B325" t="s">
        <v>73</v>
      </c>
      <c r="C325" t="s">
        <v>17</v>
      </c>
      <c r="D325" t="s">
        <v>156</v>
      </c>
      <c r="E325" t="s">
        <v>42</v>
      </c>
      <c r="F325" t="s">
        <v>90</v>
      </c>
      <c r="G325" t="s">
        <v>97</v>
      </c>
      <c r="H325" s="3">
        <v>2472.6799999999998</v>
      </c>
      <c r="I325" s="4">
        <v>1</v>
      </c>
      <c r="J325" s="3">
        <v>357.93</v>
      </c>
      <c r="K325" t="str">
        <f t="shared" si="10"/>
        <v>September</v>
      </c>
      <c r="L325">
        <f t="shared" si="11"/>
        <v>2023</v>
      </c>
    </row>
    <row r="326" spans="1:12" x14ac:dyDescent="0.3">
      <c r="A326" s="2">
        <v>45171</v>
      </c>
      <c r="B326" t="s">
        <v>52</v>
      </c>
      <c r="C326" t="s">
        <v>81</v>
      </c>
      <c r="D326" t="s">
        <v>156</v>
      </c>
      <c r="E326" t="s">
        <v>18</v>
      </c>
      <c r="F326" t="s">
        <v>40</v>
      </c>
      <c r="G326" t="s">
        <v>41</v>
      </c>
      <c r="H326" s="3">
        <v>33614.019999999997</v>
      </c>
      <c r="I326" s="4">
        <v>2</v>
      </c>
      <c r="J326" s="3">
        <v>2393.9899999999998</v>
      </c>
      <c r="K326" t="str">
        <f t="shared" si="10"/>
        <v>September</v>
      </c>
      <c r="L326">
        <f t="shared" si="11"/>
        <v>2023</v>
      </c>
    </row>
    <row r="327" spans="1:12" x14ac:dyDescent="0.3">
      <c r="A327" s="2">
        <v>45171</v>
      </c>
      <c r="B327" t="s">
        <v>48</v>
      </c>
      <c r="C327" t="s">
        <v>56</v>
      </c>
      <c r="D327" t="s">
        <v>156</v>
      </c>
      <c r="E327" t="s">
        <v>26</v>
      </c>
      <c r="F327" t="s">
        <v>53</v>
      </c>
      <c r="G327" t="s">
        <v>98</v>
      </c>
      <c r="H327" s="3">
        <v>86744.34</v>
      </c>
      <c r="I327" s="4">
        <v>3</v>
      </c>
      <c r="J327" s="3">
        <v>-3774.89</v>
      </c>
      <c r="K327" t="str">
        <f t="shared" si="10"/>
        <v>September</v>
      </c>
      <c r="L327">
        <f t="shared" si="11"/>
        <v>2023</v>
      </c>
    </row>
    <row r="328" spans="1:12" x14ac:dyDescent="0.3">
      <c r="A328" s="2">
        <v>45172</v>
      </c>
      <c r="B328" t="s">
        <v>93</v>
      </c>
      <c r="C328" t="s">
        <v>81</v>
      </c>
      <c r="D328" t="s">
        <v>156</v>
      </c>
      <c r="E328" t="s">
        <v>13</v>
      </c>
      <c r="F328" t="s">
        <v>23</v>
      </c>
      <c r="G328" t="s">
        <v>79</v>
      </c>
      <c r="H328" s="3">
        <v>116880.34</v>
      </c>
      <c r="I328" s="4">
        <v>2</v>
      </c>
      <c r="J328" s="3">
        <v>16871.560000000001</v>
      </c>
      <c r="K328" t="str">
        <f t="shared" si="10"/>
        <v>September</v>
      </c>
      <c r="L328">
        <f t="shared" si="11"/>
        <v>2023</v>
      </c>
    </row>
    <row r="329" spans="1:12" x14ac:dyDescent="0.3">
      <c r="A329" s="2">
        <v>45173</v>
      </c>
      <c r="B329" t="s">
        <v>25</v>
      </c>
      <c r="C329" t="s">
        <v>46</v>
      </c>
      <c r="D329" t="s">
        <v>156</v>
      </c>
      <c r="E329" t="s">
        <v>26</v>
      </c>
      <c r="F329" t="s">
        <v>53</v>
      </c>
      <c r="G329" t="s">
        <v>54</v>
      </c>
      <c r="H329" s="3">
        <v>169642.27</v>
      </c>
      <c r="I329" s="4">
        <v>4</v>
      </c>
      <c r="J329" s="3">
        <v>22843.67</v>
      </c>
      <c r="K329" t="str">
        <f t="shared" si="10"/>
        <v>September</v>
      </c>
      <c r="L329">
        <f t="shared" si="11"/>
        <v>2023</v>
      </c>
    </row>
    <row r="330" spans="1:12" x14ac:dyDescent="0.3">
      <c r="A330" s="2">
        <v>45175</v>
      </c>
      <c r="B330" t="s">
        <v>101</v>
      </c>
      <c r="C330" t="s">
        <v>62</v>
      </c>
      <c r="D330" t="s">
        <v>156</v>
      </c>
      <c r="E330" t="s">
        <v>42</v>
      </c>
      <c r="F330" t="s">
        <v>90</v>
      </c>
      <c r="G330" t="s">
        <v>91</v>
      </c>
      <c r="H330" s="3">
        <v>1701.98</v>
      </c>
      <c r="I330" s="4">
        <v>1</v>
      </c>
      <c r="J330" s="3">
        <v>203.26</v>
      </c>
      <c r="K330" t="str">
        <f t="shared" si="10"/>
        <v>September</v>
      </c>
      <c r="L330">
        <f t="shared" si="11"/>
        <v>2023</v>
      </c>
    </row>
    <row r="331" spans="1:12" x14ac:dyDescent="0.3">
      <c r="A331" s="2">
        <v>45175</v>
      </c>
      <c r="B331" t="s">
        <v>93</v>
      </c>
      <c r="C331" t="s">
        <v>22</v>
      </c>
      <c r="D331" t="s">
        <v>156</v>
      </c>
      <c r="E331" t="s">
        <v>42</v>
      </c>
      <c r="F331" t="s">
        <v>90</v>
      </c>
      <c r="G331" t="s">
        <v>120</v>
      </c>
      <c r="H331" s="3">
        <v>5432.69</v>
      </c>
      <c r="I331" s="4">
        <v>1</v>
      </c>
      <c r="J331" s="3">
        <v>878.7</v>
      </c>
      <c r="K331" t="str">
        <f t="shared" si="10"/>
        <v>September</v>
      </c>
      <c r="L331">
        <f t="shared" si="11"/>
        <v>2023</v>
      </c>
    </row>
    <row r="332" spans="1:12" x14ac:dyDescent="0.3">
      <c r="A332" s="2">
        <v>45175</v>
      </c>
      <c r="B332" t="s">
        <v>32</v>
      </c>
      <c r="C332" t="s">
        <v>81</v>
      </c>
      <c r="D332" t="s">
        <v>156</v>
      </c>
      <c r="E332" t="s">
        <v>35</v>
      </c>
      <c r="F332" t="s">
        <v>63</v>
      </c>
      <c r="G332" t="s">
        <v>112</v>
      </c>
      <c r="H332" s="3">
        <v>90148.49</v>
      </c>
      <c r="I332" s="4">
        <v>3</v>
      </c>
      <c r="J332" s="3">
        <v>13985.62</v>
      </c>
      <c r="K332" t="str">
        <f t="shared" si="10"/>
        <v>September</v>
      </c>
      <c r="L332">
        <f t="shared" si="11"/>
        <v>2023</v>
      </c>
    </row>
    <row r="333" spans="1:12" x14ac:dyDescent="0.3">
      <c r="A333" s="2">
        <v>45176</v>
      </c>
      <c r="B333" t="s">
        <v>95</v>
      </c>
      <c r="C333" t="s">
        <v>39</v>
      </c>
      <c r="D333" t="s">
        <v>156</v>
      </c>
      <c r="E333" t="s">
        <v>42</v>
      </c>
      <c r="F333" t="s">
        <v>43</v>
      </c>
      <c r="G333" t="s">
        <v>89</v>
      </c>
      <c r="H333" s="3">
        <v>86933.05</v>
      </c>
      <c r="I333" s="4">
        <v>3</v>
      </c>
      <c r="J333" s="3">
        <v>18485.98</v>
      </c>
      <c r="K333" t="str">
        <f t="shared" si="10"/>
        <v>September</v>
      </c>
      <c r="L333">
        <f t="shared" si="11"/>
        <v>2023</v>
      </c>
    </row>
    <row r="334" spans="1:12" x14ac:dyDescent="0.3">
      <c r="A334" s="2">
        <v>45176</v>
      </c>
      <c r="B334" t="s">
        <v>78</v>
      </c>
      <c r="C334" t="s">
        <v>56</v>
      </c>
      <c r="D334" t="s">
        <v>156</v>
      </c>
      <c r="E334" t="s">
        <v>26</v>
      </c>
      <c r="F334" t="s">
        <v>27</v>
      </c>
      <c r="G334" t="s">
        <v>31</v>
      </c>
      <c r="H334" s="3">
        <v>8262.3799999999992</v>
      </c>
      <c r="I334" s="4">
        <v>1</v>
      </c>
      <c r="J334" s="3">
        <v>1427.33</v>
      </c>
      <c r="K334" t="str">
        <f t="shared" si="10"/>
        <v>September</v>
      </c>
      <c r="L334">
        <f t="shared" si="11"/>
        <v>2023</v>
      </c>
    </row>
    <row r="335" spans="1:12" x14ac:dyDescent="0.3">
      <c r="A335" s="2">
        <v>45178</v>
      </c>
      <c r="B335" t="s">
        <v>93</v>
      </c>
      <c r="C335" t="s">
        <v>81</v>
      </c>
      <c r="D335" t="s">
        <v>156</v>
      </c>
      <c r="E335" t="s">
        <v>35</v>
      </c>
      <c r="F335" t="s">
        <v>50</v>
      </c>
      <c r="G335" t="s">
        <v>51</v>
      </c>
      <c r="H335" s="3">
        <v>7688.33</v>
      </c>
      <c r="I335" s="4">
        <v>1</v>
      </c>
      <c r="J335" s="3">
        <v>929.97</v>
      </c>
      <c r="K335" t="str">
        <f t="shared" si="10"/>
        <v>September</v>
      </c>
      <c r="L335">
        <f t="shared" si="11"/>
        <v>2023</v>
      </c>
    </row>
    <row r="336" spans="1:12" x14ac:dyDescent="0.3">
      <c r="A336" s="2">
        <v>45178</v>
      </c>
      <c r="B336" t="s">
        <v>101</v>
      </c>
      <c r="C336" t="s">
        <v>61</v>
      </c>
      <c r="D336" t="s">
        <v>156</v>
      </c>
      <c r="E336" t="s">
        <v>42</v>
      </c>
      <c r="F336" t="s">
        <v>43</v>
      </c>
      <c r="G336" t="s">
        <v>89</v>
      </c>
      <c r="H336" s="3">
        <v>31810.54</v>
      </c>
      <c r="I336" s="4">
        <v>1</v>
      </c>
      <c r="J336" s="3">
        <v>6752.99</v>
      </c>
      <c r="K336" t="str">
        <f t="shared" si="10"/>
        <v>September</v>
      </c>
      <c r="L336">
        <f t="shared" si="11"/>
        <v>2023</v>
      </c>
    </row>
    <row r="337" spans="1:12" x14ac:dyDescent="0.3">
      <c r="A337" s="2">
        <v>45179</v>
      </c>
      <c r="B337" t="s">
        <v>45</v>
      </c>
      <c r="C337" t="s">
        <v>61</v>
      </c>
      <c r="D337" t="s">
        <v>156</v>
      </c>
      <c r="E337" t="s">
        <v>42</v>
      </c>
      <c r="F337" t="s">
        <v>43</v>
      </c>
      <c r="G337" t="s">
        <v>87</v>
      </c>
      <c r="H337" s="3">
        <v>33840.629999999997</v>
      </c>
      <c r="I337" s="4">
        <v>3</v>
      </c>
      <c r="J337" s="3">
        <v>4444.3900000000003</v>
      </c>
      <c r="K337" t="str">
        <f t="shared" si="10"/>
        <v>September</v>
      </c>
      <c r="L337">
        <f t="shared" si="11"/>
        <v>2023</v>
      </c>
    </row>
    <row r="338" spans="1:12" x14ac:dyDescent="0.3">
      <c r="A338" s="2">
        <v>45180</v>
      </c>
      <c r="B338" t="s">
        <v>83</v>
      </c>
      <c r="C338" t="s">
        <v>46</v>
      </c>
      <c r="D338" t="s">
        <v>156</v>
      </c>
      <c r="E338" t="s">
        <v>26</v>
      </c>
      <c r="F338" t="s">
        <v>53</v>
      </c>
      <c r="G338" t="s">
        <v>100</v>
      </c>
      <c r="H338" s="3">
        <v>198926.78</v>
      </c>
      <c r="I338" s="4">
        <v>2</v>
      </c>
      <c r="J338" s="3">
        <v>18809.66</v>
      </c>
      <c r="K338" t="str">
        <f t="shared" si="10"/>
        <v>September</v>
      </c>
      <c r="L338">
        <f t="shared" si="11"/>
        <v>2023</v>
      </c>
    </row>
    <row r="339" spans="1:12" x14ac:dyDescent="0.3">
      <c r="A339" s="2">
        <v>45181</v>
      </c>
      <c r="B339" t="s">
        <v>48</v>
      </c>
      <c r="C339" t="s">
        <v>22</v>
      </c>
      <c r="D339" t="s">
        <v>156</v>
      </c>
      <c r="E339" t="s">
        <v>42</v>
      </c>
      <c r="F339" t="s">
        <v>90</v>
      </c>
      <c r="G339" t="s">
        <v>91</v>
      </c>
      <c r="H339" s="3">
        <v>4963.8500000000004</v>
      </c>
      <c r="I339" s="4">
        <v>3</v>
      </c>
      <c r="J339" s="3">
        <v>1032.3699999999999</v>
      </c>
      <c r="K339" t="str">
        <f t="shared" si="10"/>
        <v>September</v>
      </c>
      <c r="L339">
        <f t="shared" si="11"/>
        <v>2023</v>
      </c>
    </row>
    <row r="340" spans="1:12" x14ac:dyDescent="0.3">
      <c r="A340" s="2">
        <v>45181</v>
      </c>
      <c r="B340" t="s">
        <v>38</v>
      </c>
      <c r="C340" t="s">
        <v>61</v>
      </c>
      <c r="D340" t="s">
        <v>156</v>
      </c>
      <c r="E340" t="s">
        <v>18</v>
      </c>
      <c r="F340" t="s">
        <v>19</v>
      </c>
      <c r="G340" t="s">
        <v>33</v>
      </c>
      <c r="H340" s="3">
        <v>52018.76</v>
      </c>
      <c r="I340" s="4">
        <v>1</v>
      </c>
      <c r="J340" s="3">
        <v>4379.72</v>
      </c>
      <c r="K340" t="str">
        <f t="shared" si="10"/>
        <v>September</v>
      </c>
      <c r="L340">
        <f t="shared" si="11"/>
        <v>2023</v>
      </c>
    </row>
    <row r="341" spans="1:12" x14ac:dyDescent="0.3">
      <c r="A341" s="2">
        <v>45182</v>
      </c>
      <c r="B341" t="s">
        <v>65</v>
      </c>
      <c r="C341" t="s">
        <v>22</v>
      </c>
      <c r="D341" t="s">
        <v>156</v>
      </c>
      <c r="E341" t="s">
        <v>18</v>
      </c>
      <c r="F341" t="s">
        <v>40</v>
      </c>
      <c r="G341" t="s">
        <v>41</v>
      </c>
      <c r="H341" s="3">
        <v>16606.8</v>
      </c>
      <c r="I341" s="4">
        <v>1</v>
      </c>
      <c r="J341" s="3">
        <v>2083.1799999999998</v>
      </c>
      <c r="K341" t="str">
        <f t="shared" si="10"/>
        <v>September</v>
      </c>
      <c r="L341">
        <f t="shared" si="11"/>
        <v>2023</v>
      </c>
    </row>
    <row r="342" spans="1:12" x14ac:dyDescent="0.3">
      <c r="A342" s="2">
        <v>45182</v>
      </c>
      <c r="B342" t="s">
        <v>113</v>
      </c>
      <c r="C342" t="s">
        <v>61</v>
      </c>
      <c r="D342" t="s">
        <v>156</v>
      </c>
      <c r="E342" t="s">
        <v>42</v>
      </c>
      <c r="F342" t="s">
        <v>90</v>
      </c>
      <c r="G342" t="s">
        <v>91</v>
      </c>
      <c r="H342" s="3">
        <v>5867.08</v>
      </c>
      <c r="I342" s="4">
        <v>3</v>
      </c>
      <c r="J342" s="3">
        <v>988.46</v>
      </c>
      <c r="K342" t="str">
        <f t="shared" si="10"/>
        <v>September</v>
      </c>
      <c r="L342">
        <f t="shared" si="11"/>
        <v>2023</v>
      </c>
    </row>
    <row r="343" spans="1:12" x14ac:dyDescent="0.3">
      <c r="A343" s="2">
        <v>45183</v>
      </c>
      <c r="B343" t="s">
        <v>55</v>
      </c>
      <c r="C343" t="s">
        <v>66</v>
      </c>
      <c r="D343" t="s">
        <v>156</v>
      </c>
      <c r="E343" t="s">
        <v>26</v>
      </c>
      <c r="F343" t="s">
        <v>53</v>
      </c>
      <c r="G343" t="s">
        <v>96</v>
      </c>
      <c r="H343" s="3">
        <v>135237.51</v>
      </c>
      <c r="I343" s="4">
        <v>2</v>
      </c>
      <c r="J343" s="3">
        <v>11181.64</v>
      </c>
      <c r="K343" t="str">
        <f t="shared" si="10"/>
        <v>September</v>
      </c>
      <c r="L343">
        <f t="shared" si="11"/>
        <v>2023</v>
      </c>
    </row>
    <row r="344" spans="1:12" x14ac:dyDescent="0.3">
      <c r="A344" s="2">
        <v>45183</v>
      </c>
      <c r="B344" t="s">
        <v>65</v>
      </c>
      <c r="C344" t="s">
        <v>81</v>
      </c>
      <c r="D344" t="s">
        <v>156</v>
      </c>
      <c r="E344" t="s">
        <v>35</v>
      </c>
      <c r="F344" t="s">
        <v>63</v>
      </c>
      <c r="G344" t="s">
        <v>112</v>
      </c>
      <c r="H344" s="3">
        <v>28105.8</v>
      </c>
      <c r="I344" s="4">
        <v>1</v>
      </c>
      <c r="J344" s="3">
        <v>5540.17</v>
      </c>
      <c r="K344" t="str">
        <f t="shared" si="10"/>
        <v>September</v>
      </c>
      <c r="L344">
        <f t="shared" si="11"/>
        <v>2023</v>
      </c>
    </row>
    <row r="345" spans="1:12" x14ac:dyDescent="0.3">
      <c r="A345" s="2">
        <v>45184</v>
      </c>
      <c r="B345" t="s">
        <v>55</v>
      </c>
      <c r="C345" t="s">
        <v>39</v>
      </c>
      <c r="D345" t="s">
        <v>156</v>
      </c>
      <c r="E345" t="s">
        <v>35</v>
      </c>
      <c r="F345" t="s">
        <v>36</v>
      </c>
      <c r="G345" t="s">
        <v>99</v>
      </c>
      <c r="H345" s="3">
        <v>71247.23</v>
      </c>
      <c r="I345" s="4">
        <v>2</v>
      </c>
      <c r="J345" s="3">
        <v>13944.76</v>
      </c>
      <c r="K345" t="str">
        <f t="shared" si="10"/>
        <v>September</v>
      </c>
      <c r="L345">
        <f t="shared" si="11"/>
        <v>2023</v>
      </c>
    </row>
    <row r="346" spans="1:12" x14ac:dyDescent="0.3">
      <c r="A346" s="2">
        <v>45184</v>
      </c>
      <c r="B346" t="s">
        <v>21</v>
      </c>
      <c r="C346" t="s">
        <v>46</v>
      </c>
      <c r="D346" t="s">
        <v>156</v>
      </c>
      <c r="E346" t="s">
        <v>35</v>
      </c>
      <c r="F346" t="s">
        <v>50</v>
      </c>
      <c r="G346" t="s">
        <v>51</v>
      </c>
      <c r="H346" s="3">
        <v>24565.17</v>
      </c>
      <c r="I346" s="4">
        <v>3</v>
      </c>
      <c r="J346" s="3">
        <v>4273.01</v>
      </c>
      <c r="K346" t="str">
        <f t="shared" si="10"/>
        <v>September</v>
      </c>
      <c r="L346">
        <f t="shared" si="11"/>
        <v>2023</v>
      </c>
    </row>
    <row r="347" spans="1:12" x14ac:dyDescent="0.3">
      <c r="A347" s="2">
        <v>45185</v>
      </c>
      <c r="B347" t="s">
        <v>52</v>
      </c>
      <c r="C347" t="s">
        <v>17</v>
      </c>
      <c r="D347" t="s">
        <v>156</v>
      </c>
      <c r="E347" t="s">
        <v>18</v>
      </c>
      <c r="F347" t="s">
        <v>40</v>
      </c>
      <c r="G347" t="s">
        <v>41</v>
      </c>
      <c r="H347" s="3">
        <v>33735.61</v>
      </c>
      <c r="I347" s="4">
        <v>2</v>
      </c>
      <c r="J347" s="3">
        <v>2988.72</v>
      </c>
      <c r="K347" t="str">
        <f t="shared" si="10"/>
        <v>September</v>
      </c>
      <c r="L347">
        <f t="shared" si="11"/>
        <v>2023</v>
      </c>
    </row>
    <row r="348" spans="1:12" x14ac:dyDescent="0.3">
      <c r="A348" s="2">
        <v>45185</v>
      </c>
      <c r="B348" t="s">
        <v>55</v>
      </c>
      <c r="C348" t="s">
        <v>68</v>
      </c>
      <c r="D348" t="s">
        <v>156</v>
      </c>
      <c r="E348" t="s">
        <v>42</v>
      </c>
      <c r="F348" t="s">
        <v>43</v>
      </c>
      <c r="G348" t="s">
        <v>87</v>
      </c>
      <c r="H348" s="3">
        <v>42473.83</v>
      </c>
      <c r="I348" s="4">
        <v>4</v>
      </c>
      <c r="J348" s="3">
        <v>6448.42</v>
      </c>
      <c r="K348" t="str">
        <f t="shared" si="10"/>
        <v>September</v>
      </c>
      <c r="L348">
        <f t="shared" si="11"/>
        <v>2023</v>
      </c>
    </row>
    <row r="349" spans="1:12" x14ac:dyDescent="0.3">
      <c r="A349" s="2">
        <v>45185</v>
      </c>
      <c r="B349" t="s">
        <v>101</v>
      </c>
      <c r="C349" t="s">
        <v>58</v>
      </c>
      <c r="D349" t="s">
        <v>156</v>
      </c>
      <c r="E349" t="s">
        <v>18</v>
      </c>
      <c r="F349" t="s">
        <v>19</v>
      </c>
      <c r="G349" t="s">
        <v>72</v>
      </c>
      <c r="H349" s="3">
        <v>59933.27</v>
      </c>
      <c r="I349" s="4">
        <v>1</v>
      </c>
      <c r="J349" s="3">
        <v>5771.91</v>
      </c>
      <c r="K349" t="str">
        <f t="shared" si="10"/>
        <v>September</v>
      </c>
      <c r="L349">
        <f t="shared" si="11"/>
        <v>2023</v>
      </c>
    </row>
    <row r="350" spans="1:12" x14ac:dyDescent="0.3">
      <c r="A350" s="2">
        <v>45187</v>
      </c>
      <c r="B350" t="s">
        <v>78</v>
      </c>
      <c r="C350" t="s">
        <v>62</v>
      </c>
      <c r="D350" t="s">
        <v>156</v>
      </c>
      <c r="E350" t="s">
        <v>13</v>
      </c>
      <c r="F350" t="s">
        <v>14</v>
      </c>
      <c r="G350" t="s">
        <v>70</v>
      </c>
      <c r="H350" s="3">
        <v>10574.83</v>
      </c>
      <c r="I350" s="4">
        <v>4</v>
      </c>
      <c r="J350" s="3">
        <v>826.46</v>
      </c>
      <c r="K350" t="str">
        <f t="shared" si="10"/>
        <v>September</v>
      </c>
      <c r="L350">
        <f t="shared" si="11"/>
        <v>2023</v>
      </c>
    </row>
    <row r="351" spans="1:12" x14ac:dyDescent="0.3">
      <c r="A351" s="2">
        <v>45188</v>
      </c>
      <c r="B351" t="s">
        <v>45</v>
      </c>
      <c r="C351" t="s">
        <v>22</v>
      </c>
      <c r="D351" t="s">
        <v>156</v>
      </c>
      <c r="E351" t="s">
        <v>18</v>
      </c>
      <c r="F351" t="s">
        <v>19</v>
      </c>
      <c r="G351" t="s">
        <v>106</v>
      </c>
      <c r="H351" s="3">
        <v>89757.38</v>
      </c>
      <c r="I351" s="4">
        <v>1</v>
      </c>
      <c r="J351" s="3">
        <v>11228.6</v>
      </c>
      <c r="K351" t="str">
        <f t="shared" si="10"/>
        <v>September</v>
      </c>
      <c r="L351">
        <f t="shared" si="11"/>
        <v>2023</v>
      </c>
    </row>
    <row r="352" spans="1:12" x14ac:dyDescent="0.3">
      <c r="A352" s="2">
        <v>45190</v>
      </c>
      <c r="B352" t="s">
        <v>45</v>
      </c>
      <c r="C352" t="s">
        <v>69</v>
      </c>
      <c r="D352" t="s">
        <v>156</v>
      </c>
      <c r="E352" t="s">
        <v>26</v>
      </c>
      <c r="F352" t="s">
        <v>53</v>
      </c>
      <c r="G352" t="s">
        <v>96</v>
      </c>
      <c r="H352" s="3">
        <v>58623.69</v>
      </c>
      <c r="I352" s="4">
        <v>1</v>
      </c>
      <c r="J352" s="3">
        <v>7553.88</v>
      </c>
      <c r="K352" t="str">
        <f t="shared" si="10"/>
        <v>September</v>
      </c>
      <c r="L352">
        <f t="shared" si="11"/>
        <v>2023</v>
      </c>
    </row>
    <row r="353" spans="1:12" x14ac:dyDescent="0.3">
      <c r="A353" s="2">
        <v>45191</v>
      </c>
      <c r="B353" t="s">
        <v>109</v>
      </c>
      <c r="C353" t="s">
        <v>17</v>
      </c>
      <c r="D353" t="s">
        <v>156</v>
      </c>
      <c r="E353" t="s">
        <v>13</v>
      </c>
      <c r="F353" t="s">
        <v>23</v>
      </c>
      <c r="G353" t="s">
        <v>77</v>
      </c>
      <c r="H353" s="3">
        <v>38813.5</v>
      </c>
      <c r="I353" s="4">
        <v>1</v>
      </c>
      <c r="J353" s="3">
        <v>3455.93</v>
      </c>
      <c r="K353" t="str">
        <f t="shared" si="10"/>
        <v>September</v>
      </c>
      <c r="L353">
        <f t="shared" si="11"/>
        <v>2023</v>
      </c>
    </row>
    <row r="354" spans="1:12" x14ac:dyDescent="0.3">
      <c r="A354" s="2">
        <v>45192</v>
      </c>
      <c r="B354" t="s">
        <v>71</v>
      </c>
      <c r="C354" t="s">
        <v>12</v>
      </c>
      <c r="D354" t="s">
        <v>156</v>
      </c>
      <c r="E354" t="s">
        <v>35</v>
      </c>
      <c r="F354" t="s">
        <v>75</v>
      </c>
      <c r="G354" t="s">
        <v>76</v>
      </c>
      <c r="H354" s="3">
        <v>44843.64</v>
      </c>
      <c r="I354" s="4">
        <v>1</v>
      </c>
      <c r="J354" s="3">
        <v>5334.29</v>
      </c>
      <c r="K354" t="str">
        <f t="shared" si="10"/>
        <v>September</v>
      </c>
      <c r="L354">
        <f t="shared" si="11"/>
        <v>2023</v>
      </c>
    </row>
    <row r="355" spans="1:12" x14ac:dyDescent="0.3">
      <c r="A355" s="2">
        <v>45193</v>
      </c>
      <c r="B355" t="s">
        <v>78</v>
      </c>
      <c r="C355" t="s">
        <v>12</v>
      </c>
      <c r="D355" t="s">
        <v>156</v>
      </c>
      <c r="E355" t="s">
        <v>26</v>
      </c>
      <c r="F355" t="s">
        <v>53</v>
      </c>
      <c r="G355" t="s">
        <v>96</v>
      </c>
      <c r="H355" s="3">
        <v>65476.79</v>
      </c>
      <c r="I355" s="4">
        <v>1</v>
      </c>
      <c r="J355" s="3">
        <v>10400.540000000001</v>
      </c>
      <c r="K355" t="str">
        <f t="shared" si="10"/>
        <v>September</v>
      </c>
      <c r="L355">
        <f t="shared" si="11"/>
        <v>2023</v>
      </c>
    </row>
    <row r="356" spans="1:12" x14ac:dyDescent="0.3">
      <c r="A356" s="2">
        <v>45193</v>
      </c>
      <c r="B356" t="s">
        <v>113</v>
      </c>
      <c r="C356" t="s">
        <v>68</v>
      </c>
      <c r="D356" t="s">
        <v>156</v>
      </c>
      <c r="E356" t="s">
        <v>13</v>
      </c>
      <c r="F356" t="s">
        <v>23</v>
      </c>
      <c r="G356" t="s">
        <v>79</v>
      </c>
      <c r="H356" s="3">
        <v>181113.67</v>
      </c>
      <c r="I356" s="4">
        <v>3</v>
      </c>
      <c r="J356" s="3">
        <v>11559.86</v>
      </c>
      <c r="K356" t="str">
        <f t="shared" si="10"/>
        <v>September</v>
      </c>
      <c r="L356">
        <f t="shared" si="11"/>
        <v>2023</v>
      </c>
    </row>
    <row r="357" spans="1:12" x14ac:dyDescent="0.3">
      <c r="A357" s="2">
        <v>45193</v>
      </c>
      <c r="B357" t="s">
        <v>11</v>
      </c>
      <c r="C357" t="s">
        <v>22</v>
      </c>
      <c r="D357" t="s">
        <v>156</v>
      </c>
      <c r="E357" t="s">
        <v>18</v>
      </c>
      <c r="F357" t="s">
        <v>40</v>
      </c>
      <c r="G357" t="s">
        <v>41</v>
      </c>
      <c r="H357" s="3">
        <v>51704.63</v>
      </c>
      <c r="I357" s="4">
        <v>3</v>
      </c>
      <c r="J357" s="3">
        <v>7652.39</v>
      </c>
      <c r="K357" t="str">
        <f t="shared" si="10"/>
        <v>September</v>
      </c>
      <c r="L357">
        <f t="shared" si="11"/>
        <v>2023</v>
      </c>
    </row>
    <row r="358" spans="1:12" x14ac:dyDescent="0.3">
      <c r="A358" s="2">
        <v>45194</v>
      </c>
      <c r="B358" t="s">
        <v>60</v>
      </c>
      <c r="C358" t="s">
        <v>22</v>
      </c>
      <c r="D358" t="s">
        <v>156</v>
      </c>
      <c r="E358" t="s">
        <v>35</v>
      </c>
      <c r="F358" t="s">
        <v>63</v>
      </c>
      <c r="G358" t="s">
        <v>64</v>
      </c>
      <c r="H358" s="3">
        <v>31625.3</v>
      </c>
      <c r="I358" s="4">
        <v>1</v>
      </c>
      <c r="J358" s="3">
        <v>-2238.54</v>
      </c>
      <c r="K358" t="str">
        <f t="shared" si="10"/>
        <v>September</v>
      </c>
      <c r="L358">
        <f t="shared" si="11"/>
        <v>2023</v>
      </c>
    </row>
    <row r="359" spans="1:12" x14ac:dyDescent="0.3">
      <c r="A359" s="2">
        <v>45197</v>
      </c>
      <c r="B359" t="s">
        <v>60</v>
      </c>
      <c r="C359" t="s">
        <v>30</v>
      </c>
      <c r="D359" t="s">
        <v>156</v>
      </c>
      <c r="E359" t="s">
        <v>26</v>
      </c>
      <c r="F359" t="s">
        <v>27</v>
      </c>
      <c r="G359" t="s">
        <v>28</v>
      </c>
      <c r="H359" s="3">
        <v>49058.52</v>
      </c>
      <c r="I359" s="4">
        <v>2</v>
      </c>
      <c r="J359" s="3">
        <v>5461.94</v>
      </c>
      <c r="K359" t="str">
        <f t="shared" si="10"/>
        <v>September</v>
      </c>
      <c r="L359">
        <f t="shared" si="11"/>
        <v>2023</v>
      </c>
    </row>
    <row r="360" spans="1:12" x14ac:dyDescent="0.3">
      <c r="A360" s="2">
        <v>45197</v>
      </c>
      <c r="B360" t="s">
        <v>48</v>
      </c>
      <c r="C360" t="s">
        <v>66</v>
      </c>
      <c r="D360" t="s">
        <v>156</v>
      </c>
      <c r="E360" t="s">
        <v>18</v>
      </c>
      <c r="F360" t="s">
        <v>19</v>
      </c>
      <c r="G360" t="s">
        <v>33</v>
      </c>
      <c r="H360" s="3">
        <v>52444.23</v>
      </c>
      <c r="I360" s="4">
        <v>1</v>
      </c>
      <c r="J360" s="3">
        <v>-2019.67</v>
      </c>
      <c r="K360" t="str">
        <f t="shared" si="10"/>
        <v>September</v>
      </c>
      <c r="L360">
        <f t="shared" si="11"/>
        <v>2023</v>
      </c>
    </row>
    <row r="361" spans="1:12" x14ac:dyDescent="0.3">
      <c r="A361" s="2">
        <v>45198</v>
      </c>
      <c r="B361" t="s">
        <v>11</v>
      </c>
      <c r="C361" t="s">
        <v>61</v>
      </c>
      <c r="D361" t="s">
        <v>156</v>
      </c>
      <c r="E361" t="s">
        <v>18</v>
      </c>
      <c r="F361" t="s">
        <v>19</v>
      </c>
      <c r="G361" t="s">
        <v>59</v>
      </c>
      <c r="H361" s="3">
        <v>98549.05</v>
      </c>
      <c r="I361" s="4">
        <v>2</v>
      </c>
      <c r="J361" s="3">
        <v>9546.6200000000008</v>
      </c>
      <c r="K361" t="str">
        <f t="shared" si="10"/>
        <v>September</v>
      </c>
      <c r="L361">
        <f t="shared" si="11"/>
        <v>2023</v>
      </c>
    </row>
    <row r="362" spans="1:12" x14ac:dyDescent="0.3">
      <c r="A362" s="2">
        <v>45199</v>
      </c>
      <c r="B362" t="s">
        <v>74</v>
      </c>
      <c r="C362" t="s">
        <v>61</v>
      </c>
      <c r="D362" t="s">
        <v>156</v>
      </c>
      <c r="E362" t="s">
        <v>18</v>
      </c>
      <c r="F362" t="s">
        <v>40</v>
      </c>
      <c r="G362" t="s">
        <v>105</v>
      </c>
      <c r="H362" s="3">
        <v>2225.27</v>
      </c>
      <c r="I362" s="4">
        <v>1</v>
      </c>
      <c r="J362" s="3">
        <v>285.95999999999998</v>
      </c>
      <c r="K362" t="str">
        <f t="shared" si="10"/>
        <v>September</v>
      </c>
      <c r="L362">
        <f t="shared" si="11"/>
        <v>2023</v>
      </c>
    </row>
    <row r="363" spans="1:12" x14ac:dyDescent="0.3">
      <c r="A363" s="2">
        <v>45200</v>
      </c>
      <c r="B363" t="s">
        <v>29</v>
      </c>
      <c r="C363" t="s">
        <v>58</v>
      </c>
      <c r="D363" t="s">
        <v>156</v>
      </c>
      <c r="E363" t="s">
        <v>42</v>
      </c>
      <c r="F363" t="s">
        <v>43</v>
      </c>
      <c r="G363" t="s">
        <v>89</v>
      </c>
      <c r="H363" s="3">
        <v>60919.74</v>
      </c>
      <c r="I363" s="4">
        <v>2</v>
      </c>
      <c r="J363" s="3">
        <v>10397.11</v>
      </c>
      <c r="K363" t="str">
        <f t="shared" si="10"/>
        <v>October</v>
      </c>
      <c r="L363">
        <f t="shared" si="11"/>
        <v>2023</v>
      </c>
    </row>
    <row r="364" spans="1:12" x14ac:dyDescent="0.3">
      <c r="A364" s="2">
        <v>45200</v>
      </c>
      <c r="B364" t="s">
        <v>71</v>
      </c>
      <c r="C364" t="s">
        <v>61</v>
      </c>
      <c r="D364" t="s">
        <v>156</v>
      </c>
      <c r="E364" t="s">
        <v>42</v>
      </c>
      <c r="F364" t="s">
        <v>43</v>
      </c>
      <c r="G364" t="s">
        <v>89</v>
      </c>
      <c r="H364" s="3">
        <v>32379.42</v>
      </c>
      <c r="I364" s="4">
        <v>1</v>
      </c>
      <c r="J364" s="3">
        <v>4062.47</v>
      </c>
      <c r="K364" t="str">
        <f t="shared" si="10"/>
        <v>October</v>
      </c>
      <c r="L364">
        <f t="shared" si="11"/>
        <v>2023</v>
      </c>
    </row>
    <row r="365" spans="1:12" x14ac:dyDescent="0.3">
      <c r="A365" s="2">
        <v>45200</v>
      </c>
      <c r="B365" t="s">
        <v>83</v>
      </c>
      <c r="C365" t="s">
        <v>30</v>
      </c>
      <c r="D365" t="s">
        <v>156</v>
      </c>
      <c r="E365" t="s">
        <v>13</v>
      </c>
      <c r="F365" t="s">
        <v>14</v>
      </c>
      <c r="G365" t="s">
        <v>70</v>
      </c>
      <c r="H365" s="3">
        <v>7593.3</v>
      </c>
      <c r="I365" s="4">
        <v>3</v>
      </c>
      <c r="J365" s="3">
        <v>1015.31</v>
      </c>
      <c r="K365" t="str">
        <f t="shared" si="10"/>
        <v>October</v>
      </c>
      <c r="L365">
        <f t="shared" si="11"/>
        <v>2023</v>
      </c>
    </row>
    <row r="366" spans="1:12" x14ac:dyDescent="0.3">
      <c r="A366" s="2">
        <v>45203</v>
      </c>
      <c r="B366" t="s">
        <v>60</v>
      </c>
      <c r="C366" t="s">
        <v>17</v>
      </c>
      <c r="D366" t="s">
        <v>156</v>
      </c>
      <c r="E366" t="s">
        <v>26</v>
      </c>
      <c r="F366" t="s">
        <v>27</v>
      </c>
      <c r="G366" t="s">
        <v>31</v>
      </c>
      <c r="H366" s="3">
        <v>19274.75</v>
      </c>
      <c r="I366" s="4">
        <v>2</v>
      </c>
      <c r="J366" s="3">
        <v>2729.3</v>
      </c>
      <c r="K366" t="str">
        <f t="shared" si="10"/>
        <v>October</v>
      </c>
      <c r="L366">
        <f t="shared" si="11"/>
        <v>2023</v>
      </c>
    </row>
    <row r="367" spans="1:12" x14ac:dyDescent="0.3">
      <c r="A367" s="2">
        <v>45204</v>
      </c>
      <c r="B367" t="s">
        <v>48</v>
      </c>
      <c r="C367" t="s">
        <v>68</v>
      </c>
      <c r="D367" t="s">
        <v>156</v>
      </c>
      <c r="E367" t="s">
        <v>18</v>
      </c>
      <c r="F367" t="s">
        <v>40</v>
      </c>
      <c r="G367" t="s">
        <v>105</v>
      </c>
      <c r="H367" s="3">
        <v>2233.46</v>
      </c>
      <c r="I367" s="4">
        <v>1</v>
      </c>
      <c r="J367" s="3">
        <v>315.51</v>
      </c>
      <c r="K367" t="str">
        <f t="shared" si="10"/>
        <v>October</v>
      </c>
      <c r="L367">
        <f t="shared" si="11"/>
        <v>2023</v>
      </c>
    </row>
    <row r="368" spans="1:12" x14ac:dyDescent="0.3">
      <c r="A368" s="2">
        <v>45204</v>
      </c>
      <c r="B368" t="s">
        <v>73</v>
      </c>
      <c r="C368" t="s">
        <v>61</v>
      </c>
      <c r="D368" t="s">
        <v>156</v>
      </c>
      <c r="E368" t="s">
        <v>13</v>
      </c>
      <c r="F368" t="s">
        <v>14</v>
      </c>
      <c r="G368" t="s">
        <v>70</v>
      </c>
      <c r="H368" s="3">
        <v>2506.63</v>
      </c>
      <c r="I368" s="4">
        <v>1</v>
      </c>
      <c r="J368" s="3">
        <v>230.71</v>
      </c>
      <c r="K368" t="str">
        <f t="shared" si="10"/>
        <v>October</v>
      </c>
      <c r="L368">
        <f t="shared" si="11"/>
        <v>2023</v>
      </c>
    </row>
    <row r="369" spans="1:12" x14ac:dyDescent="0.3">
      <c r="A369" s="2">
        <v>45204</v>
      </c>
      <c r="B369" t="s">
        <v>32</v>
      </c>
      <c r="C369" t="s">
        <v>17</v>
      </c>
      <c r="D369" t="s">
        <v>156</v>
      </c>
      <c r="E369" t="s">
        <v>35</v>
      </c>
      <c r="F369" t="s">
        <v>63</v>
      </c>
      <c r="G369" t="s">
        <v>64</v>
      </c>
      <c r="H369" s="3">
        <v>31124.26</v>
      </c>
      <c r="I369" s="4">
        <v>1</v>
      </c>
      <c r="J369" s="3">
        <v>2740.36</v>
      </c>
      <c r="K369" t="str">
        <f t="shared" si="10"/>
        <v>October</v>
      </c>
      <c r="L369">
        <f t="shared" si="11"/>
        <v>2023</v>
      </c>
    </row>
    <row r="370" spans="1:12" x14ac:dyDescent="0.3">
      <c r="A370" s="2">
        <v>45205</v>
      </c>
      <c r="B370" t="s">
        <v>60</v>
      </c>
      <c r="C370" t="s">
        <v>49</v>
      </c>
      <c r="D370" t="s">
        <v>156</v>
      </c>
      <c r="E370" t="s">
        <v>18</v>
      </c>
      <c r="F370" t="s">
        <v>40</v>
      </c>
      <c r="G370" t="s">
        <v>117</v>
      </c>
      <c r="H370" s="3">
        <v>5909.2</v>
      </c>
      <c r="I370" s="4">
        <v>2</v>
      </c>
      <c r="J370" s="3">
        <v>705.39</v>
      </c>
      <c r="K370" t="str">
        <f t="shared" si="10"/>
        <v>October</v>
      </c>
      <c r="L370">
        <f t="shared" si="11"/>
        <v>2023</v>
      </c>
    </row>
    <row r="371" spans="1:12" x14ac:dyDescent="0.3">
      <c r="A371" s="2">
        <v>45206</v>
      </c>
      <c r="B371" t="s">
        <v>73</v>
      </c>
      <c r="C371" t="s">
        <v>12</v>
      </c>
      <c r="D371" t="s">
        <v>156</v>
      </c>
      <c r="E371" t="s">
        <v>35</v>
      </c>
      <c r="F371" t="s">
        <v>63</v>
      </c>
      <c r="G371" t="s">
        <v>114</v>
      </c>
      <c r="H371" s="3">
        <v>99512.54</v>
      </c>
      <c r="I371" s="4">
        <v>4</v>
      </c>
      <c r="J371" s="3">
        <v>-3993.49</v>
      </c>
      <c r="K371" t="str">
        <f t="shared" si="10"/>
        <v>October</v>
      </c>
      <c r="L371">
        <f t="shared" si="11"/>
        <v>2023</v>
      </c>
    </row>
    <row r="372" spans="1:12" x14ac:dyDescent="0.3">
      <c r="A372" s="2">
        <v>45206</v>
      </c>
      <c r="B372" t="s">
        <v>86</v>
      </c>
      <c r="C372" t="s">
        <v>12</v>
      </c>
      <c r="D372" t="s">
        <v>156</v>
      </c>
      <c r="E372" t="s">
        <v>18</v>
      </c>
      <c r="F372" t="s">
        <v>19</v>
      </c>
      <c r="G372" t="s">
        <v>72</v>
      </c>
      <c r="H372" s="3">
        <v>237226.09</v>
      </c>
      <c r="I372" s="4">
        <v>4</v>
      </c>
      <c r="J372" s="3">
        <v>17078.11</v>
      </c>
      <c r="K372" t="str">
        <f t="shared" si="10"/>
        <v>October</v>
      </c>
      <c r="L372">
        <f t="shared" si="11"/>
        <v>2023</v>
      </c>
    </row>
    <row r="373" spans="1:12" x14ac:dyDescent="0.3">
      <c r="A373" s="2">
        <v>45207</v>
      </c>
      <c r="B373" t="s">
        <v>52</v>
      </c>
      <c r="C373" t="s">
        <v>30</v>
      </c>
      <c r="D373" t="s">
        <v>156</v>
      </c>
      <c r="E373" t="s">
        <v>13</v>
      </c>
      <c r="F373" t="s">
        <v>14</v>
      </c>
      <c r="G373" t="s">
        <v>57</v>
      </c>
      <c r="H373" s="3">
        <v>1680.85</v>
      </c>
      <c r="I373" s="4">
        <v>1</v>
      </c>
      <c r="J373" s="3">
        <v>120.73</v>
      </c>
      <c r="K373" t="str">
        <f t="shared" si="10"/>
        <v>October</v>
      </c>
      <c r="L373">
        <f t="shared" si="11"/>
        <v>2023</v>
      </c>
    </row>
    <row r="374" spans="1:12" x14ac:dyDescent="0.3">
      <c r="A374" s="2">
        <v>45207</v>
      </c>
      <c r="B374" t="s">
        <v>48</v>
      </c>
      <c r="C374" t="s">
        <v>49</v>
      </c>
      <c r="D374" t="s">
        <v>156</v>
      </c>
      <c r="E374" t="s">
        <v>26</v>
      </c>
      <c r="F374" t="s">
        <v>53</v>
      </c>
      <c r="G374" t="s">
        <v>96</v>
      </c>
      <c r="H374" s="3">
        <v>139766.47</v>
      </c>
      <c r="I374" s="4">
        <v>2</v>
      </c>
      <c r="J374" s="3">
        <v>20266.419999999998</v>
      </c>
      <c r="K374" t="str">
        <f t="shared" si="10"/>
        <v>October</v>
      </c>
      <c r="L374">
        <f t="shared" si="11"/>
        <v>2023</v>
      </c>
    </row>
    <row r="375" spans="1:12" x14ac:dyDescent="0.3">
      <c r="A375" s="2">
        <v>45207</v>
      </c>
      <c r="B375" t="s">
        <v>109</v>
      </c>
      <c r="C375" t="s">
        <v>56</v>
      </c>
      <c r="D375" t="s">
        <v>156</v>
      </c>
      <c r="E375" t="s">
        <v>13</v>
      </c>
      <c r="F375" t="s">
        <v>23</v>
      </c>
      <c r="G375" t="s">
        <v>24</v>
      </c>
      <c r="H375" s="3">
        <v>63755.73</v>
      </c>
      <c r="I375" s="4">
        <v>1</v>
      </c>
      <c r="J375" s="3">
        <v>4965.18</v>
      </c>
      <c r="K375" t="str">
        <f t="shared" si="10"/>
        <v>October</v>
      </c>
      <c r="L375">
        <f t="shared" si="11"/>
        <v>2023</v>
      </c>
    </row>
    <row r="376" spans="1:12" x14ac:dyDescent="0.3">
      <c r="A376" s="2">
        <v>45207</v>
      </c>
      <c r="B376" t="s">
        <v>103</v>
      </c>
      <c r="C376" t="s">
        <v>61</v>
      </c>
      <c r="D376" t="s">
        <v>156</v>
      </c>
      <c r="E376" t="s">
        <v>35</v>
      </c>
      <c r="F376" t="s">
        <v>75</v>
      </c>
      <c r="G376" t="s">
        <v>107</v>
      </c>
      <c r="H376" s="3">
        <v>66430.86</v>
      </c>
      <c r="I376" s="4">
        <v>2</v>
      </c>
      <c r="J376" s="3">
        <v>7721.87</v>
      </c>
      <c r="K376" t="str">
        <f t="shared" si="10"/>
        <v>October</v>
      </c>
      <c r="L376">
        <f t="shared" si="11"/>
        <v>2023</v>
      </c>
    </row>
    <row r="377" spans="1:12" x14ac:dyDescent="0.3">
      <c r="A377" s="2">
        <v>45208</v>
      </c>
      <c r="B377" t="s">
        <v>65</v>
      </c>
      <c r="C377" t="s">
        <v>49</v>
      </c>
      <c r="D377" t="s">
        <v>156</v>
      </c>
      <c r="E377" t="s">
        <v>13</v>
      </c>
      <c r="F377" t="s">
        <v>23</v>
      </c>
      <c r="G377" t="s">
        <v>108</v>
      </c>
      <c r="H377" s="3">
        <v>58810.64</v>
      </c>
      <c r="I377" s="4">
        <v>1</v>
      </c>
      <c r="J377" s="3">
        <v>3600.37</v>
      </c>
      <c r="K377" t="str">
        <f t="shared" si="10"/>
        <v>October</v>
      </c>
      <c r="L377">
        <f t="shared" si="11"/>
        <v>2023</v>
      </c>
    </row>
    <row r="378" spans="1:12" x14ac:dyDescent="0.3">
      <c r="A378" s="2">
        <v>45209</v>
      </c>
      <c r="B378" t="s">
        <v>29</v>
      </c>
      <c r="C378" t="s">
        <v>30</v>
      </c>
      <c r="D378" t="s">
        <v>156</v>
      </c>
      <c r="E378" t="s">
        <v>35</v>
      </c>
      <c r="F378" t="s">
        <v>50</v>
      </c>
      <c r="G378" t="s">
        <v>118</v>
      </c>
      <c r="H378" s="3">
        <v>20192.240000000002</v>
      </c>
      <c r="I378" s="4">
        <v>3</v>
      </c>
      <c r="J378" s="3">
        <v>1923.58</v>
      </c>
      <c r="K378" t="str">
        <f t="shared" si="10"/>
        <v>October</v>
      </c>
      <c r="L378">
        <f t="shared" si="11"/>
        <v>2023</v>
      </c>
    </row>
    <row r="379" spans="1:12" x14ac:dyDescent="0.3">
      <c r="A379" s="2">
        <v>45210</v>
      </c>
      <c r="B379" t="s">
        <v>93</v>
      </c>
      <c r="C379" t="s">
        <v>12</v>
      </c>
      <c r="D379" t="s">
        <v>156</v>
      </c>
      <c r="E379" t="s">
        <v>13</v>
      </c>
      <c r="F379" t="s">
        <v>14</v>
      </c>
      <c r="G379" t="s">
        <v>70</v>
      </c>
      <c r="H379" s="3">
        <v>5887.24</v>
      </c>
      <c r="I379" s="4">
        <v>2</v>
      </c>
      <c r="J379" s="3">
        <v>801.43</v>
      </c>
      <c r="K379" t="str">
        <f t="shared" si="10"/>
        <v>October</v>
      </c>
      <c r="L379">
        <f t="shared" si="11"/>
        <v>2023</v>
      </c>
    </row>
    <row r="380" spans="1:12" x14ac:dyDescent="0.3">
      <c r="A380" s="2">
        <v>45210</v>
      </c>
      <c r="B380" t="s">
        <v>93</v>
      </c>
      <c r="C380" t="s">
        <v>69</v>
      </c>
      <c r="D380" t="s">
        <v>156</v>
      </c>
      <c r="E380" t="s">
        <v>35</v>
      </c>
      <c r="F380" t="s">
        <v>36</v>
      </c>
      <c r="G380" t="s">
        <v>99</v>
      </c>
      <c r="H380" s="3">
        <v>69846.34</v>
      </c>
      <c r="I380" s="4">
        <v>2</v>
      </c>
      <c r="J380" s="3">
        <v>5599.14</v>
      </c>
      <c r="K380" t="str">
        <f t="shared" si="10"/>
        <v>October</v>
      </c>
      <c r="L380">
        <f t="shared" si="11"/>
        <v>2023</v>
      </c>
    </row>
    <row r="381" spans="1:12" x14ac:dyDescent="0.3">
      <c r="A381" s="2">
        <v>45210</v>
      </c>
      <c r="B381" t="s">
        <v>74</v>
      </c>
      <c r="C381" t="s">
        <v>81</v>
      </c>
      <c r="D381" t="s">
        <v>156</v>
      </c>
      <c r="E381" t="s">
        <v>42</v>
      </c>
      <c r="F381" t="s">
        <v>90</v>
      </c>
      <c r="G381" t="s">
        <v>120</v>
      </c>
      <c r="H381" s="3">
        <v>4984.8900000000003</v>
      </c>
      <c r="I381" s="4">
        <v>1</v>
      </c>
      <c r="J381" s="3">
        <v>903.35</v>
      </c>
      <c r="K381" t="str">
        <f t="shared" si="10"/>
        <v>October</v>
      </c>
      <c r="L381">
        <f t="shared" si="11"/>
        <v>2023</v>
      </c>
    </row>
    <row r="382" spans="1:12" x14ac:dyDescent="0.3">
      <c r="A382" s="2">
        <v>45211</v>
      </c>
      <c r="B382" t="s">
        <v>92</v>
      </c>
      <c r="C382" t="s">
        <v>69</v>
      </c>
      <c r="D382" t="s">
        <v>156</v>
      </c>
      <c r="E382" t="s">
        <v>35</v>
      </c>
      <c r="F382" t="s">
        <v>50</v>
      </c>
      <c r="G382" t="s">
        <v>51</v>
      </c>
      <c r="H382" s="3">
        <v>35872.870000000003</v>
      </c>
      <c r="I382" s="4">
        <v>4</v>
      </c>
      <c r="J382" s="3">
        <v>3798.17</v>
      </c>
      <c r="K382" t="str">
        <f t="shared" si="10"/>
        <v>October</v>
      </c>
      <c r="L382">
        <f t="shared" si="11"/>
        <v>2023</v>
      </c>
    </row>
    <row r="383" spans="1:12" x14ac:dyDescent="0.3">
      <c r="A383" s="2">
        <v>45213</v>
      </c>
      <c r="B383" t="s">
        <v>29</v>
      </c>
      <c r="C383" t="s">
        <v>69</v>
      </c>
      <c r="D383" t="s">
        <v>156</v>
      </c>
      <c r="E383" t="s">
        <v>13</v>
      </c>
      <c r="F383" t="s">
        <v>14</v>
      </c>
      <c r="G383" t="s">
        <v>111</v>
      </c>
      <c r="H383" s="3">
        <v>1915.47</v>
      </c>
      <c r="I383" s="4">
        <v>1</v>
      </c>
      <c r="J383" s="3">
        <v>128.03</v>
      </c>
      <c r="K383" t="str">
        <f t="shared" si="10"/>
        <v>October</v>
      </c>
      <c r="L383">
        <f t="shared" si="11"/>
        <v>2023</v>
      </c>
    </row>
    <row r="384" spans="1:12" x14ac:dyDescent="0.3">
      <c r="A384" s="2">
        <v>45213</v>
      </c>
      <c r="B384" t="s">
        <v>116</v>
      </c>
      <c r="C384" t="s">
        <v>17</v>
      </c>
      <c r="D384" t="s">
        <v>156</v>
      </c>
      <c r="E384" t="s">
        <v>26</v>
      </c>
      <c r="F384" t="s">
        <v>27</v>
      </c>
      <c r="G384" t="s">
        <v>28</v>
      </c>
      <c r="H384" s="3">
        <v>41954.26</v>
      </c>
      <c r="I384" s="4">
        <v>2</v>
      </c>
      <c r="J384" s="3">
        <v>6920.72</v>
      </c>
      <c r="K384" t="str">
        <f t="shared" si="10"/>
        <v>October</v>
      </c>
      <c r="L384">
        <f t="shared" si="11"/>
        <v>2023</v>
      </c>
    </row>
    <row r="385" spans="1:12" x14ac:dyDescent="0.3">
      <c r="A385" s="2">
        <v>45213</v>
      </c>
      <c r="B385" t="s">
        <v>65</v>
      </c>
      <c r="C385" t="s">
        <v>56</v>
      </c>
      <c r="D385" t="s">
        <v>156</v>
      </c>
      <c r="E385" t="s">
        <v>42</v>
      </c>
      <c r="F385" t="s">
        <v>43</v>
      </c>
      <c r="G385" t="s">
        <v>89</v>
      </c>
      <c r="H385" s="3">
        <v>34249.440000000002</v>
      </c>
      <c r="I385" s="4">
        <v>1</v>
      </c>
      <c r="J385" s="3">
        <v>8199.4599999999991</v>
      </c>
      <c r="K385" t="str">
        <f t="shared" si="10"/>
        <v>October</v>
      </c>
      <c r="L385">
        <f t="shared" si="11"/>
        <v>2023</v>
      </c>
    </row>
    <row r="386" spans="1:12" x14ac:dyDescent="0.3">
      <c r="A386" s="2">
        <v>45214</v>
      </c>
      <c r="B386" t="s">
        <v>11</v>
      </c>
      <c r="C386" t="s">
        <v>30</v>
      </c>
      <c r="D386" t="s">
        <v>156</v>
      </c>
      <c r="E386" t="s">
        <v>42</v>
      </c>
      <c r="F386" t="s">
        <v>90</v>
      </c>
      <c r="G386" t="s">
        <v>120</v>
      </c>
      <c r="H386" s="3">
        <v>10744.5</v>
      </c>
      <c r="I386" s="4">
        <v>2</v>
      </c>
      <c r="J386" s="3">
        <v>2240.4</v>
      </c>
      <c r="K386" t="str">
        <f t="shared" si="10"/>
        <v>October</v>
      </c>
      <c r="L386">
        <f t="shared" si="11"/>
        <v>2023</v>
      </c>
    </row>
    <row r="387" spans="1:12" x14ac:dyDescent="0.3">
      <c r="A387" s="2">
        <v>45215</v>
      </c>
      <c r="B387" t="s">
        <v>92</v>
      </c>
      <c r="C387" t="s">
        <v>81</v>
      </c>
      <c r="D387" t="s">
        <v>156</v>
      </c>
      <c r="E387" t="s">
        <v>35</v>
      </c>
      <c r="F387" t="s">
        <v>75</v>
      </c>
      <c r="G387" t="s">
        <v>76</v>
      </c>
      <c r="H387" s="3">
        <v>134631.85</v>
      </c>
      <c r="I387" s="4">
        <v>3</v>
      </c>
      <c r="J387" s="3">
        <v>19439.310000000001</v>
      </c>
      <c r="K387" t="str">
        <f t="shared" ref="K387:K450" si="12">TEXT(A387,"mmmm")</f>
        <v>October</v>
      </c>
      <c r="L387">
        <f t="shared" ref="L387:L450" si="13">YEAR(A387)</f>
        <v>2023</v>
      </c>
    </row>
    <row r="388" spans="1:12" x14ac:dyDescent="0.3">
      <c r="A388" s="2">
        <v>45215</v>
      </c>
      <c r="B388" t="s">
        <v>92</v>
      </c>
      <c r="C388" t="s">
        <v>69</v>
      </c>
      <c r="D388" t="s">
        <v>156</v>
      </c>
      <c r="E388" t="s">
        <v>26</v>
      </c>
      <c r="F388" t="s">
        <v>27</v>
      </c>
      <c r="G388" t="s">
        <v>31</v>
      </c>
      <c r="H388" s="3">
        <v>28141.119999999999</v>
      </c>
      <c r="I388" s="4">
        <v>3</v>
      </c>
      <c r="J388" s="3">
        <v>3265.26</v>
      </c>
      <c r="K388" t="str">
        <f t="shared" si="12"/>
        <v>October</v>
      </c>
      <c r="L388">
        <f t="shared" si="13"/>
        <v>2023</v>
      </c>
    </row>
    <row r="389" spans="1:12" x14ac:dyDescent="0.3">
      <c r="A389" s="2">
        <v>45216</v>
      </c>
      <c r="B389" t="s">
        <v>80</v>
      </c>
      <c r="C389" t="s">
        <v>68</v>
      </c>
      <c r="D389" t="s">
        <v>156</v>
      </c>
      <c r="E389" t="s">
        <v>35</v>
      </c>
      <c r="F389" t="s">
        <v>36</v>
      </c>
      <c r="G389" t="s">
        <v>84</v>
      </c>
      <c r="H389" s="3">
        <v>30920.39</v>
      </c>
      <c r="I389" s="4">
        <v>1</v>
      </c>
      <c r="J389" s="3">
        <v>4831.63</v>
      </c>
      <c r="K389" t="str">
        <f t="shared" si="12"/>
        <v>October</v>
      </c>
      <c r="L389">
        <f t="shared" si="13"/>
        <v>2023</v>
      </c>
    </row>
    <row r="390" spans="1:12" x14ac:dyDescent="0.3">
      <c r="A390" s="2">
        <v>45216</v>
      </c>
      <c r="B390" t="s">
        <v>16</v>
      </c>
      <c r="C390" t="s">
        <v>69</v>
      </c>
      <c r="D390" t="s">
        <v>156</v>
      </c>
      <c r="E390" t="s">
        <v>13</v>
      </c>
      <c r="F390" t="s">
        <v>14</v>
      </c>
      <c r="G390" t="s">
        <v>15</v>
      </c>
      <c r="H390" s="3">
        <v>9048.14</v>
      </c>
      <c r="I390" s="4">
        <v>4</v>
      </c>
      <c r="J390" s="3">
        <v>750.91</v>
      </c>
      <c r="K390" t="str">
        <f t="shared" si="12"/>
        <v>October</v>
      </c>
      <c r="L390">
        <f t="shared" si="13"/>
        <v>2023</v>
      </c>
    </row>
    <row r="391" spans="1:12" x14ac:dyDescent="0.3">
      <c r="A391" s="2">
        <v>45217</v>
      </c>
      <c r="B391" t="s">
        <v>25</v>
      </c>
      <c r="C391" t="s">
        <v>81</v>
      </c>
      <c r="D391" t="s">
        <v>156</v>
      </c>
      <c r="E391" t="s">
        <v>35</v>
      </c>
      <c r="F391" t="s">
        <v>50</v>
      </c>
      <c r="G391" t="s">
        <v>51</v>
      </c>
      <c r="H391" s="3">
        <v>7644.3</v>
      </c>
      <c r="I391" s="4">
        <v>1</v>
      </c>
      <c r="J391" s="3">
        <v>859.49</v>
      </c>
      <c r="K391" t="str">
        <f t="shared" si="12"/>
        <v>October</v>
      </c>
      <c r="L391">
        <f t="shared" si="13"/>
        <v>2023</v>
      </c>
    </row>
    <row r="392" spans="1:12" x14ac:dyDescent="0.3">
      <c r="A392" s="2">
        <v>45218</v>
      </c>
      <c r="B392" t="s">
        <v>95</v>
      </c>
      <c r="C392" t="s">
        <v>81</v>
      </c>
      <c r="D392" t="s">
        <v>156</v>
      </c>
      <c r="E392" t="s">
        <v>35</v>
      </c>
      <c r="F392" t="s">
        <v>75</v>
      </c>
      <c r="G392" t="s">
        <v>76</v>
      </c>
      <c r="H392" s="3">
        <v>88518.16</v>
      </c>
      <c r="I392" s="4">
        <v>2</v>
      </c>
      <c r="J392" s="3">
        <v>9552.42</v>
      </c>
      <c r="K392" t="str">
        <f t="shared" si="12"/>
        <v>October</v>
      </c>
      <c r="L392">
        <f t="shared" si="13"/>
        <v>2023</v>
      </c>
    </row>
    <row r="393" spans="1:12" x14ac:dyDescent="0.3">
      <c r="A393" s="2">
        <v>45218</v>
      </c>
      <c r="B393" t="s">
        <v>67</v>
      </c>
      <c r="C393" t="s">
        <v>56</v>
      </c>
      <c r="D393" t="s">
        <v>156</v>
      </c>
      <c r="E393" t="s">
        <v>35</v>
      </c>
      <c r="F393" t="s">
        <v>63</v>
      </c>
      <c r="G393" t="s">
        <v>114</v>
      </c>
      <c r="H393" s="3">
        <v>58039.12</v>
      </c>
      <c r="I393" s="4">
        <v>2</v>
      </c>
      <c r="J393" s="3">
        <v>8720.59</v>
      </c>
      <c r="K393" t="str">
        <f t="shared" si="12"/>
        <v>October</v>
      </c>
      <c r="L393">
        <f t="shared" si="13"/>
        <v>2023</v>
      </c>
    </row>
    <row r="394" spans="1:12" x14ac:dyDescent="0.3">
      <c r="A394" s="2">
        <v>45219</v>
      </c>
      <c r="B394" t="s">
        <v>67</v>
      </c>
      <c r="C394" t="s">
        <v>30</v>
      </c>
      <c r="D394" t="s">
        <v>156</v>
      </c>
      <c r="E394" t="s">
        <v>35</v>
      </c>
      <c r="F394" t="s">
        <v>36</v>
      </c>
      <c r="G394" t="s">
        <v>84</v>
      </c>
      <c r="H394" s="3">
        <v>28712.27</v>
      </c>
      <c r="I394" s="4">
        <v>1</v>
      </c>
      <c r="J394" s="3">
        <v>3988.57</v>
      </c>
      <c r="K394" t="str">
        <f t="shared" si="12"/>
        <v>October</v>
      </c>
      <c r="L394">
        <f t="shared" si="13"/>
        <v>2023</v>
      </c>
    </row>
    <row r="395" spans="1:12" x14ac:dyDescent="0.3">
      <c r="A395" s="2">
        <v>45220</v>
      </c>
      <c r="B395" t="s">
        <v>48</v>
      </c>
      <c r="C395" t="s">
        <v>69</v>
      </c>
      <c r="D395" t="s">
        <v>156</v>
      </c>
      <c r="E395" t="s">
        <v>13</v>
      </c>
      <c r="F395" t="s">
        <v>14</v>
      </c>
      <c r="G395" t="s">
        <v>70</v>
      </c>
      <c r="H395" s="3">
        <v>2941.77</v>
      </c>
      <c r="I395" s="4">
        <v>1</v>
      </c>
      <c r="J395" s="3">
        <v>330.49</v>
      </c>
      <c r="K395" t="str">
        <f t="shared" si="12"/>
        <v>October</v>
      </c>
      <c r="L395">
        <f t="shared" si="13"/>
        <v>2023</v>
      </c>
    </row>
    <row r="396" spans="1:12" x14ac:dyDescent="0.3">
      <c r="A396" s="2">
        <v>45221</v>
      </c>
      <c r="B396" t="s">
        <v>65</v>
      </c>
      <c r="C396" t="s">
        <v>22</v>
      </c>
      <c r="D396" t="s">
        <v>156</v>
      </c>
      <c r="E396" t="s">
        <v>35</v>
      </c>
      <c r="F396" t="s">
        <v>50</v>
      </c>
      <c r="G396" t="s">
        <v>121</v>
      </c>
      <c r="H396" s="3">
        <v>4421.1000000000004</v>
      </c>
      <c r="I396" s="4">
        <v>1</v>
      </c>
      <c r="J396" s="3">
        <v>574.30999999999995</v>
      </c>
      <c r="K396" t="str">
        <f t="shared" si="12"/>
        <v>October</v>
      </c>
      <c r="L396">
        <f t="shared" si="13"/>
        <v>2023</v>
      </c>
    </row>
    <row r="397" spans="1:12" x14ac:dyDescent="0.3">
      <c r="A397" s="2">
        <v>45222</v>
      </c>
      <c r="B397" t="s">
        <v>109</v>
      </c>
      <c r="C397" t="s">
        <v>56</v>
      </c>
      <c r="D397" t="s">
        <v>156</v>
      </c>
      <c r="E397" t="s">
        <v>26</v>
      </c>
      <c r="F397" t="s">
        <v>53</v>
      </c>
      <c r="G397" t="s">
        <v>54</v>
      </c>
      <c r="H397" s="3">
        <v>122817.60000000001</v>
      </c>
      <c r="I397" s="4">
        <v>3</v>
      </c>
      <c r="J397" s="3">
        <v>17480.13</v>
      </c>
      <c r="K397" t="str">
        <f t="shared" si="12"/>
        <v>October</v>
      </c>
      <c r="L397">
        <f t="shared" si="13"/>
        <v>2023</v>
      </c>
    </row>
    <row r="398" spans="1:12" x14ac:dyDescent="0.3">
      <c r="A398" s="2">
        <v>45222</v>
      </c>
      <c r="B398" t="s">
        <v>101</v>
      </c>
      <c r="C398" t="s">
        <v>56</v>
      </c>
      <c r="D398" t="s">
        <v>156</v>
      </c>
      <c r="E398" t="s">
        <v>42</v>
      </c>
      <c r="F398" t="s">
        <v>43</v>
      </c>
      <c r="G398" t="s">
        <v>87</v>
      </c>
      <c r="H398" s="3">
        <v>11513.93</v>
      </c>
      <c r="I398" s="4">
        <v>1</v>
      </c>
      <c r="J398" s="3">
        <v>2355.5100000000002</v>
      </c>
      <c r="K398" t="str">
        <f t="shared" si="12"/>
        <v>October</v>
      </c>
      <c r="L398">
        <f t="shared" si="13"/>
        <v>2023</v>
      </c>
    </row>
    <row r="399" spans="1:12" x14ac:dyDescent="0.3">
      <c r="A399" s="2">
        <v>45222</v>
      </c>
      <c r="B399" t="s">
        <v>21</v>
      </c>
      <c r="C399" t="s">
        <v>66</v>
      </c>
      <c r="D399" t="s">
        <v>156</v>
      </c>
      <c r="E399" t="s">
        <v>13</v>
      </c>
      <c r="F399" t="s">
        <v>14</v>
      </c>
      <c r="G399" t="s">
        <v>111</v>
      </c>
      <c r="H399" s="3">
        <v>1719.85</v>
      </c>
      <c r="I399" s="4">
        <v>1</v>
      </c>
      <c r="J399" s="3">
        <v>256.89</v>
      </c>
      <c r="K399" t="str">
        <f t="shared" si="12"/>
        <v>October</v>
      </c>
      <c r="L399">
        <f t="shared" si="13"/>
        <v>2023</v>
      </c>
    </row>
    <row r="400" spans="1:12" x14ac:dyDescent="0.3">
      <c r="A400" s="2">
        <v>45223</v>
      </c>
      <c r="B400" t="s">
        <v>73</v>
      </c>
      <c r="C400" t="s">
        <v>58</v>
      </c>
      <c r="D400" t="s">
        <v>156</v>
      </c>
      <c r="E400" t="s">
        <v>18</v>
      </c>
      <c r="F400" t="s">
        <v>40</v>
      </c>
      <c r="G400" t="s">
        <v>105</v>
      </c>
      <c r="H400" s="3">
        <v>4183.62</v>
      </c>
      <c r="I400" s="4">
        <v>2</v>
      </c>
      <c r="J400" s="3">
        <v>307.42</v>
      </c>
      <c r="K400" t="str">
        <f t="shared" si="12"/>
        <v>October</v>
      </c>
      <c r="L400">
        <f t="shared" si="13"/>
        <v>2023</v>
      </c>
    </row>
    <row r="401" spans="1:12" x14ac:dyDescent="0.3">
      <c r="A401" s="2">
        <v>45223</v>
      </c>
      <c r="B401" t="s">
        <v>74</v>
      </c>
      <c r="C401" t="s">
        <v>39</v>
      </c>
      <c r="D401" t="s">
        <v>156</v>
      </c>
      <c r="E401" t="s">
        <v>18</v>
      </c>
      <c r="F401" t="s">
        <v>19</v>
      </c>
      <c r="G401" t="s">
        <v>33</v>
      </c>
      <c r="H401" s="3">
        <v>147223.56</v>
      </c>
      <c r="I401" s="4">
        <v>3</v>
      </c>
      <c r="J401" s="3">
        <v>17658.669999999998</v>
      </c>
      <c r="K401" t="str">
        <f t="shared" si="12"/>
        <v>October</v>
      </c>
      <c r="L401">
        <f t="shared" si="13"/>
        <v>2023</v>
      </c>
    </row>
    <row r="402" spans="1:12" x14ac:dyDescent="0.3">
      <c r="A402" s="2">
        <v>45223</v>
      </c>
      <c r="B402" t="s">
        <v>52</v>
      </c>
      <c r="C402" t="s">
        <v>58</v>
      </c>
      <c r="D402" t="s">
        <v>156</v>
      </c>
      <c r="E402" t="s">
        <v>35</v>
      </c>
      <c r="F402" t="s">
        <v>75</v>
      </c>
      <c r="G402" t="s">
        <v>110</v>
      </c>
      <c r="H402" s="3">
        <v>218951.56</v>
      </c>
      <c r="I402" s="4">
        <v>5</v>
      </c>
      <c r="J402" s="3">
        <v>23929.67</v>
      </c>
      <c r="K402" t="str">
        <f t="shared" si="12"/>
        <v>October</v>
      </c>
      <c r="L402">
        <f t="shared" si="13"/>
        <v>2023</v>
      </c>
    </row>
    <row r="403" spans="1:12" x14ac:dyDescent="0.3">
      <c r="A403" s="2">
        <v>45224</v>
      </c>
      <c r="B403" t="s">
        <v>52</v>
      </c>
      <c r="C403" t="s">
        <v>22</v>
      </c>
      <c r="D403" t="s">
        <v>156</v>
      </c>
      <c r="E403" t="s">
        <v>42</v>
      </c>
      <c r="F403" t="s">
        <v>90</v>
      </c>
      <c r="G403" t="s">
        <v>97</v>
      </c>
      <c r="H403" s="3">
        <v>2259.2600000000002</v>
      </c>
      <c r="I403" s="4">
        <v>1</v>
      </c>
      <c r="J403" s="3">
        <v>453.48</v>
      </c>
      <c r="K403" t="str">
        <f t="shared" si="12"/>
        <v>October</v>
      </c>
      <c r="L403">
        <f t="shared" si="13"/>
        <v>2023</v>
      </c>
    </row>
    <row r="404" spans="1:12" x14ac:dyDescent="0.3">
      <c r="A404" s="2">
        <v>45224</v>
      </c>
      <c r="B404" t="s">
        <v>52</v>
      </c>
      <c r="C404" t="s">
        <v>81</v>
      </c>
      <c r="D404" t="s">
        <v>156</v>
      </c>
      <c r="E404" t="s">
        <v>35</v>
      </c>
      <c r="F404" t="s">
        <v>36</v>
      </c>
      <c r="G404" t="s">
        <v>37</v>
      </c>
      <c r="H404" s="3">
        <v>26571.75</v>
      </c>
      <c r="I404" s="4">
        <v>1</v>
      </c>
      <c r="J404" s="3">
        <v>-574.67999999999995</v>
      </c>
      <c r="K404" t="str">
        <f t="shared" si="12"/>
        <v>October</v>
      </c>
      <c r="L404">
        <f t="shared" si="13"/>
        <v>2023</v>
      </c>
    </row>
    <row r="405" spans="1:12" x14ac:dyDescent="0.3">
      <c r="A405" s="2">
        <v>45225</v>
      </c>
      <c r="B405" t="s">
        <v>65</v>
      </c>
      <c r="C405" t="s">
        <v>66</v>
      </c>
      <c r="D405" t="s">
        <v>156</v>
      </c>
      <c r="E405" t="s">
        <v>18</v>
      </c>
      <c r="F405" t="s">
        <v>40</v>
      </c>
      <c r="G405" t="s">
        <v>41</v>
      </c>
      <c r="H405" s="3">
        <v>16441.36</v>
      </c>
      <c r="I405" s="4">
        <v>1</v>
      </c>
      <c r="J405" s="3">
        <v>2501.88</v>
      </c>
      <c r="K405" t="str">
        <f t="shared" si="12"/>
        <v>October</v>
      </c>
      <c r="L405">
        <f t="shared" si="13"/>
        <v>2023</v>
      </c>
    </row>
    <row r="406" spans="1:12" x14ac:dyDescent="0.3">
      <c r="A406" s="2">
        <v>45225</v>
      </c>
      <c r="B406" t="s">
        <v>55</v>
      </c>
      <c r="C406" t="s">
        <v>58</v>
      </c>
      <c r="D406" t="s">
        <v>156</v>
      </c>
      <c r="E406" t="s">
        <v>18</v>
      </c>
      <c r="F406" t="s">
        <v>40</v>
      </c>
      <c r="G406" t="s">
        <v>115</v>
      </c>
      <c r="H406" s="3">
        <v>11972.56</v>
      </c>
      <c r="I406" s="4">
        <v>1</v>
      </c>
      <c r="J406" s="3">
        <v>1540.2</v>
      </c>
      <c r="K406" t="str">
        <f t="shared" si="12"/>
        <v>October</v>
      </c>
      <c r="L406">
        <f t="shared" si="13"/>
        <v>2023</v>
      </c>
    </row>
    <row r="407" spans="1:12" x14ac:dyDescent="0.3">
      <c r="A407" s="2">
        <v>45226</v>
      </c>
      <c r="B407" t="s">
        <v>65</v>
      </c>
      <c r="C407" t="s">
        <v>69</v>
      </c>
      <c r="D407" t="s">
        <v>156</v>
      </c>
      <c r="E407" t="s">
        <v>35</v>
      </c>
      <c r="F407" t="s">
        <v>75</v>
      </c>
      <c r="G407" t="s">
        <v>76</v>
      </c>
      <c r="H407" s="3">
        <v>41040.980000000003</v>
      </c>
      <c r="I407" s="4">
        <v>1</v>
      </c>
      <c r="J407" s="3">
        <v>3592.86</v>
      </c>
      <c r="K407" t="str">
        <f t="shared" si="12"/>
        <v>October</v>
      </c>
      <c r="L407">
        <f t="shared" si="13"/>
        <v>2023</v>
      </c>
    </row>
    <row r="408" spans="1:12" x14ac:dyDescent="0.3">
      <c r="A408" s="2">
        <v>45227</v>
      </c>
      <c r="B408" t="s">
        <v>16</v>
      </c>
      <c r="C408" t="s">
        <v>68</v>
      </c>
      <c r="D408" t="s">
        <v>156</v>
      </c>
      <c r="E408" t="s">
        <v>35</v>
      </c>
      <c r="F408" t="s">
        <v>63</v>
      </c>
      <c r="G408" t="s">
        <v>112</v>
      </c>
      <c r="H408" s="3">
        <v>27713.85</v>
      </c>
      <c r="I408" s="4">
        <v>1</v>
      </c>
      <c r="J408" s="3">
        <v>3800.96</v>
      </c>
      <c r="K408" t="str">
        <f t="shared" si="12"/>
        <v>October</v>
      </c>
      <c r="L408">
        <f t="shared" si="13"/>
        <v>2023</v>
      </c>
    </row>
    <row r="409" spans="1:12" x14ac:dyDescent="0.3">
      <c r="A409" s="2">
        <v>45228</v>
      </c>
      <c r="B409" t="s">
        <v>29</v>
      </c>
      <c r="C409" t="s">
        <v>46</v>
      </c>
      <c r="D409" t="s">
        <v>156</v>
      </c>
      <c r="E409" t="s">
        <v>35</v>
      </c>
      <c r="F409" t="s">
        <v>75</v>
      </c>
      <c r="G409" t="s">
        <v>107</v>
      </c>
      <c r="H409" s="3">
        <v>35628.410000000003</v>
      </c>
      <c r="I409" s="4">
        <v>1</v>
      </c>
      <c r="J409" s="3">
        <v>3021.64</v>
      </c>
      <c r="K409" t="str">
        <f t="shared" si="12"/>
        <v>October</v>
      </c>
      <c r="L409">
        <f t="shared" si="13"/>
        <v>2023</v>
      </c>
    </row>
    <row r="410" spans="1:12" x14ac:dyDescent="0.3">
      <c r="A410" s="2">
        <v>45229</v>
      </c>
      <c r="B410" t="s">
        <v>101</v>
      </c>
      <c r="C410" t="s">
        <v>46</v>
      </c>
      <c r="D410" t="s">
        <v>156</v>
      </c>
      <c r="E410" t="s">
        <v>18</v>
      </c>
      <c r="F410" t="s">
        <v>40</v>
      </c>
      <c r="G410" t="s">
        <v>105</v>
      </c>
      <c r="H410" s="3">
        <v>2248.7399999999998</v>
      </c>
      <c r="I410" s="4">
        <v>1</v>
      </c>
      <c r="J410" s="3">
        <v>281.55</v>
      </c>
      <c r="K410" t="str">
        <f t="shared" si="12"/>
        <v>October</v>
      </c>
      <c r="L410">
        <f t="shared" si="13"/>
        <v>2023</v>
      </c>
    </row>
    <row r="411" spans="1:12" x14ac:dyDescent="0.3">
      <c r="A411" s="2">
        <v>45229</v>
      </c>
      <c r="B411" t="s">
        <v>16</v>
      </c>
      <c r="C411" t="s">
        <v>56</v>
      </c>
      <c r="D411" t="s">
        <v>156</v>
      </c>
      <c r="E411" t="s">
        <v>35</v>
      </c>
      <c r="F411" t="s">
        <v>75</v>
      </c>
      <c r="G411" t="s">
        <v>110</v>
      </c>
      <c r="H411" s="3">
        <v>47428.66</v>
      </c>
      <c r="I411" s="4">
        <v>1</v>
      </c>
      <c r="J411" s="3">
        <v>5794.01</v>
      </c>
      <c r="K411" t="str">
        <f t="shared" si="12"/>
        <v>October</v>
      </c>
      <c r="L411">
        <f t="shared" si="13"/>
        <v>2023</v>
      </c>
    </row>
    <row r="412" spans="1:12" x14ac:dyDescent="0.3">
      <c r="A412" s="2">
        <v>45229</v>
      </c>
      <c r="B412" t="s">
        <v>48</v>
      </c>
      <c r="C412" t="s">
        <v>68</v>
      </c>
      <c r="D412" t="s">
        <v>156</v>
      </c>
      <c r="E412" t="s">
        <v>26</v>
      </c>
      <c r="F412" t="s">
        <v>53</v>
      </c>
      <c r="G412" t="s">
        <v>96</v>
      </c>
      <c r="H412" s="3">
        <v>64020.02</v>
      </c>
      <c r="I412" s="4">
        <v>1</v>
      </c>
      <c r="J412" s="3">
        <v>11171.9</v>
      </c>
      <c r="K412" t="str">
        <f t="shared" si="12"/>
        <v>October</v>
      </c>
      <c r="L412">
        <f t="shared" si="13"/>
        <v>2023</v>
      </c>
    </row>
    <row r="413" spans="1:12" x14ac:dyDescent="0.3">
      <c r="A413" s="2">
        <v>45230</v>
      </c>
      <c r="B413" t="s">
        <v>86</v>
      </c>
      <c r="C413" t="s">
        <v>12</v>
      </c>
      <c r="D413" t="s">
        <v>156</v>
      </c>
      <c r="E413" t="s">
        <v>35</v>
      </c>
      <c r="F413" t="s">
        <v>63</v>
      </c>
      <c r="G413" t="s">
        <v>114</v>
      </c>
      <c r="H413" s="3">
        <v>26856.14</v>
      </c>
      <c r="I413" s="4">
        <v>1</v>
      </c>
      <c r="J413" s="3">
        <v>2258.33</v>
      </c>
      <c r="K413" t="str">
        <f t="shared" si="12"/>
        <v>October</v>
      </c>
      <c r="L413">
        <f t="shared" si="13"/>
        <v>2023</v>
      </c>
    </row>
    <row r="414" spans="1:12" x14ac:dyDescent="0.3">
      <c r="A414" s="2">
        <v>45230</v>
      </c>
      <c r="B414" t="s">
        <v>95</v>
      </c>
      <c r="C414" t="s">
        <v>58</v>
      </c>
      <c r="D414" t="s">
        <v>156</v>
      </c>
      <c r="E414" t="s">
        <v>26</v>
      </c>
      <c r="F414" t="s">
        <v>53</v>
      </c>
      <c r="G414" t="s">
        <v>54</v>
      </c>
      <c r="H414" s="3">
        <v>42055.31</v>
      </c>
      <c r="I414" s="4">
        <v>1</v>
      </c>
      <c r="J414" s="3">
        <v>4472.0600000000004</v>
      </c>
      <c r="K414" t="str">
        <f t="shared" si="12"/>
        <v>October</v>
      </c>
      <c r="L414">
        <f t="shared" si="13"/>
        <v>2023</v>
      </c>
    </row>
    <row r="415" spans="1:12" x14ac:dyDescent="0.3">
      <c r="A415" s="2">
        <v>45230</v>
      </c>
      <c r="B415" t="s">
        <v>80</v>
      </c>
      <c r="C415" t="s">
        <v>12</v>
      </c>
      <c r="D415" t="s">
        <v>156</v>
      </c>
      <c r="E415" t="s">
        <v>13</v>
      </c>
      <c r="F415" t="s">
        <v>23</v>
      </c>
      <c r="G415" t="s">
        <v>24</v>
      </c>
      <c r="H415" s="3">
        <v>113295.26</v>
      </c>
      <c r="I415" s="4">
        <v>2</v>
      </c>
      <c r="J415" s="3">
        <v>9924.6200000000008</v>
      </c>
      <c r="K415" t="str">
        <f t="shared" si="12"/>
        <v>October</v>
      </c>
      <c r="L415">
        <f t="shared" si="13"/>
        <v>2023</v>
      </c>
    </row>
    <row r="416" spans="1:12" x14ac:dyDescent="0.3">
      <c r="A416" s="2">
        <v>45231</v>
      </c>
      <c r="B416" t="s">
        <v>73</v>
      </c>
      <c r="C416" t="s">
        <v>68</v>
      </c>
      <c r="D416" t="s">
        <v>156</v>
      </c>
      <c r="E416" t="s">
        <v>26</v>
      </c>
      <c r="F416" t="s">
        <v>27</v>
      </c>
      <c r="G416" t="s">
        <v>82</v>
      </c>
      <c r="H416" s="3">
        <v>31775.32</v>
      </c>
      <c r="I416" s="4">
        <v>1</v>
      </c>
      <c r="J416" s="3">
        <v>3802.82</v>
      </c>
      <c r="K416" t="str">
        <f t="shared" si="12"/>
        <v>November</v>
      </c>
      <c r="L416">
        <f t="shared" si="13"/>
        <v>2023</v>
      </c>
    </row>
    <row r="417" spans="1:12" x14ac:dyDescent="0.3">
      <c r="A417" s="2">
        <v>45233</v>
      </c>
      <c r="B417" t="s">
        <v>60</v>
      </c>
      <c r="C417" t="s">
        <v>49</v>
      </c>
      <c r="D417" t="s">
        <v>156</v>
      </c>
      <c r="E417" t="s">
        <v>13</v>
      </c>
      <c r="F417" t="s">
        <v>23</v>
      </c>
      <c r="G417" t="s">
        <v>108</v>
      </c>
      <c r="H417" s="3">
        <v>98494.22</v>
      </c>
      <c r="I417" s="4">
        <v>2</v>
      </c>
      <c r="J417" s="3">
        <v>13439.05</v>
      </c>
      <c r="K417" t="str">
        <f t="shared" si="12"/>
        <v>November</v>
      </c>
      <c r="L417">
        <f t="shared" si="13"/>
        <v>2023</v>
      </c>
    </row>
    <row r="418" spans="1:12" x14ac:dyDescent="0.3">
      <c r="A418" s="2">
        <v>45234</v>
      </c>
      <c r="B418" t="s">
        <v>74</v>
      </c>
      <c r="C418" t="s">
        <v>30</v>
      </c>
      <c r="D418" t="s">
        <v>156</v>
      </c>
      <c r="E418" t="s">
        <v>42</v>
      </c>
      <c r="F418" t="s">
        <v>90</v>
      </c>
      <c r="G418" t="s">
        <v>97</v>
      </c>
      <c r="H418" s="3">
        <v>2203.89</v>
      </c>
      <c r="I418" s="4">
        <v>1</v>
      </c>
      <c r="J418" s="3">
        <v>424.69</v>
      </c>
      <c r="K418" t="str">
        <f t="shared" si="12"/>
        <v>November</v>
      </c>
      <c r="L418">
        <f t="shared" si="13"/>
        <v>2023</v>
      </c>
    </row>
    <row r="419" spans="1:12" x14ac:dyDescent="0.3">
      <c r="A419" s="2">
        <v>45234</v>
      </c>
      <c r="B419" t="s">
        <v>32</v>
      </c>
      <c r="C419" t="s">
        <v>22</v>
      </c>
      <c r="D419" t="s">
        <v>156</v>
      </c>
      <c r="E419" t="s">
        <v>13</v>
      </c>
      <c r="F419" t="s">
        <v>14</v>
      </c>
      <c r="G419" t="s">
        <v>88</v>
      </c>
      <c r="H419" s="3">
        <v>1386.69</v>
      </c>
      <c r="I419" s="4">
        <v>1</v>
      </c>
      <c r="J419" s="3">
        <v>173.09</v>
      </c>
      <c r="K419" t="str">
        <f t="shared" si="12"/>
        <v>November</v>
      </c>
      <c r="L419">
        <f t="shared" si="13"/>
        <v>2023</v>
      </c>
    </row>
    <row r="420" spans="1:12" x14ac:dyDescent="0.3">
      <c r="A420" s="2">
        <v>45234</v>
      </c>
      <c r="B420" t="s">
        <v>32</v>
      </c>
      <c r="C420" t="s">
        <v>56</v>
      </c>
      <c r="D420" t="s">
        <v>156</v>
      </c>
      <c r="E420" t="s">
        <v>26</v>
      </c>
      <c r="F420" t="s">
        <v>53</v>
      </c>
      <c r="G420" t="s">
        <v>96</v>
      </c>
      <c r="H420" s="3">
        <v>66090.63</v>
      </c>
      <c r="I420" s="4">
        <v>1</v>
      </c>
      <c r="J420" s="3">
        <v>10367.18</v>
      </c>
      <c r="K420" t="str">
        <f t="shared" si="12"/>
        <v>November</v>
      </c>
      <c r="L420">
        <f t="shared" si="13"/>
        <v>2023</v>
      </c>
    </row>
    <row r="421" spans="1:12" x14ac:dyDescent="0.3">
      <c r="A421" s="2">
        <v>45234</v>
      </c>
      <c r="B421" t="s">
        <v>48</v>
      </c>
      <c r="C421" t="s">
        <v>49</v>
      </c>
      <c r="D421" t="s">
        <v>156</v>
      </c>
      <c r="E421" t="s">
        <v>13</v>
      </c>
      <c r="F421" t="s">
        <v>23</v>
      </c>
      <c r="G421" t="s">
        <v>47</v>
      </c>
      <c r="H421" s="3">
        <v>123057.41</v>
      </c>
      <c r="I421" s="4">
        <v>2</v>
      </c>
      <c r="J421" s="3">
        <v>14364.39</v>
      </c>
      <c r="K421" t="str">
        <f t="shared" si="12"/>
        <v>November</v>
      </c>
      <c r="L421">
        <f t="shared" si="13"/>
        <v>2023</v>
      </c>
    </row>
    <row r="422" spans="1:12" x14ac:dyDescent="0.3">
      <c r="A422" s="2">
        <v>45235</v>
      </c>
      <c r="B422" t="s">
        <v>48</v>
      </c>
      <c r="C422" t="s">
        <v>17</v>
      </c>
      <c r="D422" t="s">
        <v>156</v>
      </c>
      <c r="E422" t="s">
        <v>35</v>
      </c>
      <c r="F422" t="s">
        <v>75</v>
      </c>
      <c r="G422" t="s">
        <v>76</v>
      </c>
      <c r="H422" s="3">
        <v>41995.44</v>
      </c>
      <c r="I422" s="4">
        <v>1</v>
      </c>
      <c r="J422" s="3">
        <v>3607.25</v>
      </c>
      <c r="K422" t="str">
        <f t="shared" si="12"/>
        <v>November</v>
      </c>
      <c r="L422">
        <f t="shared" si="13"/>
        <v>2023</v>
      </c>
    </row>
    <row r="423" spans="1:12" x14ac:dyDescent="0.3">
      <c r="A423" s="2">
        <v>45237</v>
      </c>
      <c r="B423" t="s">
        <v>73</v>
      </c>
      <c r="C423" t="s">
        <v>39</v>
      </c>
      <c r="D423" t="s">
        <v>156</v>
      </c>
      <c r="E423" t="s">
        <v>42</v>
      </c>
      <c r="F423" t="s">
        <v>43</v>
      </c>
      <c r="G423" t="s">
        <v>89</v>
      </c>
      <c r="H423" s="3">
        <v>60070.45</v>
      </c>
      <c r="I423" s="4">
        <v>2</v>
      </c>
      <c r="J423" s="3">
        <v>8347.85</v>
      </c>
      <c r="K423" t="str">
        <f t="shared" si="12"/>
        <v>November</v>
      </c>
      <c r="L423">
        <f t="shared" si="13"/>
        <v>2023</v>
      </c>
    </row>
    <row r="424" spans="1:12" x14ac:dyDescent="0.3">
      <c r="A424" s="2">
        <v>45237</v>
      </c>
      <c r="B424" t="s">
        <v>38</v>
      </c>
      <c r="C424" t="s">
        <v>69</v>
      </c>
      <c r="D424" t="s">
        <v>156</v>
      </c>
      <c r="E424" t="s">
        <v>42</v>
      </c>
      <c r="F424" t="s">
        <v>43</v>
      </c>
      <c r="G424" t="s">
        <v>87</v>
      </c>
      <c r="H424" s="3">
        <v>30429.18</v>
      </c>
      <c r="I424" s="4">
        <v>3</v>
      </c>
      <c r="J424" s="3">
        <v>6386.11</v>
      </c>
      <c r="K424" t="str">
        <f t="shared" si="12"/>
        <v>November</v>
      </c>
      <c r="L424">
        <f t="shared" si="13"/>
        <v>2023</v>
      </c>
    </row>
    <row r="425" spans="1:12" x14ac:dyDescent="0.3">
      <c r="A425" s="2">
        <v>45238</v>
      </c>
      <c r="B425" t="s">
        <v>60</v>
      </c>
      <c r="C425" t="s">
        <v>66</v>
      </c>
      <c r="D425" t="s">
        <v>156</v>
      </c>
      <c r="E425" t="s">
        <v>26</v>
      </c>
      <c r="F425" t="s">
        <v>27</v>
      </c>
      <c r="G425" t="s">
        <v>28</v>
      </c>
      <c r="H425" s="3">
        <v>69028.240000000005</v>
      </c>
      <c r="I425" s="4">
        <v>3</v>
      </c>
      <c r="J425" s="3">
        <v>9152.81</v>
      </c>
      <c r="K425" t="str">
        <f t="shared" si="12"/>
        <v>November</v>
      </c>
      <c r="L425">
        <f t="shared" si="13"/>
        <v>2023</v>
      </c>
    </row>
    <row r="426" spans="1:12" x14ac:dyDescent="0.3">
      <c r="A426" s="2">
        <v>45238</v>
      </c>
      <c r="B426" t="s">
        <v>32</v>
      </c>
      <c r="C426" t="s">
        <v>68</v>
      </c>
      <c r="D426" t="s">
        <v>156</v>
      </c>
      <c r="E426" t="s">
        <v>13</v>
      </c>
      <c r="F426" t="s">
        <v>14</v>
      </c>
      <c r="G426" t="s">
        <v>88</v>
      </c>
      <c r="H426" s="3">
        <v>2658.74</v>
      </c>
      <c r="I426" s="4">
        <v>2</v>
      </c>
      <c r="J426" s="3">
        <v>326.99</v>
      </c>
      <c r="K426" t="str">
        <f t="shared" si="12"/>
        <v>November</v>
      </c>
      <c r="L426">
        <f t="shared" si="13"/>
        <v>2023</v>
      </c>
    </row>
    <row r="427" spans="1:12" x14ac:dyDescent="0.3">
      <c r="A427" s="2">
        <v>45239</v>
      </c>
      <c r="B427" t="s">
        <v>21</v>
      </c>
      <c r="C427" t="s">
        <v>46</v>
      </c>
      <c r="D427" t="s">
        <v>156</v>
      </c>
      <c r="E427" t="s">
        <v>42</v>
      </c>
      <c r="F427" t="s">
        <v>90</v>
      </c>
      <c r="G427" t="s">
        <v>91</v>
      </c>
      <c r="H427" s="3">
        <v>3623.82</v>
      </c>
      <c r="I427" s="4">
        <v>2</v>
      </c>
      <c r="J427" s="3">
        <v>612.09</v>
      </c>
      <c r="K427" t="str">
        <f t="shared" si="12"/>
        <v>November</v>
      </c>
      <c r="L427">
        <f t="shared" si="13"/>
        <v>2023</v>
      </c>
    </row>
    <row r="428" spans="1:12" x14ac:dyDescent="0.3">
      <c r="A428" s="2">
        <v>45239</v>
      </c>
      <c r="B428" t="s">
        <v>65</v>
      </c>
      <c r="C428" t="s">
        <v>69</v>
      </c>
      <c r="D428" t="s">
        <v>156</v>
      </c>
      <c r="E428" t="s">
        <v>35</v>
      </c>
      <c r="F428" t="s">
        <v>50</v>
      </c>
      <c r="G428" t="s">
        <v>118</v>
      </c>
      <c r="H428" s="3">
        <v>6892.23</v>
      </c>
      <c r="I428" s="4">
        <v>1</v>
      </c>
      <c r="J428" s="3">
        <v>752.05</v>
      </c>
      <c r="K428" t="str">
        <f t="shared" si="12"/>
        <v>November</v>
      </c>
      <c r="L428">
        <f t="shared" si="13"/>
        <v>2023</v>
      </c>
    </row>
    <row r="429" spans="1:12" x14ac:dyDescent="0.3">
      <c r="A429" s="2">
        <v>45239</v>
      </c>
      <c r="B429" t="s">
        <v>65</v>
      </c>
      <c r="C429" t="s">
        <v>17</v>
      </c>
      <c r="D429" t="s">
        <v>156</v>
      </c>
      <c r="E429" t="s">
        <v>26</v>
      </c>
      <c r="F429" t="s">
        <v>53</v>
      </c>
      <c r="G429" t="s">
        <v>104</v>
      </c>
      <c r="H429" s="3">
        <v>215309.41</v>
      </c>
      <c r="I429" s="4">
        <v>3</v>
      </c>
      <c r="J429" s="3">
        <v>38632.04</v>
      </c>
      <c r="K429" t="str">
        <f t="shared" si="12"/>
        <v>November</v>
      </c>
      <c r="L429">
        <f t="shared" si="13"/>
        <v>2023</v>
      </c>
    </row>
    <row r="430" spans="1:12" x14ac:dyDescent="0.3">
      <c r="A430" s="2">
        <v>45239</v>
      </c>
      <c r="B430" t="s">
        <v>103</v>
      </c>
      <c r="C430" t="s">
        <v>49</v>
      </c>
      <c r="D430" t="s">
        <v>156</v>
      </c>
      <c r="E430" t="s">
        <v>26</v>
      </c>
      <c r="F430" t="s">
        <v>53</v>
      </c>
      <c r="G430" t="s">
        <v>104</v>
      </c>
      <c r="H430" s="3">
        <v>84588.81</v>
      </c>
      <c r="I430" s="4">
        <v>1</v>
      </c>
      <c r="J430" s="3">
        <v>11858.69</v>
      </c>
      <c r="K430" t="str">
        <f t="shared" si="12"/>
        <v>November</v>
      </c>
      <c r="L430">
        <f t="shared" si="13"/>
        <v>2023</v>
      </c>
    </row>
    <row r="431" spans="1:12" x14ac:dyDescent="0.3">
      <c r="A431" s="2">
        <v>45240</v>
      </c>
      <c r="B431" t="s">
        <v>103</v>
      </c>
      <c r="C431" t="s">
        <v>69</v>
      </c>
      <c r="D431" t="s">
        <v>156</v>
      </c>
      <c r="E431" t="s">
        <v>13</v>
      </c>
      <c r="F431" t="s">
        <v>14</v>
      </c>
      <c r="G431" t="s">
        <v>57</v>
      </c>
      <c r="H431" s="3">
        <v>3168.95</v>
      </c>
      <c r="I431" s="4">
        <v>2</v>
      </c>
      <c r="J431" s="3">
        <v>267.14</v>
      </c>
      <c r="K431" t="str">
        <f t="shared" si="12"/>
        <v>November</v>
      </c>
      <c r="L431">
        <f t="shared" si="13"/>
        <v>2023</v>
      </c>
    </row>
    <row r="432" spans="1:12" x14ac:dyDescent="0.3">
      <c r="A432" s="2">
        <v>45240</v>
      </c>
      <c r="B432" t="s">
        <v>86</v>
      </c>
      <c r="C432" t="s">
        <v>46</v>
      </c>
      <c r="D432" t="s">
        <v>156</v>
      </c>
      <c r="E432" t="s">
        <v>42</v>
      </c>
      <c r="F432" t="s">
        <v>90</v>
      </c>
      <c r="G432" t="s">
        <v>120</v>
      </c>
      <c r="H432" s="3">
        <v>5197.41</v>
      </c>
      <c r="I432" s="4">
        <v>1</v>
      </c>
      <c r="J432" s="3">
        <v>614.73</v>
      </c>
      <c r="K432" t="str">
        <f t="shared" si="12"/>
        <v>November</v>
      </c>
      <c r="L432">
        <f t="shared" si="13"/>
        <v>2023</v>
      </c>
    </row>
    <row r="433" spans="1:12" x14ac:dyDescent="0.3">
      <c r="A433" s="2">
        <v>45241</v>
      </c>
      <c r="B433" t="s">
        <v>74</v>
      </c>
      <c r="C433" t="s">
        <v>46</v>
      </c>
      <c r="D433" t="s">
        <v>156</v>
      </c>
      <c r="E433" t="s">
        <v>42</v>
      </c>
      <c r="F433" t="s">
        <v>43</v>
      </c>
      <c r="G433" t="s">
        <v>89</v>
      </c>
      <c r="H433" s="3">
        <v>32529.7</v>
      </c>
      <c r="I433" s="4">
        <v>1</v>
      </c>
      <c r="J433" s="3">
        <v>5687.12</v>
      </c>
      <c r="K433" t="str">
        <f t="shared" si="12"/>
        <v>November</v>
      </c>
      <c r="L433">
        <f t="shared" si="13"/>
        <v>2023</v>
      </c>
    </row>
    <row r="434" spans="1:12" x14ac:dyDescent="0.3">
      <c r="A434" s="2">
        <v>45242</v>
      </c>
      <c r="B434" t="s">
        <v>65</v>
      </c>
      <c r="C434" t="s">
        <v>68</v>
      </c>
      <c r="D434" t="s">
        <v>156</v>
      </c>
      <c r="E434" t="s">
        <v>18</v>
      </c>
      <c r="F434" t="s">
        <v>40</v>
      </c>
      <c r="G434" t="s">
        <v>105</v>
      </c>
      <c r="H434" s="3">
        <v>2074.84</v>
      </c>
      <c r="I434" s="4">
        <v>1</v>
      </c>
      <c r="J434" s="3">
        <v>237.51</v>
      </c>
      <c r="K434" t="str">
        <f t="shared" si="12"/>
        <v>November</v>
      </c>
      <c r="L434">
        <f t="shared" si="13"/>
        <v>2023</v>
      </c>
    </row>
    <row r="435" spans="1:12" x14ac:dyDescent="0.3">
      <c r="A435" s="2">
        <v>45243</v>
      </c>
      <c r="B435" t="s">
        <v>83</v>
      </c>
      <c r="C435" t="s">
        <v>22</v>
      </c>
      <c r="D435" t="s">
        <v>156</v>
      </c>
      <c r="E435" t="s">
        <v>26</v>
      </c>
      <c r="F435" t="s">
        <v>53</v>
      </c>
      <c r="G435" t="s">
        <v>100</v>
      </c>
      <c r="H435" s="3">
        <v>298631.67</v>
      </c>
      <c r="I435" s="4">
        <v>3</v>
      </c>
      <c r="J435" s="3">
        <v>45886.68</v>
      </c>
      <c r="K435" t="str">
        <f t="shared" si="12"/>
        <v>November</v>
      </c>
      <c r="L435">
        <f t="shared" si="13"/>
        <v>2023</v>
      </c>
    </row>
    <row r="436" spans="1:12" x14ac:dyDescent="0.3">
      <c r="A436" s="2">
        <v>45243</v>
      </c>
      <c r="B436" t="s">
        <v>34</v>
      </c>
      <c r="C436" t="s">
        <v>62</v>
      </c>
      <c r="D436" t="s">
        <v>156</v>
      </c>
      <c r="E436" t="s">
        <v>42</v>
      </c>
      <c r="F436" t="s">
        <v>90</v>
      </c>
      <c r="G436" t="s">
        <v>97</v>
      </c>
      <c r="H436" s="3">
        <v>4206.6099999999997</v>
      </c>
      <c r="I436" s="4">
        <v>2</v>
      </c>
      <c r="J436" s="3">
        <v>525.19000000000005</v>
      </c>
      <c r="K436" t="str">
        <f t="shared" si="12"/>
        <v>November</v>
      </c>
      <c r="L436">
        <f t="shared" si="13"/>
        <v>2023</v>
      </c>
    </row>
    <row r="437" spans="1:12" x14ac:dyDescent="0.3">
      <c r="A437" s="2">
        <v>45245</v>
      </c>
      <c r="B437" t="s">
        <v>71</v>
      </c>
      <c r="C437" t="s">
        <v>12</v>
      </c>
      <c r="D437" t="s">
        <v>156</v>
      </c>
      <c r="E437" t="s">
        <v>42</v>
      </c>
      <c r="F437" t="s">
        <v>90</v>
      </c>
      <c r="G437" t="s">
        <v>120</v>
      </c>
      <c r="H437" s="3">
        <v>5256.63</v>
      </c>
      <c r="I437" s="4">
        <v>1</v>
      </c>
      <c r="J437" s="3">
        <v>1153.3499999999999</v>
      </c>
      <c r="K437" t="str">
        <f t="shared" si="12"/>
        <v>November</v>
      </c>
      <c r="L437">
        <f t="shared" si="13"/>
        <v>2023</v>
      </c>
    </row>
    <row r="438" spans="1:12" x14ac:dyDescent="0.3">
      <c r="A438" s="2">
        <v>45246</v>
      </c>
      <c r="B438" t="s">
        <v>86</v>
      </c>
      <c r="C438" t="s">
        <v>69</v>
      </c>
      <c r="D438" t="s">
        <v>156</v>
      </c>
      <c r="E438" t="s">
        <v>42</v>
      </c>
      <c r="F438" t="s">
        <v>43</v>
      </c>
      <c r="G438" t="s">
        <v>44</v>
      </c>
      <c r="H438" s="3">
        <v>27422.59</v>
      </c>
      <c r="I438" s="4">
        <v>2</v>
      </c>
      <c r="J438" s="3">
        <v>3854.95</v>
      </c>
      <c r="K438" t="str">
        <f t="shared" si="12"/>
        <v>November</v>
      </c>
      <c r="L438">
        <f t="shared" si="13"/>
        <v>2023</v>
      </c>
    </row>
    <row r="439" spans="1:12" x14ac:dyDescent="0.3">
      <c r="A439" s="2">
        <v>45247</v>
      </c>
      <c r="B439" t="s">
        <v>103</v>
      </c>
      <c r="C439" t="s">
        <v>49</v>
      </c>
      <c r="D439" t="s">
        <v>156</v>
      </c>
      <c r="E439" t="s">
        <v>35</v>
      </c>
      <c r="F439" t="s">
        <v>36</v>
      </c>
      <c r="G439" t="s">
        <v>37</v>
      </c>
      <c r="H439" s="3">
        <v>56340.1</v>
      </c>
      <c r="I439" s="4">
        <v>2</v>
      </c>
      <c r="J439" s="3">
        <v>10975.32</v>
      </c>
      <c r="K439" t="str">
        <f t="shared" si="12"/>
        <v>November</v>
      </c>
      <c r="L439">
        <f t="shared" si="13"/>
        <v>2023</v>
      </c>
    </row>
    <row r="440" spans="1:12" x14ac:dyDescent="0.3">
      <c r="A440" s="2">
        <v>45250</v>
      </c>
      <c r="B440" t="s">
        <v>67</v>
      </c>
      <c r="C440" t="s">
        <v>58</v>
      </c>
      <c r="D440" t="s">
        <v>156</v>
      </c>
      <c r="E440" t="s">
        <v>13</v>
      </c>
      <c r="F440" t="s">
        <v>14</v>
      </c>
      <c r="G440" t="s">
        <v>88</v>
      </c>
      <c r="H440" s="3">
        <v>6268.12</v>
      </c>
      <c r="I440" s="4">
        <v>5</v>
      </c>
      <c r="J440" s="3">
        <v>873.73</v>
      </c>
      <c r="K440" t="str">
        <f t="shared" si="12"/>
        <v>November</v>
      </c>
      <c r="L440">
        <f t="shared" si="13"/>
        <v>2023</v>
      </c>
    </row>
    <row r="441" spans="1:12" x14ac:dyDescent="0.3">
      <c r="A441" s="2">
        <v>45250</v>
      </c>
      <c r="B441" t="s">
        <v>86</v>
      </c>
      <c r="C441" t="s">
        <v>22</v>
      </c>
      <c r="D441" t="s">
        <v>156</v>
      </c>
      <c r="E441" t="s">
        <v>35</v>
      </c>
      <c r="F441" t="s">
        <v>63</v>
      </c>
      <c r="G441" t="s">
        <v>112</v>
      </c>
      <c r="H441" s="3">
        <v>27490.41</v>
      </c>
      <c r="I441" s="4">
        <v>1</v>
      </c>
      <c r="J441" s="3">
        <v>4530.67</v>
      </c>
      <c r="K441" t="str">
        <f t="shared" si="12"/>
        <v>November</v>
      </c>
      <c r="L441">
        <f t="shared" si="13"/>
        <v>2023</v>
      </c>
    </row>
    <row r="442" spans="1:12" x14ac:dyDescent="0.3">
      <c r="A442" s="2">
        <v>45250</v>
      </c>
      <c r="B442" t="s">
        <v>86</v>
      </c>
      <c r="C442" t="s">
        <v>61</v>
      </c>
      <c r="D442" t="s">
        <v>156</v>
      </c>
      <c r="E442" t="s">
        <v>18</v>
      </c>
      <c r="F442" t="s">
        <v>19</v>
      </c>
      <c r="G442" t="s">
        <v>72</v>
      </c>
      <c r="H442" s="3">
        <v>64844.03</v>
      </c>
      <c r="I442" s="4">
        <v>1</v>
      </c>
      <c r="J442" s="3">
        <v>9928.06</v>
      </c>
      <c r="K442" t="str">
        <f t="shared" si="12"/>
        <v>November</v>
      </c>
      <c r="L442">
        <f t="shared" si="13"/>
        <v>2023</v>
      </c>
    </row>
    <row r="443" spans="1:12" x14ac:dyDescent="0.3">
      <c r="A443" s="2">
        <v>45251</v>
      </c>
      <c r="B443" t="s">
        <v>32</v>
      </c>
      <c r="C443" t="s">
        <v>56</v>
      </c>
      <c r="D443" t="s">
        <v>156</v>
      </c>
      <c r="E443" t="s">
        <v>42</v>
      </c>
      <c r="F443" t="s">
        <v>90</v>
      </c>
      <c r="G443" t="s">
        <v>91</v>
      </c>
      <c r="H443" s="3">
        <v>1957.99</v>
      </c>
      <c r="I443" s="4">
        <v>1</v>
      </c>
      <c r="J443" s="3">
        <v>257.94</v>
      </c>
      <c r="K443" t="str">
        <f t="shared" si="12"/>
        <v>November</v>
      </c>
      <c r="L443">
        <f t="shared" si="13"/>
        <v>2023</v>
      </c>
    </row>
    <row r="444" spans="1:12" x14ac:dyDescent="0.3">
      <c r="A444" s="2">
        <v>45253</v>
      </c>
      <c r="B444" t="s">
        <v>86</v>
      </c>
      <c r="C444" t="s">
        <v>17</v>
      </c>
      <c r="D444" t="s">
        <v>156</v>
      </c>
      <c r="E444" t="s">
        <v>35</v>
      </c>
      <c r="F444" t="s">
        <v>75</v>
      </c>
      <c r="G444" t="s">
        <v>110</v>
      </c>
      <c r="H444" s="3">
        <v>82157.91</v>
      </c>
      <c r="I444" s="4">
        <v>2</v>
      </c>
      <c r="J444" s="3">
        <v>14042.9</v>
      </c>
      <c r="K444" t="str">
        <f t="shared" si="12"/>
        <v>November</v>
      </c>
      <c r="L444">
        <f t="shared" si="13"/>
        <v>2023</v>
      </c>
    </row>
    <row r="445" spans="1:12" x14ac:dyDescent="0.3">
      <c r="A445" s="2">
        <v>45254</v>
      </c>
      <c r="B445" t="s">
        <v>60</v>
      </c>
      <c r="C445" t="s">
        <v>39</v>
      </c>
      <c r="D445" t="s">
        <v>156</v>
      </c>
      <c r="E445" t="s">
        <v>13</v>
      </c>
      <c r="F445" t="s">
        <v>14</v>
      </c>
      <c r="G445" t="s">
        <v>111</v>
      </c>
      <c r="H445" s="3">
        <v>1882.68</v>
      </c>
      <c r="I445" s="4">
        <v>1</v>
      </c>
      <c r="J445" s="3">
        <v>193.73</v>
      </c>
      <c r="K445" t="str">
        <f t="shared" si="12"/>
        <v>November</v>
      </c>
      <c r="L445">
        <f t="shared" si="13"/>
        <v>2023</v>
      </c>
    </row>
    <row r="446" spans="1:12" x14ac:dyDescent="0.3">
      <c r="A446" s="2">
        <v>45256</v>
      </c>
      <c r="B446" t="s">
        <v>21</v>
      </c>
      <c r="C446" t="s">
        <v>39</v>
      </c>
      <c r="D446" t="s">
        <v>156</v>
      </c>
      <c r="E446" t="s">
        <v>18</v>
      </c>
      <c r="F446" t="s">
        <v>19</v>
      </c>
      <c r="G446" t="s">
        <v>72</v>
      </c>
      <c r="H446" s="3">
        <v>123074.77</v>
      </c>
      <c r="I446" s="4">
        <v>2</v>
      </c>
      <c r="J446" s="3">
        <v>-8243.77</v>
      </c>
      <c r="K446" t="str">
        <f t="shared" si="12"/>
        <v>November</v>
      </c>
      <c r="L446">
        <f t="shared" si="13"/>
        <v>2023</v>
      </c>
    </row>
    <row r="447" spans="1:12" x14ac:dyDescent="0.3">
      <c r="A447" s="2">
        <v>45256</v>
      </c>
      <c r="B447" t="s">
        <v>55</v>
      </c>
      <c r="C447" t="s">
        <v>39</v>
      </c>
      <c r="D447" t="s">
        <v>156</v>
      </c>
      <c r="E447" t="s">
        <v>42</v>
      </c>
      <c r="F447" t="s">
        <v>90</v>
      </c>
      <c r="G447" t="s">
        <v>120</v>
      </c>
      <c r="H447" s="3">
        <v>5819.38</v>
      </c>
      <c r="I447" s="4">
        <v>1</v>
      </c>
      <c r="J447" s="3">
        <v>1333.47</v>
      </c>
      <c r="K447" t="str">
        <f t="shared" si="12"/>
        <v>November</v>
      </c>
      <c r="L447">
        <f t="shared" si="13"/>
        <v>2023</v>
      </c>
    </row>
    <row r="448" spans="1:12" x14ac:dyDescent="0.3">
      <c r="A448" s="2">
        <v>45256</v>
      </c>
      <c r="B448" t="s">
        <v>16</v>
      </c>
      <c r="C448" t="s">
        <v>68</v>
      </c>
      <c r="D448" t="s">
        <v>156</v>
      </c>
      <c r="E448" t="s">
        <v>18</v>
      </c>
      <c r="F448" t="s">
        <v>40</v>
      </c>
      <c r="G448" t="s">
        <v>105</v>
      </c>
      <c r="H448" s="3">
        <v>4193.92</v>
      </c>
      <c r="I448" s="4">
        <v>2</v>
      </c>
      <c r="J448" s="3">
        <v>376.85</v>
      </c>
      <c r="K448" t="str">
        <f t="shared" si="12"/>
        <v>November</v>
      </c>
      <c r="L448">
        <f t="shared" si="13"/>
        <v>2023</v>
      </c>
    </row>
    <row r="449" spans="1:12" x14ac:dyDescent="0.3">
      <c r="A449" s="2">
        <v>45257</v>
      </c>
      <c r="B449" t="s">
        <v>78</v>
      </c>
      <c r="C449" t="s">
        <v>49</v>
      </c>
      <c r="D449" t="s">
        <v>156</v>
      </c>
      <c r="E449" t="s">
        <v>42</v>
      </c>
      <c r="F449" t="s">
        <v>90</v>
      </c>
      <c r="G449" t="s">
        <v>120</v>
      </c>
      <c r="H449" s="3">
        <v>5977.97</v>
      </c>
      <c r="I449" s="4">
        <v>1</v>
      </c>
      <c r="J449" s="3">
        <v>1375.37</v>
      </c>
      <c r="K449" t="str">
        <f t="shared" si="12"/>
        <v>November</v>
      </c>
      <c r="L449">
        <f t="shared" si="13"/>
        <v>2023</v>
      </c>
    </row>
    <row r="450" spans="1:12" x14ac:dyDescent="0.3">
      <c r="A450" s="2">
        <v>45257</v>
      </c>
      <c r="B450" t="s">
        <v>86</v>
      </c>
      <c r="C450" t="s">
        <v>30</v>
      </c>
      <c r="D450" t="s">
        <v>156</v>
      </c>
      <c r="E450" t="s">
        <v>13</v>
      </c>
      <c r="F450" t="s">
        <v>14</v>
      </c>
      <c r="G450" t="s">
        <v>57</v>
      </c>
      <c r="H450" s="3">
        <v>2967.1</v>
      </c>
      <c r="I450" s="4">
        <v>2</v>
      </c>
      <c r="J450" s="3">
        <v>199.48</v>
      </c>
      <c r="K450" t="str">
        <f t="shared" si="12"/>
        <v>November</v>
      </c>
      <c r="L450">
        <f t="shared" si="13"/>
        <v>2023</v>
      </c>
    </row>
    <row r="451" spans="1:12" x14ac:dyDescent="0.3">
      <c r="A451" s="2">
        <v>45258</v>
      </c>
      <c r="B451" t="s">
        <v>34</v>
      </c>
      <c r="C451" t="s">
        <v>81</v>
      </c>
      <c r="D451" t="s">
        <v>156</v>
      </c>
      <c r="E451" t="s">
        <v>18</v>
      </c>
      <c r="F451" t="s">
        <v>19</v>
      </c>
      <c r="G451" t="s">
        <v>59</v>
      </c>
      <c r="H451" s="3">
        <v>53015.47</v>
      </c>
      <c r="I451" s="4">
        <v>1</v>
      </c>
      <c r="J451" s="3">
        <v>6922.49</v>
      </c>
      <c r="K451" t="str">
        <f t="shared" ref="K451:K514" si="14">TEXT(A451,"mmmm")</f>
        <v>November</v>
      </c>
      <c r="L451">
        <f t="shared" ref="L451:L514" si="15">YEAR(A451)</f>
        <v>2023</v>
      </c>
    </row>
    <row r="452" spans="1:12" x14ac:dyDescent="0.3">
      <c r="A452" s="2">
        <v>45259</v>
      </c>
      <c r="B452" t="s">
        <v>65</v>
      </c>
      <c r="C452" t="s">
        <v>58</v>
      </c>
      <c r="D452" t="s">
        <v>156</v>
      </c>
      <c r="E452" t="s">
        <v>18</v>
      </c>
      <c r="F452" t="s">
        <v>19</v>
      </c>
      <c r="G452" t="s">
        <v>72</v>
      </c>
      <c r="H452" s="3">
        <v>111478.88</v>
      </c>
      <c r="I452" s="4">
        <v>2</v>
      </c>
      <c r="J452" s="3">
        <v>14133.08</v>
      </c>
      <c r="K452" t="str">
        <f t="shared" si="14"/>
        <v>November</v>
      </c>
      <c r="L452">
        <f t="shared" si="15"/>
        <v>2023</v>
      </c>
    </row>
    <row r="453" spans="1:12" x14ac:dyDescent="0.3">
      <c r="A453" s="2">
        <v>45259</v>
      </c>
      <c r="B453" t="s">
        <v>78</v>
      </c>
      <c r="C453" t="s">
        <v>12</v>
      </c>
      <c r="D453" t="s">
        <v>156</v>
      </c>
      <c r="E453" t="s">
        <v>13</v>
      </c>
      <c r="F453" t="s">
        <v>23</v>
      </c>
      <c r="G453" t="s">
        <v>108</v>
      </c>
      <c r="H453" s="3">
        <v>206796.57</v>
      </c>
      <c r="I453" s="4">
        <v>4</v>
      </c>
      <c r="J453" s="3">
        <v>30047.75</v>
      </c>
      <c r="K453" t="str">
        <f t="shared" si="14"/>
        <v>November</v>
      </c>
      <c r="L453">
        <f t="shared" si="15"/>
        <v>2023</v>
      </c>
    </row>
    <row r="454" spans="1:12" x14ac:dyDescent="0.3">
      <c r="A454" s="2">
        <v>45260</v>
      </c>
      <c r="B454" t="s">
        <v>78</v>
      </c>
      <c r="C454" t="s">
        <v>30</v>
      </c>
      <c r="D454" t="s">
        <v>156</v>
      </c>
      <c r="E454" t="s">
        <v>13</v>
      </c>
      <c r="F454" t="s">
        <v>23</v>
      </c>
      <c r="G454" t="s">
        <v>77</v>
      </c>
      <c r="H454" s="3">
        <v>33449.42</v>
      </c>
      <c r="I454" s="4">
        <v>1</v>
      </c>
      <c r="J454" s="3">
        <v>2572.16</v>
      </c>
      <c r="K454" t="str">
        <f t="shared" si="14"/>
        <v>November</v>
      </c>
      <c r="L454">
        <f t="shared" si="15"/>
        <v>2023</v>
      </c>
    </row>
    <row r="455" spans="1:12" x14ac:dyDescent="0.3">
      <c r="A455" s="2">
        <v>45260</v>
      </c>
      <c r="B455" t="s">
        <v>21</v>
      </c>
      <c r="C455" t="s">
        <v>58</v>
      </c>
      <c r="D455" t="s">
        <v>156</v>
      </c>
      <c r="E455" t="s">
        <v>18</v>
      </c>
      <c r="F455" t="s">
        <v>19</v>
      </c>
      <c r="G455" t="s">
        <v>20</v>
      </c>
      <c r="H455" s="3">
        <v>67488.81</v>
      </c>
      <c r="I455" s="4">
        <v>1</v>
      </c>
      <c r="J455" s="3">
        <v>6634.27</v>
      </c>
      <c r="K455" t="str">
        <f t="shared" si="14"/>
        <v>November</v>
      </c>
      <c r="L455">
        <f t="shared" si="15"/>
        <v>2023</v>
      </c>
    </row>
    <row r="456" spans="1:12" x14ac:dyDescent="0.3">
      <c r="A456" s="2">
        <v>45262</v>
      </c>
      <c r="B456" t="s">
        <v>21</v>
      </c>
      <c r="C456" t="s">
        <v>30</v>
      </c>
      <c r="D456" t="s">
        <v>156</v>
      </c>
      <c r="E456" t="s">
        <v>42</v>
      </c>
      <c r="F456" t="s">
        <v>90</v>
      </c>
      <c r="G456" t="s">
        <v>97</v>
      </c>
      <c r="H456" s="3">
        <v>4181.1000000000004</v>
      </c>
      <c r="I456" s="4">
        <v>2</v>
      </c>
      <c r="J456" s="3">
        <v>637.79999999999995</v>
      </c>
      <c r="K456" t="str">
        <f t="shared" si="14"/>
        <v>December</v>
      </c>
      <c r="L456">
        <f t="shared" si="15"/>
        <v>2023</v>
      </c>
    </row>
    <row r="457" spans="1:12" x14ac:dyDescent="0.3">
      <c r="A457" s="2">
        <v>45262</v>
      </c>
      <c r="B457" t="s">
        <v>80</v>
      </c>
      <c r="C457" t="s">
        <v>61</v>
      </c>
      <c r="D457" t="s">
        <v>156</v>
      </c>
      <c r="E457" t="s">
        <v>18</v>
      </c>
      <c r="F457" t="s">
        <v>19</v>
      </c>
      <c r="G457" t="s">
        <v>106</v>
      </c>
      <c r="H457" s="3">
        <v>292956.59999999998</v>
      </c>
      <c r="I457" s="4">
        <v>3</v>
      </c>
      <c r="J457" s="3">
        <v>30266.73</v>
      </c>
      <c r="K457" t="str">
        <f t="shared" si="14"/>
        <v>December</v>
      </c>
      <c r="L457">
        <f t="shared" si="15"/>
        <v>2023</v>
      </c>
    </row>
    <row r="458" spans="1:12" x14ac:dyDescent="0.3">
      <c r="A458" s="2">
        <v>45264</v>
      </c>
      <c r="B458" t="s">
        <v>34</v>
      </c>
      <c r="C458" t="s">
        <v>22</v>
      </c>
      <c r="D458" t="s">
        <v>156</v>
      </c>
      <c r="E458" t="s">
        <v>35</v>
      </c>
      <c r="F458" t="s">
        <v>36</v>
      </c>
      <c r="G458" t="s">
        <v>37</v>
      </c>
      <c r="H458" s="3">
        <v>27917.4</v>
      </c>
      <c r="I458" s="4">
        <v>1</v>
      </c>
      <c r="J458" s="3">
        <v>2869.86</v>
      </c>
      <c r="K458" t="str">
        <f t="shared" si="14"/>
        <v>December</v>
      </c>
      <c r="L458">
        <f t="shared" si="15"/>
        <v>2023</v>
      </c>
    </row>
    <row r="459" spans="1:12" x14ac:dyDescent="0.3">
      <c r="A459" s="2">
        <v>45264</v>
      </c>
      <c r="B459" t="s">
        <v>74</v>
      </c>
      <c r="C459" t="s">
        <v>69</v>
      </c>
      <c r="D459" t="s">
        <v>156</v>
      </c>
      <c r="E459" t="s">
        <v>35</v>
      </c>
      <c r="F459" t="s">
        <v>36</v>
      </c>
      <c r="G459" t="s">
        <v>84</v>
      </c>
      <c r="H459" s="3">
        <v>84613.34</v>
      </c>
      <c r="I459" s="4">
        <v>3</v>
      </c>
      <c r="J459" s="3">
        <v>-1726.4</v>
      </c>
      <c r="K459" t="str">
        <f t="shared" si="14"/>
        <v>December</v>
      </c>
      <c r="L459">
        <f t="shared" si="15"/>
        <v>2023</v>
      </c>
    </row>
    <row r="460" spans="1:12" x14ac:dyDescent="0.3">
      <c r="A460" s="2">
        <v>45266</v>
      </c>
      <c r="B460" t="s">
        <v>65</v>
      </c>
      <c r="C460" t="s">
        <v>58</v>
      </c>
      <c r="D460" t="s">
        <v>156</v>
      </c>
      <c r="E460" t="s">
        <v>13</v>
      </c>
      <c r="F460" t="s">
        <v>14</v>
      </c>
      <c r="G460" t="s">
        <v>70</v>
      </c>
      <c r="H460" s="3">
        <v>5741.55</v>
      </c>
      <c r="I460" s="4">
        <v>2</v>
      </c>
      <c r="J460" s="3">
        <v>574.03</v>
      </c>
      <c r="K460" t="str">
        <f t="shared" si="14"/>
        <v>December</v>
      </c>
      <c r="L460">
        <f t="shared" si="15"/>
        <v>2023</v>
      </c>
    </row>
    <row r="461" spans="1:12" x14ac:dyDescent="0.3">
      <c r="A461" s="2">
        <v>45267</v>
      </c>
      <c r="B461" t="s">
        <v>95</v>
      </c>
      <c r="C461" t="s">
        <v>39</v>
      </c>
      <c r="D461" t="s">
        <v>156</v>
      </c>
      <c r="E461" t="s">
        <v>35</v>
      </c>
      <c r="F461" t="s">
        <v>63</v>
      </c>
      <c r="G461" t="s">
        <v>64</v>
      </c>
      <c r="H461" s="3">
        <v>28527.35</v>
      </c>
      <c r="I461" s="4">
        <v>1</v>
      </c>
      <c r="J461" s="3">
        <v>4986.17</v>
      </c>
      <c r="K461" t="str">
        <f t="shared" si="14"/>
        <v>December</v>
      </c>
      <c r="L461">
        <f t="shared" si="15"/>
        <v>2023</v>
      </c>
    </row>
    <row r="462" spans="1:12" x14ac:dyDescent="0.3">
      <c r="A462" s="2">
        <v>45268</v>
      </c>
      <c r="B462" t="s">
        <v>34</v>
      </c>
      <c r="C462" t="s">
        <v>62</v>
      </c>
      <c r="D462" t="s">
        <v>156</v>
      </c>
      <c r="E462" t="s">
        <v>42</v>
      </c>
      <c r="F462" t="s">
        <v>43</v>
      </c>
      <c r="G462" t="s">
        <v>89</v>
      </c>
      <c r="H462" s="3">
        <v>174212.85</v>
      </c>
      <c r="I462" s="4">
        <v>5</v>
      </c>
      <c r="J462" s="3">
        <v>41161.269999999997</v>
      </c>
      <c r="K462" t="str">
        <f t="shared" si="14"/>
        <v>December</v>
      </c>
      <c r="L462">
        <f t="shared" si="15"/>
        <v>2023</v>
      </c>
    </row>
    <row r="463" spans="1:12" x14ac:dyDescent="0.3">
      <c r="A463" s="2">
        <v>45269</v>
      </c>
      <c r="B463" t="s">
        <v>113</v>
      </c>
      <c r="C463" t="s">
        <v>46</v>
      </c>
      <c r="D463" t="s">
        <v>156</v>
      </c>
      <c r="E463" t="s">
        <v>13</v>
      </c>
      <c r="F463" t="s">
        <v>23</v>
      </c>
      <c r="G463" t="s">
        <v>24</v>
      </c>
      <c r="H463" s="3">
        <v>62368.37</v>
      </c>
      <c r="I463" s="4">
        <v>1</v>
      </c>
      <c r="J463" s="3">
        <v>5362.45</v>
      </c>
      <c r="K463" t="str">
        <f t="shared" si="14"/>
        <v>December</v>
      </c>
      <c r="L463">
        <f t="shared" si="15"/>
        <v>2023</v>
      </c>
    </row>
    <row r="464" spans="1:12" x14ac:dyDescent="0.3">
      <c r="A464" s="2">
        <v>45269</v>
      </c>
      <c r="B464" t="s">
        <v>80</v>
      </c>
      <c r="C464" t="s">
        <v>68</v>
      </c>
      <c r="D464" t="s">
        <v>156</v>
      </c>
      <c r="E464" t="s">
        <v>42</v>
      </c>
      <c r="F464" t="s">
        <v>43</v>
      </c>
      <c r="G464" t="s">
        <v>89</v>
      </c>
      <c r="H464" s="3">
        <v>67725.259999999995</v>
      </c>
      <c r="I464" s="4">
        <v>2</v>
      </c>
      <c r="J464" s="3">
        <v>13528</v>
      </c>
      <c r="K464" t="str">
        <f t="shared" si="14"/>
        <v>December</v>
      </c>
      <c r="L464">
        <f t="shared" si="15"/>
        <v>2023</v>
      </c>
    </row>
    <row r="465" spans="1:12" x14ac:dyDescent="0.3">
      <c r="A465" s="2">
        <v>45269</v>
      </c>
      <c r="B465" t="s">
        <v>116</v>
      </c>
      <c r="C465" t="s">
        <v>30</v>
      </c>
      <c r="D465" t="s">
        <v>156</v>
      </c>
      <c r="E465" t="s">
        <v>35</v>
      </c>
      <c r="F465" t="s">
        <v>36</v>
      </c>
      <c r="G465" t="s">
        <v>84</v>
      </c>
      <c r="H465" s="3">
        <v>28459.119999999999</v>
      </c>
      <c r="I465" s="4">
        <v>1</v>
      </c>
      <c r="J465" s="3">
        <v>3428.97</v>
      </c>
      <c r="K465" t="str">
        <f t="shared" si="14"/>
        <v>December</v>
      </c>
      <c r="L465">
        <f t="shared" si="15"/>
        <v>2023</v>
      </c>
    </row>
    <row r="466" spans="1:12" x14ac:dyDescent="0.3">
      <c r="A466" s="2">
        <v>45271</v>
      </c>
      <c r="B466" t="s">
        <v>29</v>
      </c>
      <c r="C466" t="s">
        <v>81</v>
      </c>
      <c r="D466" t="s">
        <v>156</v>
      </c>
      <c r="E466" t="s">
        <v>42</v>
      </c>
      <c r="F466" t="s">
        <v>43</v>
      </c>
      <c r="G466" t="s">
        <v>44</v>
      </c>
      <c r="H466" s="3">
        <v>14987.3</v>
      </c>
      <c r="I466" s="4">
        <v>1</v>
      </c>
      <c r="J466" s="3">
        <v>2473.67</v>
      </c>
      <c r="K466" t="str">
        <f t="shared" si="14"/>
        <v>December</v>
      </c>
      <c r="L466">
        <f t="shared" si="15"/>
        <v>2023</v>
      </c>
    </row>
    <row r="467" spans="1:12" x14ac:dyDescent="0.3">
      <c r="A467" s="2">
        <v>45272</v>
      </c>
      <c r="B467" t="s">
        <v>113</v>
      </c>
      <c r="C467" t="s">
        <v>62</v>
      </c>
      <c r="D467" t="s">
        <v>156</v>
      </c>
      <c r="E467" t="s">
        <v>26</v>
      </c>
      <c r="F467" t="s">
        <v>27</v>
      </c>
      <c r="G467" t="s">
        <v>82</v>
      </c>
      <c r="H467" s="3">
        <v>57501.23</v>
      </c>
      <c r="I467" s="4">
        <v>2</v>
      </c>
      <c r="J467" s="3">
        <v>5306</v>
      </c>
      <c r="K467" t="str">
        <f t="shared" si="14"/>
        <v>December</v>
      </c>
      <c r="L467">
        <f t="shared" si="15"/>
        <v>2023</v>
      </c>
    </row>
    <row r="468" spans="1:12" x14ac:dyDescent="0.3">
      <c r="A468" s="2">
        <v>45273</v>
      </c>
      <c r="B468" t="s">
        <v>25</v>
      </c>
      <c r="C468" t="s">
        <v>46</v>
      </c>
      <c r="D468" t="s">
        <v>156</v>
      </c>
      <c r="E468" t="s">
        <v>18</v>
      </c>
      <c r="F468" t="s">
        <v>19</v>
      </c>
      <c r="G468" t="s">
        <v>72</v>
      </c>
      <c r="H468" s="3">
        <v>123007.3</v>
      </c>
      <c r="I468" s="4">
        <v>2</v>
      </c>
      <c r="J468" s="3">
        <v>9825.14</v>
      </c>
      <c r="K468" t="str">
        <f t="shared" si="14"/>
        <v>December</v>
      </c>
      <c r="L468">
        <f t="shared" si="15"/>
        <v>2023</v>
      </c>
    </row>
    <row r="469" spans="1:12" x14ac:dyDescent="0.3">
      <c r="A469" s="2">
        <v>45274</v>
      </c>
      <c r="B469" t="s">
        <v>45</v>
      </c>
      <c r="C469" t="s">
        <v>66</v>
      </c>
      <c r="D469" t="s">
        <v>156</v>
      </c>
      <c r="E469" t="s">
        <v>18</v>
      </c>
      <c r="F469" t="s">
        <v>19</v>
      </c>
      <c r="G469" t="s">
        <v>72</v>
      </c>
      <c r="H469" s="3">
        <v>319870.48</v>
      </c>
      <c r="I469" s="4">
        <v>5</v>
      </c>
      <c r="J469" s="3">
        <v>31217.34</v>
      </c>
      <c r="K469" t="str">
        <f t="shared" si="14"/>
        <v>December</v>
      </c>
      <c r="L469">
        <f t="shared" si="15"/>
        <v>2023</v>
      </c>
    </row>
    <row r="470" spans="1:12" x14ac:dyDescent="0.3">
      <c r="A470" s="2">
        <v>45275</v>
      </c>
      <c r="B470" t="s">
        <v>45</v>
      </c>
      <c r="C470" t="s">
        <v>68</v>
      </c>
      <c r="D470" t="s">
        <v>156</v>
      </c>
      <c r="E470" t="s">
        <v>18</v>
      </c>
      <c r="F470" t="s">
        <v>40</v>
      </c>
      <c r="G470" t="s">
        <v>105</v>
      </c>
      <c r="H470" s="3">
        <v>4484.0200000000004</v>
      </c>
      <c r="I470" s="4">
        <v>2</v>
      </c>
      <c r="J470" s="3">
        <v>349.13</v>
      </c>
      <c r="K470" t="str">
        <f t="shared" si="14"/>
        <v>December</v>
      </c>
      <c r="L470">
        <f t="shared" si="15"/>
        <v>2023</v>
      </c>
    </row>
    <row r="471" spans="1:12" x14ac:dyDescent="0.3">
      <c r="A471" s="2">
        <v>45276</v>
      </c>
      <c r="B471" t="s">
        <v>92</v>
      </c>
      <c r="C471" t="s">
        <v>66</v>
      </c>
      <c r="D471" t="s">
        <v>156</v>
      </c>
      <c r="E471" t="s">
        <v>42</v>
      </c>
      <c r="F471" t="s">
        <v>43</v>
      </c>
      <c r="G471" t="s">
        <v>89</v>
      </c>
      <c r="H471" s="3">
        <v>67689.55</v>
      </c>
      <c r="I471" s="4">
        <v>2</v>
      </c>
      <c r="J471" s="3">
        <v>15240.87</v>
      </c>
      <c r="K471" t="str">
        <f t="shared" si="14"/>
        <v>December</v>
      </c>
      <c r="L471">
        <f t="shared" si="15"/>
        <v>2023</v>
      </c>
    </row>
    <row r="472" spans="1:12" x14ac:dyDescent="0.3">
      <c r="A472" s="2">
        <v>45277</v>
      </c>
      <c r="B472" t="s">
        <v>113</v>
      </c>
      <c r="C472" t="s">
        <v>58</v>
      </c>
      <c r="D472" t="s">
        <v>156</v>
      </c>
      <c r="E472" t="s">
        <v>35</v>
      </c>
      <c r="F472" t="s">
        <v>75</v>
      </c>
      <c r="G472" t="s">
        <v>107</v>
      </c>
      <c r="H472" s="3">
        <v>160776.99</v>
      </c>
      <c r="I472" s="4">
        <v>5</v>
      </c>
      <c r="J472" s="3">
        <v>30125.58</v>
      </c>
      <c r="K472" t="str">
        <f t="shared" si="14"/>
        <v>December</v>
      </c>
      <c r="L472">
        <f t="shared" si="15"/>
        <v>2023</v>
      </c>
    </row>
    <row r="473" spans="1:12" x14ac:dyDescent="0.3">
      <c r="A473" s="2">
        <v>45277</v>
      </c>
      <c r="B473" t="s">
        <v>92</v>
      </c>
      <c r="C473" t="s">
        <v>62</v>
      </c>
      <c r="D473" t="s">
        <v>156</v>
      </c>
      <c r="E473" t="s">
        <v>26</v>
      </c>
      <c r="F473" t="s">
        <v>27</v>
      </c>
      <c r="G473" t="s">
        <v>82</v>
      </c>
      <c r="H473" s="3">
        <v>92915.26</v>
      </c>
      <c r="I473" s="4">
        <v>3</v>
      </c>
      <c r="J473" s="3">
        <v>13115.25</v>
      </c>
      <c r="K473" t="str">
        <f t="shared" si="14"/>
        <v>December</v>
      </c>
      <c r="L473">
        <f t="shared" si="15"/>
        <v>2023</v>
      </c>
    </row>
    <row r="474" spans="1:12" x14ac:dyDescent="0.3">
      <c r="A474" s="2">
        <v>45277</v>
      </c>
      <c r="B474" t="s">
        <v>86</v>
      </c>
      <c r="C474" t="s">
        <v>17</v>
      </c>
      <c r="D474" t="s">
        <v>156</v>
      </c>
      <c r="E474" t="s">
        <v>35</v>
      </c>
      <c r="F474" t="s">
        <v>63</v>
      </c>
      <c r="G474" t="s">
        <v>64</v>
      </c>
      <c r="H474" s="3">
        <v>27922.93</v>
      </c>
      <c r="I474" s="4">
        <v>1</v>
      </c>
      <c r="J474" s="3">
        <v>2447.5300000000002</v>
      </c>
      <c r="K474" t="str">
        <f t="shared" si="14"/>
        <v>December</v>
      </c>
      <c r="L474">
        <f t="shared" si="15"/>
        <v>2023</v>
      </c>
    </row>
    <row r="475" spans="1:12" x14ac:dyDescent="0.3">
      <c r="A475" s="2">
        <v>45279</v>
      </c>
      <c r="B475" t="s">
        <v>21</v>
      </c>
      <c r="C475" t="s">
        <v>12</v>
      </c>
      <c r="D475" t="s">
        <v>156</v>
      </c>
      <c r="E475" t="s">
        <v>13</v>
      </c>
      <c r="F475" t="s">
        <v>23</v>
      </c>
      <c r="G475" t="s">
        <v>47</v>
      </c>
      <c r="H475" s="3">
        <v>207317.01</v>
      </c>
      <c r="I475" s="4">
        <v>3</v>
      </c>
      <c r="J475" s="3">
        <v>25950.3</v>
      </c>
      <c r="K475" t="str">
        <f t="shared" si="14"/>
        <v>December</v>
      </c>
      <c r="L475">
        <f t="shared" si="15"/>
        <v>2023</v>
      </c>
    </row>
    <row r="476" spans="1:12" x14ac:dyDescent="0.3">
      <c r="A476" s="2">
        <v>45279</v>
      </c>
      <c r="B476" t="s">
        <v>45</v>
      </c>
      <c r="C476" t="s">
        <v>22</v>
      </c>
      <c r="D476" t="s">
        <v>156</v>
      </c>
      <c r="E476" t="s">
        <v>13</v>
      </c>
      <c r="F476" t="s">
        <v>14</v>
      </c>
      <c r="G476" t="s">
        <v>15</v>
      </c>
      <c r="H476" s="3">
        <v>4121.53</v>
      </c>
      <c r="I476" s="4">
        <v>2</v>
      </c>
      <c r="J476" s="3">
        <v>399.49</v>
      </c>
      <c r="K476" t="str">
        <f t="shared" si="14"/>
        <v>December</v>
      </c>
      <c r="L476">
        <f t="shared" si="15"/>
        <v>2023</v>
      </c>
    </row>
    <row r="477" spans="1:12" x14ac:dyDescent="0.3">
      <c r="A477" s="2">
        <v>45280</v>
      </c>
      <c r="B477" t="s">
        <v>55</v>
      </c>
      <c r="C477" t="s">
        <v>46</v>
      </c>
      <c r="D477" t="s">
        <v>156</v>
      </c>
      <c r="E477" t="s">
        <v>26</v>
      </c>
      <c r="F477" t="s">
        <v>53</v>
      </c>
      <c r="G477" t="s">
        <v>96</v>
      </c>
      <c r="H477" s="3">
        <v>64040.02</v>
      </c>
      <c r="I477" s="4">
        <v>1</v>
      </c>
      <c r="J477" s="3">
        <v>6857.98</v>
      </c>
      <c r="K477" t="str">
        <f t="shared" si="14"/>
        <v>December</v>
      </c>
      <c r="L477">
        <f t="shared" si="15"/>
        <v>2023</v>
      </c>
    </row>
    <row r="478" spans="1:12" x14ac:dyDescent="0.3">
      <c r="A478" s="2">
        <v>45281</v>
      </c>
      <c r="B478" t="s">
        <v>78</v>
      </c>
      <c r="C478" t="s">
        <v>61</v>
      </c>
      <c r="D478" t="s">
        <v>156</v>
      </c>
      <c r="E478" t="s">
        <v>35</v>
      </c>
      <c r="F478" t="s">
        <v>75</v>
      </c>
      <c r="G478" t="s">
        <v>76</v>
      </c>
      <c r="H478" s="3">
        <v>38171.440000000002</v>
      </c>
      <c r="I478" s="4">
        <v>1</v>
      </c>
      <c r="J478" s="3">
        <v>5890.97</v>
      </c>
      <c r="K478" t="str">
        <f t="shared" si="14"/>
        <v>December</v>
      </c>
      <c r="L478">
        <f t="shared" si="15"/>
        <v>2023</v>
      </c>
    </row>
    <row r="479" spans="1:12" x14ac:dyDescent="0.3">
      <c r="A479" s="2">
        <v>45282</v>
      </c>
      <c r="B479" t="s">
        <v>32</v>
      </c>
      <c r="C479" t="s">
        <v>81</v>
      </c>
      <c r="D479" t="s">
        <v>156</v>
      </c>
      <c r="E479" t="s">
        <v>42</v>
      </c>
      <c r="F479" t="s">
        <v>43</v>
      </c>
      <c r="G479" t="s">
        <v>44</v>
      </c>
      <c r="H479" s="3">
        <v>25047.8</v>
      </c>
      <c r="I479" s="4">
        <v>2</v>
      </c>
      <c r="J479" s="3">
        <v>2603.69</v>
      </c>
      <c r="K479" t="str">
        <f t="shared" si="14"/>
        <v>December</v>
      </c>
      <c r="L479">
        <f t="shared" si="15"/>
        <v>2023</v>
      </c>
    </row>
    <row r="480" spans="1:12" x14ac:dyDescent="0.3">
      <c r="A480" s="2">
        <v>45282</v>
      </c>
      <c r="B480" t="s">
        <v>52</v>
      </c>
      <c r="C480" t="s">
        <v>62</v>
      </c>
      <c r="D480" t="s">
        <v>156</v>
      </c>
      <c r="E480" t="s">
        <v>13</v>
      </c>
      <c r="F480" t="s">
        <v>23</v>
      </c>
      <c r="G480" t="s">
        <v>79</v>
      </c>
      <c r="H480" s="3">
        <v>260228.68</v>
      </c>
      <c r="I480" s="4">
        <v>4</v>
      </c>
      <c r="J480" s="3">
        <v>23852.28</v>
      </c>
      <c r="K480" t="str">
        <f t="shared" si="14"/>
        <v>December</v>
      </c>
      <c r="L480">
        <f t="shared" si="15"/>
        <v>2023</v>
      </c>
    </row>
    <row r="481" spans="1:12" x14ac:dyDescent="0.3">
      <c r="A481" s="2">
        <v>45283</v>
      </c>
      <c r="B481" t="s">
        <v>86</v>
      </c>
      <c r="C481" t="s">
        <v>68</v>
      </c>
      <c r="D481" t="s">
        <v>156</v>
      </c>
      <c r="E481" t="s">
        <v>35</v>
      </c>
      <c r="F481" t="s">
        <v>36</v>
      </c>
      <c r="G481" t="s">
        <v>37</v>
      </c>
      <c r="H481" s="3">
        <v>24795.11</v>
      </c>
      <c r="I481" s="4">
        <v>1</v>
      </c>
      <c r="J481" s="3">
        <v>-1689.19</v>
      </c>
      <c r="K481" t="str">
        <f t="shared" si="14"/>
        <v>December</v>
      </c>
      <c r="L481">
        <f t="shared" si="15"/>
        <v>2023</v>
      </c>
    </row>
    <row r="482" spans="1:12" x14ac:dyDescent="0.3">
      <c r="A482" s="2">
        <v>45283</v>
      </c>
      <c r="B482" t="s">
        <v>11</v>
      </c>
      <c r="C482" t="s">
        <v>22</v>
      </c>
      <c r="D482" t="s">
        <v>156</v>
      </c>
      <c r="E482" t="s">
        <v>18</v>
      </c>
      <c r="F482" t="s">
        <v>19</v>
      </c>
      <c r="G482" t="s">
        <v>20</v>
      </c>
      <c r="H482" s="3">
        <v>194939.51999999999</v>
      </c>
      <c r="I482" s="4">
        <v>3</v>
      </c>
      <c r="J482" s="3">
        <v>17466.34</v>
      </c>
      <c r="K482" t="str">
        <f t="shared" si="14"/>
        <v>December</v>
      </c>
      <c r="L482">
        <f t="shared" si="15"/>
        <v>2023</v>
      </c>
    </row>
    <row r="483" spans="1:12" x14ac:dyDescent="0.3">
      <c r="A483" s="2">
        <v>45283</v>
      </c>
      <c r="B483" t="s">
        <v>74</v>
      </c>
      <c r="C483" t="s">
        <v>30</v>
      </c>
      <c r="D483" t="s">
        <v>156</v>
      </c>
      <c r="E483" t="s">
        <v>35</v>
      </c>
      <c r="F483" t="s">
        <v>50</v>
      </c>
      <c r="G483" t="s">
        <v>121</v>
      </c>
      <c r="H483" s="3">
        <v>22413.51</v>
      </c>
      <c r="I483" s="4">
        <v>5</v>
      </c>
      <c r="J483" s="3">
        <v>2330.29</v>
      </c>
      <c r="K483" t="str">
        <f t="shared" si="14"/>
        <v>December</v>
      </c>
      <c r="L483">
        <f t="shared" si="15"/>
        <v>2023</v>
      </c>
    </row>
    <row r="484" spans="1:12" x14ac:dyDescent="0.3">
      <c r="A484" s="2">
        <v>45284</v>
      </c>
      <c r="B484" t="s">
        <v>92</v>
      </c>
      <c r="C484" t="s">
        <v>12</v>
      </c>
      <c r="D484" t="s">
        <v>156</v>
      </c>
      <c r="E484" t="s">
        <v>18</v>
      </c>
      <c r="F484" t="s">
        <v>40</v>
      </c>
      <c r="G484" t="s">
        <v>117</v>
      </c>
      <c r="H484" s="3">
        <v>5202.82</v>
      </c>
      <c r="I484" s="4">
        <v>2</v>
      </c>
      <c r="J484" s="3">
        <v>827.06</v>
      </c>
      <c r="K484" t="str">
        <f t="shared" si="14"/>
        <v>December</v>
      </c>
      <c r="L484">
        <f t="shared" si="15"/>
        <v>2023</v>
      </c>
    </row>
    <row r="485" spans="1:12" x14ac:dyDescent="0.3">
      <c r="A485" s="2">
        <v>45284</v>
      </c>
      <c r="B485" t="s">
        <v>34</v>
      </c>
      <c r="C485" t="s">
        <v>69</v>
      </c>
      <c r="D485" t="s">
        <v>156</v>
      </c>
      <c r="E485" t="s">
        <v>13</v>
      </c>
      <c r="F485" t="s">
        <v>23</v>
      </c>
      <c r="G485" t="s">
        <v>85</v>
      </c>
      <c r="H485" s="3">
        <v>74603.509999999995</v>
      </c>
      <c r="I485" s="4">
        <v>2</v>
      </c>
      <c r="J485" s="3">
        <v>8687.3700000000008</v>
      </c>
      <c r="K485" t="str">
        <f t="shared" si="14"/>
        <v>December</v>
      </c>
      <c r="L485">
        <f t="shared" si="15"/>
        <v>2023</v>
      </c>
    </row>
    <row r="486" spans="1:12" x14ac:dyDescent="0.3">
      <c r="A486" s="2">
        <v>45285</v>
      </c>
      <c r="B486" t="s">
        <v>52</v>
      </c>
      <c r="C486" t="s">
        <v>39</v>
      </c>
      <c r="D486" t="s">
        <v>156</v>
      </c>
      <c r="E486" t="s">
        <v>35</v>
      </c>
      <c r="F486" t="s">
        <v>50</v>
      </c>
      <c r="G486" t="s">
        <v>51</v>
      </c>
      <c r="H486" s="3">
        <v>37369</v>
      </c>
      <c r="I486" s="4">
        <v>5</v>
      </c>
      <c r="J486" s="3">
        <v>6000.01</v>
      </c>
      <c r="K486" t="str">
        <f t="shared" si="14"/>
        <v>December</v>
      </c>
      <c r="L486">
        <f t="shared" si="15"/>
        <v>2023</v>
      </c>
    </row>
    <row r="487" spans="1:12" x14ac:dyDescent="0.3">
      <c r="A487" s="2">
        <v>45285</v>
      </c>
      <c r="B487" t="s">
        <v>109</v>
      </c>
      <c r="C487" t="s">
        <v>81</v>
      </c>
      <c r="D487" t="s">
        <v>156</v>
      </c>
      <c r="E487" t="s">
        <v>26</v>
      </c>
      <c r="F487" t="s">
        <v>27</v>
      </c>
      <c r="G487" t="s">
        <v>31</v>
      </c>
      <c r="H487" s="3">
        <v>8804.84</v>
      </c>
      <c r="I487" s="4">
        <v>1</v>
      </c>
      <c r="J487" s="3">
        <v>1319.42</v>
      </c>
      <c r="K487" t="str">
        <f t="shared" si="14"/>
        <v>December</v>
      </c>
      <c r="L487">
        <f t="shared" si="15"/>
        <v>2023</v>
      </c>
    </row>
    <row r="488" spans="1:12" x14ac:dyDescent="0.3">
      <c r="A488" s="2">
        <v>45286</v>
      </c>
      <c r="B488" t="s">
        <v>34</v>
      </c>
      <c r="C488" t="s">
        <v>56</v>
      </c>
      <c r="D488" t="s">
        <v>156</v>
      </c>
      <c r="E488" t="s">
        <v>35</v>
      </c>
      <c r="F488" t="s">
        <v>50</v>
      </c>
      <c r="G488" t="s">
        <v>119</v>
      </c>
      <c r="H488" s="3">
        <v>2637.72</v>
      </c>
      <c r="I488" s="4">
        <v>1</v>
      </c>
      <c r="J488" s="3">
        <v>269.51</v>
      </c>
      <c r="K488" t="str">
        <f t="shared" si="14"/>
        <v>December</v>
      </c>
      <c r="L488">
        <f t="shared" si="15"/>
        <v>2023</v>
      </c>
    </row>
    <row r="489" spans="1:12" x14ac:dyDescent="0.3">
      <c r="A489" s="2">
        <v>45286</v>
      </c>
      <c r="B489" t="s">
        <v>113</v>
      </c>
      <c r="C489" t="s">
        <v>46</v>
      </c>
      <c r="D489" t="s">
        <v>156</v>
      </c>
      <c r="E489" t="s">
        <v>26</v>
      </c>
      <c r="F489" t="s">
        <v>53</v>
      </c>
      <c r="G489" t="s">
        <v>100</v>
      </c>
      <c r="H489" s="3">
        <v>89732.77</v>
      </c>
      <c r="I489" s="4">
        <v>1</v>
      </c>
      <c r="J489" s="3">
        <v>9224.2199999999993</v>
      </c>
      <c r="K489" t="str">
        <f t="shared" si="14"/>
        <v>December</v>
      </c>
      <c r="L489">
        <f t="shared" si="15"/>
        <v>2023</v>
      </c>
    </row>
    <row r="490" spans="1:12" x14ac:dyDescent="0.3">
      <c r="A490" s="2">
        <v>45286</v>
      </c>
      <c r="B490" t="s">
        <v>71</v>
      </c>
      <c r="C490" t="s">
        <v>68</v>
      </c>
      <c r="D490" t="s">
        <v>156</v>
      </c>
      <c r="E490" t="s">
        <v>35</v>
      </c>
      <c r="F490" t="s">
        <v>75</v>
      </c>
      <c r="G490" t="s">
        <v>110</v>
      </c>
      <c r="H490" s="3">
        <v>44931.73</v>
      </c>
      <c r="I490" s="4">
        <v>1</v>
      </c>
      <c r="J490" s="3">
        <v>6187.16</v>
      </c>
      <c r="K490" t="str">
        <f t="shared" si="14"/>
        <v>December</v>
      </c>
      <c r="L490">
        <f t="shared" si="15"/>
        <v>2023</v>
      </c>
    </row>
    <row r="491" spans="1:12" x14ac:dyDescent="0.3">
      <c r="A491" s="2">
        <v>45287</v>
      </c>
      <c r="B491" t="s">
        <v>21</v>
      </c>
      <c r="C491" t="s">
        <v>68</v>
      </c>
      <c r="D491" t="s">
        <v>156</v>
      </c>
      <c r="E491" t="s">
        <v>13</v>
      </c>
      <c r="F491" t="s">
        <v>23</v>
      </c>
      <c r="G491" t="s">
        <v>85</v>
      </c>
      <c r="H491" s="3">
        <v>116253.77</v>
      </c>
      <c r="I491" s="4">
        <v>3</v>
      </c>
      <c r="J491" s="3">
        <v>10939.71</v>
      </c>
      <c r="K491" t="str">
        <f t="shared" si="14"/>
        <v>December</v>
      </c>
      <c r="L491">
        <f t="shared" si="15"/>
        <v>2023</v>
      </c>
    </row>
    <row r="492" spans="1:12" x14ac:dyDescent="0.3">
      <c r="A492" s="2">
        <v>45287</v>
      </c>
      <c r="B492" t="s">
        <v>103</v>
      </c>
      <c r="C492" t="s">
        <v>46</v>
      </c>
      <c r="D492" t="s">
        <v>156</v>
      </c>
      <c r="E492" t="s">
        <v>35</v>
      </c>
      <c r="F492" t="s">
        <v>36</v>
      </c>
      <c r="G492" t="s">
        <v>84</v>
      </c>
      <c r="H492" s="3">
        <v>30204.04</v>
      </c>
      <c r="I492" s="4">
        <v>1</v>
      </c>
      <c r="J492" s="3">
        <v>5624.91</v>
      </c>
      <c r="K492" t="str">
        <f t="shared" si="14"/>
        <v>December</v>
      </c>
      <c r="L492">
        <f t="shared" si="15"/>
        <v>2023</v>
      </c>
    </row>
    <row r="493" spans="1:12" x14ac:dyDescent="0.3">
      <c r="A493" s="2">
        <v>45289</v>
      </c>
      <c r="B493" t="s">
        <v>74</v>
      </c>
      <c r="C493" t="s">
        <v>39</v>
      </c>
      <c r="D493" t="s">
        <v>156</v>
      </c>
      <c r="E493" t="s">
        <v>13</v>
      </c>
      <c r="F493" t="s">
        <v>23</v>
      </c>
      <c r="G493" t="s">
        <v>108</v>
      </c>
      <c r="H493" s="3">
        <v>51778.25</v>
      </c>
      <c r="I493" s="4">
        <v>1</v>
      </c>
      <c r="J493" s="3">
        <v>3892.4</v>
      </c>
      <c r="K493" t="str">
        <f t="shared" si="14"/>
        <v>December</v>
      </c>
      <c r="L493">
        <f t="shared" si="15"/>
        <v>2023</v>
      </c>
    </row>
    <row r="494" spans="1:12" x14ac:dyDescent="0.3">
      <c r="A494" s="2">
        <v>45289</v>
      </c>
      <c r="B494" t="s">
        <v>93</v>
      </c>
      <c r="C494" t="s">
        <v>56</v>
      </c>
      <c r="D494" t="s">
        <v>156</v>
      </c>
      <c r="E494" t="s">
        <v>26</v>
      </c>
      <c r="F494" t="s">
        <v>53</v>
      </c>
      <c r="G494" t="s">
        <v>54</v>
      </c>
      <c r="H494" s="3">
        <v>126197.56</v>
      </c>
      <c r="I494" s="4">
        <v>3</v>
      </c>
      <c r="J494" s="3">
        <v>15691.13</v>
      </c>
      <c r="K494" t="str">
        <f t="shared" si="14"/>
        <v>December</v>
      </c>
      <c r="L494">
        <f t="shared" si="15"/>
        <v>2023</v>
      </c>
    </row>
    <row r="495" spans="1:12" x14ac:dyDescent="0.3">
      <c r="A495" s="2">
        <v>45290</v>
      </c>
      <c r="B495" t="s">
        <v>67</v>
      </c>
      <c r="C495" t="s">
        <v>69</v>
      </c>
      <c r="D495" t="s">
        <v>156</v>
      </c>
      <c r="E495" t="s">
        <v>42</v>
      </c>
      <c r="F495" t="s">
        <v>43</v>
      </c>
      <c r="G495" t="s">
        <v>87</v>
      </c>
      <c r="H495" s="3">
        <v>11352.58</v>
      </c>
      <c r="I495" s="4">
        <v>1</v>
      </c>
      <c r="J495" s="3">
        <v>1721.05</v>
      </c>
      <c r="K495" t="str">
        <f t="shared" si="14"/>
        <v>December</v>
      </c>
      <c r="L495">
        <f t="shared" si="15"/>
        <v>2023</v>
      </c>
    </row>
    <row r="496" spans="1:12" x14ac:dyDescent="0.3">
      <c r="A496" s="2">
        <v>45291</v>
      </c>
      <c r="B496" t="s">
        <v>80</v>
      </c>
      <c r="C496" t="s">
        <v>17</v>
      </c>
      <c r="D496" t="s">
        <v>156</v>
      </c>
      <c r="E496" t="s">
        <v>18</v>
      </c>
      <c r="F496" t="s">
        <v>19</v>
      </c>
      <c r="G496" t="s">
        <v>20</v>
      </c>
      <c r="H496" s="3">
        <v>121715</v>
      </c>
      <c r="I496" s="4">
        <v>2</v>
      </c>
      <c r="J496" s="3">
        <v>19993.8</v>
      </c>
      <c r="K496" t="str">
        <f t="shared" si="14"/>
        <v>December</v>
      </c>
      <c r="L496">
        <f t="shared" si="15"/>
        <v>2023</v>
      </c>
    </row>
    <row r="497" spans="1:12" x14ac:dyDescent="0.3">
      <c r="A497" s="2">
        <v>45291</v>
      </c>
      <c r="B497" t="s">
        <v>92</v>
      </c>
      <c r="C497" t="s">
        <v>81</v>
      </c>
      <c r="D497" t="s">
        <v>156</v>
      </c>
      <c r="E497" t="s">
        <v>18</v>
      </c>
      <c r="F497" t="s">
        <v>40</v>
      </c>
      <c r="G497" t="s">
        <v>115</v>
      </c>
      <c r="H497" s="3">
        <v>23973.13</v>
      </c>
      <c r="I497" s="4">
        <v>2</v>
      </c>
      <c r="J497" s="3">
        <v>3114.52</v>
      </c>
      <c r="K497" t="str">
        <f t="shared" si="14"/>
        <v>December</v>
      </c>
      <c r="L497">
        <f t="shared" si="15"/>
        <v>2023</v>
      </c>
    </row>
    <row r="498" spans="1:12" x14ac:dyDescent="0.3">
      <c r="A498" s="2">
        <v>45292</v>
      </c>
      <c r="B498" t="s">
        <v>45</v>
      </c>
      <c r="C498" t="s">
        <v>46</v>
      </c>
      <c r="D498" t="s">
        <v>156</v>
      </c>
      <c r="E498" t="s">
        <v>42</v>
      </c>
      <c r="F498" t="s">
        <v>90</v>
      </c>
      <c r="G498" t="s">
        <v>91</v>
      </c>
      <c r="H498" s="3">
        <v>8207.16</v>
      </c>
      <c r="I498" s="4">
        <v>5</v>
      </c>
      <c r="J498" s="3">
        <v>1376.73</v>
      </c>
      <c r="K498" t="str">
        <f t="shared" si="14"/>
        <v>January</v>
      </c>
      <c r="L498">
        <f t="shared" si="15"/>
        <v>2024</v>
      </c>
    </row>
    <row r="499" spans="1:12" x14ac:dyDescent="0.3">
      <c r="A499" s="2">
        <v>45294</v>
      </c>
      <c r="B499" t="s">
        <v>32</v>
      </c>
      <c r="C499" t="s">
        <v>68</v>
      </c>
      <c r="D499" t="s">
        <v>156</v>
      </c>
      <c r="E499" t="s">
        <v>42</v>
      </c>
      <c r="F499" t="s">
        <v>90</v>
      </c>
      <c r="G499" t="s">
        <v>97</v>
      </c>
      <c r="H499" s="3">
        <v>7029.7</v>
      </c>
      <c r="I499" s="4">
        <v>3</v>
      </c>
      <c r="J499" s="3">
        <v>1424.03</v>
      </c>
      <c r="K499" t="str">
        <f t="shared" si="14"/>
        <v>January</v>
      </c>
      <c r="L499">
        <f t="shared" si="15"/>
        <v>2024</v>
      </c>
    </row>
    <row r="500" spans="1:12" x14ac:dyDescent="0.3">
      <c r="A500" s="2">
        <v>45295</v>
      </c>
      <c r="B500" t="s">
        <v>86</v>
      </c>
      <c r="C500" t="s">
        <v>17</v>
      </c>
      <c r="D500" t="s">
        <v>156</v>
      </c>
      <c r="E500" t="s">
        <v>35</v>
      </c>
      <c r="F500" t="s">
        <v>75</v>
      </c>
      <c r="G500" t="s">
        <v>76</v>
      </c>
      <c r="H500" s="3">
        <v>40332.879999999997</v>
      </c>
      <c r="I500" s="4">
        <v>1</v>
      </c>
      <c r="J500" s="3">
        <v>6385.37</v>
      </c>
      <c r="K500" t="str">
        <f t="shared" si="14"/>
        <v>January</v>
      </c>
      <c r="L500">
        <f t="shared" si="15"/>
        <v>2024</v>
      </c>
    </row>
    <row r="501" spans="1:12" x14ac:dyDescent="0.3">
      <c r="A501" s="2">
        <v>45295</v>
      </c>
      <c r="B501" t="s">
        <v>116</v>
      </c>
      <c r="C501" t="s">
        <v>12</v>
      </c>
      <c r="D501" t="s">
        <v>156</v>
      </c>
      <c r="E501" t="s">
        <v>26</v>
      </c>
      <c r="F501" t="s">
        <v>27</v>
      </c>
      <c r="G501" t="s">
        <v>31</v>
      </c>
      <c r="H501" s="3">
        <v>17714.169999999998</v>
      </c>
      <c r="I501" s="4">
        <v>2</v>
      </c>
      <c r="J501" s="3">
        <v>2476.16</v>
      </c>
      <c r="K501" t="str">
        <f t="shared" si="14"/>
        <v>January</v>
      </c>
      <c r="L501">
        <f t="shared" si="15"/>
        <v>2024</v>
      </c>
    </row>
    <row r="502" spans="1:12" x14ac:dyDescent="0.3">
      <c r="A502" s="2">
        <v>45295</v>
      </c>
      <c r="B502" t="s">
        <v>109</v>
      </c>
      <c r="C502" t="s">
        <v>61</v>
      </c>
      <c r="D502" t="s">
        <v>156</v>
      </c>
      <c r="E502" t="s">
        <v>18</v>
      </c>
      <c r="F502" t="s">
        <v>40</v>
      </c>
      <c r="G502" t="s">
        <v>41</v>
      </c>
      <c r="H502" s="3">
        <v>34694.07</v>
      </c>
      <c r="I502" s="4">
        <v>2</v>
      </c>
      <c r="J502" s="3">
        <v>3334.17</v>
      </c>
      <c r="K502" t="str">
        <f t="shared" si="14"/>
        <v>January</v>
      </c>
      <c r="L502">
        <f t="shared" si="15"/>
        <v>2024</v>
      </c>
    </row>
    <row r="503" spans="1:12" x14ac:dyDescent="0.3">
      <c r="A503" s="2">
        <v>45296</v>
      </c>
      <c r="B503" t="s">
        <v>78</v>
      </c>
      <c r="C503" t="s">
        <v>68</v>
      </c>
      <c r="D503" t="s">
        <v>156</v>
      </c>
      <c r="E503" t="s">
        <v>42</v>
      </c>
      <c r="F503" t="s">
        <v>43</v>
      </c>
      <c r="G503" t="s">
        <v>44</v>
      </c>
      <c r="H503" s="3">
        <v>12296.03</v>
      </c>
      <c r="I503" s="4">
        <v>1</v>
      </c>
      <c r="J503" s="3">
        <v>1992.22</v>
      </c>
      <c r="K503" t="str">
        <f t="shared" si="14"/>
        <v>January</v>
      </c>
      <c r="L503">
        <f t="shared" si="15"/>
        <v>2024</v>
      </c>
    </row>
    <row r="504" spans="1:12" x14ac:dyDescent="0.3">
      <c r="A504" s="2">
        <v>45296</v>
      </c>
      <c r="B504" t="s">
        <v>116</v>
      </c>
      <c r="C504" t="s">
        <v>66</v>
      </c>
      <c r="D504" t="s">
        <v>156</v>
      </c>
      <c r="E504" t="s">
        <v>42</v>
      </c>
      <c r="F504" t="s">
        <v>90</v>
      </c>
      <c r="G504" t="s">
        <v>120</v>
      </c>
      <c r="H504" s="3">
        <v>10570.9</v>
      </c>
      <c r="I504" s="4">
        <v>2</v>
      </c>
      <c r="J504" s="3">
        <v>2276.41</v>
      </c>
      <c r="K504" t="str">
        <f t="shared" si="14"/>
        <v>January</v>
      </c>
      <c r="L504">
        <f t="shared" si="15"/>
        <v>2024</v>
      </c>
    </row>
    <row r="505" spans="1:12" x14ac:dyDescent="0.3">
      <c r="A505" s="2">
        <v>45297</v>
      </c>
      <c r="B505" t="s">
        <v>38</v>
      </c>
      <c r="C505" t="s">
        <v>22</v>
      </c>
      <c r="D505" t="s">
        <v>156</v>
      </c>
      <c r="E505" t="s">
        <v>26</v>
      </c>
      <c r="F505" t="s">
        <v>53</v>
      </c>
      <c r="G505" t="s">
        <v>96</v>
      </c>
      <c r="H505" s="3">
        <v>133602.51</v>
      </c>
      <c r="I505" s="4">
        <v>2</v>
      </c>
      <c r="J505" s="3">
        <v>16815.78</v>
      </c>
      <c r="K505" t="str">
        <f t="shared" si="14"/>
        <v>January</v>
      </c>
      <c r="L505">
        <f t="shared" si="15"/>
        <v>2024</v>
      </c>
    </row>
    <row r="506" spans="1:12" x14ac:dyDescent="0.3">
      <c r="A506" s="2">
        <v>45298</v>
      </c>
      <c r="B506" t="s">
        <v>93</v>
      </c>
      <c r="C506" t="s">
        <v>61</v>
      </c>
      <c r="D506" t="s">
        <v>156</v>
      </c>
      <c r="E506" t="s">
        <v>42</v>
      </c>
      <c r="F506" t="s">
        <v>43</v>
      </c>
      <c r="G506" t="s">
        <v>87</v>
      </c>
      <c r="H506" s="3">
        <v>10631.46</v>
      </c>
      <c r="I506" s="4">
        <v>1</v>
      </c>
      <c r="J506" s="3">
        <v>1108.78</v>
      </c>
      <c r="K506" t="str">
        <f t="shared" si="14"/>
        <v>January</v>
      </c>
      <c r="L506">
        <f t="shared" si="15"/>
        <v>2024</v>
      </c>
    </row>
    <row r="507" spans="1:12" x14ac:dyDescent="0.3">
      <c r="A507" s="2">
        <v>45300</v>
      </c>
      <c r="B507" t="s">
        <v>29</v>
      </c>
      <c r="C507" t="s">
        <v>61</v>
      </c>
      <c r="D507" t="s">
        <v>156</v>
      </c>
      <c r="E507" t="s">
        <v>13</v>
      </c>
      <c r="F507" t="s">
        <v>14</v>
      </c>
      <c r="G507" t="s">
        <v>111</v>
      </c>
      <c r="H507" s="3">
        <v>1983.24</v>
      </c>
      <c r="I507" s="4">
        <v>1</v>
      </c>
      <c r="J507" s="3">
        <v>-149.41</v>
      </c>
      <c r="K507" t="str">
        <f t="shared" si="14"/>
        <v>January</v>
      </c>
      <c r="L507">
        <f t="shared" si="15"/>
        <v>2024</v>
      </c>
    </row>
    <row r="508" spans="1:12" x14ac:dyDescent="0.3">
      <c r="A508" s="2">
        <v>45300</v>
      </c>
      <c r="B508" t="s">
        <v>60</v>
      </c>
      <c r="C508" t="s">
        <v>69</v>
      </c>
      <c r="D508" t="s">
        <v>156</v>
      </c>
      <c r="E508" t="s">
        <v>26</v>
      </c>
      <c r="F508" t="s">
        <v>27</v>
      </c>
      <c r="G508" t="s">
        <v>31</v>
      </c>
      <c r="H508" s="3">
        <v>9383.4</v>
      </c>
      <c r="I508" s="4">
        <v>1</v>
      </c>
      <c r="J508" s="3">
        <v>1483.89</v>
      </c>
      <c r="K508" t="str">
        <f t="shared" si="14"/>
        <v>January</v>
      </c>
      <c r="L508">
        <f t="shared" si="15"/>
        <v>2024</v>
      </c>
    </row>
    <row r="509" spans="1:12" x14ac:dyDescent="0.3">
      <c r="A509" s="2">
        <v>45301</v>
      </c>
      <c r="B509" t="s">
        <v>45</v>
      </c>
      <c r="C509" t="s">
        <v>22</v>
      </c>
      <c r="D509" t="s">
        <v>156</v>
      </c>
      <c r="E509" t="s">
        <v>18</v>
      </c>
      <c r="F509" t="s">
        <v>19</v>
      </c>
      <c r="G509" t="s">
        <v>33</v>
      </c>
      <c r="H509" s="3">
        <v>51087.83</v>
      </c>
      <c r="I509" s="4">
        <v>1</v>
      </c>
      <c r="J509" s="3">
        <v>5144.9799999999996</v>
      </c>
      <c r="K509" t="str">
        <f t="shared" si="14"/>
        <v>January</v>
      </c>
      <c r="L509">
        <f t="shared" si="15"/>
        <v>2024</v>
      </c>
    </row>
    <row r="510" spans="1:12" x14ac:dyDescent="0.3">
      <c r="A510" s="2">
        <v>45301</v>
      </c>
      <c r="B510" t="s">
        <v>92</v>
      </c>
      <c r="C510" t="s">
        <v>22</v>
      </c>
      <c r="D510" t="s">
        <v>156</v>
      </c>
      <c r="E510" t="s">
        <v>42</v>
      </c>
      <c r="F510" t="s">
        <v>43</v>
      </c>
      <c r="G510" t="s">
        <v>89</v>
      </c>
      <c r="H510" s="3">
        <v>31358.05</v>
      </c>
      <c r="I510" s="4">
        <v>1</v>
      </c>
      <c r="J510" s="3">
        <v>3373.52</v>
      </c>
      <c r="K510" t="str">
        <f t="shared" si="14"/>
        <v>January</v>
      </c>
      <c r="L510">
        <f t="shared" si="15"/>
        <v>2024</v>
      </c>
    </row>
    <row r="511" spans="1:12" x14ac:dyDescent="0.3">
      <c r="A511" s="2">
        <v>45301</v>
      </c>
      <c r="B511" t="s">
        <v>16</v>
      </c>
      <c r="C511" t="s">
        <v>22</v>
      </c>
      <c r="D511" t="s">
        <v>156</v>
      </c>
      <c r="E511" t="s">
        <v>26</v>
      </c>
      <c r="F511" t="s">
        <v>53</v>
      </c>
      <c r="G511" t="s">
        <v>54</v>
      </c>
      <c r="H511" s="3">
        <v>35411.379999999997</v>
      </c>
      <c r="I511" s="4">
        <v>1</v>
      </c>
      <c r="J511" s="3">
        <v>3774.02</v>
      </c>
      <c r="K511" t="str">
        <f t="shared" si="14"/>
        <v>January</v>
      </c>
      <c r="L511">
        <f t="shared" si="15"/>
        <v>2024</v>
      </c>
    </row>
    <row r="512" spans="1:12" x14ac:dyDescent="0.3">
      <c r="A512" s="2">
        <v>45302</v>
      </c>
      <c r="B512" t="s">
        <v>48</v>
      </c>
      <c r="C512" t="s">
        <v>49</v>
      </c>
      <c r="D512" t="s">
        <v>156</v>
      </c>
      <c r="E512" t="s">
        <v>35</v>
      </c>
      <c r="F512" t="s">
        <v>63</v>
      </c>
      <c r="G512" t="s">
        <v>112</v>
      </c>
      <c r="H512" s="3">
        <v>57736.19</v>
      </c>
      <c r="I512" s="4">
        <v>2</v>
      </c>
      <c r="J512" s="3">
        <v>8109.5</v>
      </c>
      <c r="K512" t="str">
        <f t="shared" si="14"/>
        <v>January</v>
      </c>
      <c r="L512">
        <f t="shared" si="15"/>
        <v>2024</v>
      </c>
    </row>
    <row r="513" spans="1:12" x14ac:dyDescent="0.3">
      <c r="A513" s="2">
        <v>45305</v>
      </c>
      <c r="B513" t="s">
        <v>116</v>
      </c>
      <c r="C513" t="s">
        <v>30</v>
      </c>
      <c r="D513" t="s">
        <v>156</v>
      </c>
      <c r="E513" t="s">
        <v>26</v>
      </c>
      <c r="F513" t="s">
        <v>27</v>
      </c>
      <c r="G513" t="s">
        <v>94</v>
      </c>
      <c r="H513" s="3">
        <v>10808.5</v>
      </c>
      <c r="I513" s="4">
        <v>1</v>
      </c>
      <c r="J513" s="3">
        <v>1555.11</v>
      </c>
      <c r="K513" t="str">
        <f t="shared" si="14"/>
        <v>January</v>
      </c>
      <c r="L513">
        <f t="shared" si="15"/>
        <v>2024</v>
      </c>
    </row>
    <row r="514" spans="1:12" x14ac:dyDescent="0.3">
      <c r="A514" s="2">
        <v>45306</v>
      </c>
      <c r="B514" t="s">
        <v>103</v>
      </c>
      <c r="C514" t="s">
        <v>81</v>
      </c>
      <c r="D514" t="s">
        <v>156</v>
      </c>
      <c r="E514" t="s">
        <v>35</v>
      </c>
      <c r="F514" t="s">
        <v>75</v>
      </c>
      <c r="G514" t="s">
        <v>107</v>
      </c>
      <c r="H514" s="3">
        <v>67309.42</v>
      </c>
      <c r="I514" s="4">
        <v>2</v>
      </c>
      <c r="J514" s="3">
        <v>10205.11</v>
      </c>
      <c r="K514" t="str">
        <f t="shared" si="14"/>
        <v>January</v>
      </c>
      <c r="L514">
        <f t="shared" si="15"/>
        <v>2024</v>
      </c>
    </row>
    <row r="515" spans="1:12" x14ac:dyDescent="0.3">
      <c r="A515" s="2">
        <v>45307</v>
      </c>
      <c r="B515" t="s">
        <v>113</v>
      </c>
      <c r="C515" t="s">
        <v>46</v>
      </c>
      <c r="D515" t="s">
        <v>156</v>
      </c>
      <c r="E515" t="s">
        <v>13</v>
      </c>
      <c r="F515" t="s">
        <v>23</v>
      </c>
      <c r="G515" t="s">
        <v>108</v>
      </c>
      <c r="H515" s="3">
        <v>50384.06</v>
      </c>
      <c r="I515" s="4">
        <v>1</v>
      </c>
      <c r="J515" s="3">
        <v>4139.5200000000004</v>
      </c>
      <c r="K515" t="str">
        <f t="shared" ref="K515:K578" si="16">TEXT(A515,"mmmm")</f>
        <v>January</v>
      </c>
      <c r="L515">
        <f t="shared" ref="L515:L578" si="17">YEAR(A515)</f>
        <v>2024</v>
      </c>
    </row>
    <row r="516" spans="1:12" x14ac:dyDescent="0.3">
      <c r="A516" s="2">
        <v>45307</v>
      </c>
      <c r="B516" t="s">
        <v>71</v>
      </c>
      <c r="C516" t="s">
        <v>17</v>
      </c>
      <c r="D516" t="s">
        <v>156</v>
      </c>
      <c r="E516" t="s">
        <v>13</v>
      </c>
      <c r="F516" t="s">
        <v>14</v>
      </c>
      <c r="G516" t="s">
        <v>88</v>
      </c>
      <c r="H516" s="3">
        <v>2850.85</v>
      </c>
      <c r="I516" s="4">
        <v>2</v>
      </c>
      <c r="J516" s="3">
        <v>-111.19</v>
      </c>
      <c r="K516" t="str">
        <f t="shared" si="16"/>
        <v>January</v>
      </c>
      <c r="L516">
        <f t="shared" si="17"/>
        <v>2024</v>
      </c>
    </row>
    <row r="517" spans="1:12" x14ac:dyDescent="0.3">
      <c r="A517" s="2">
        <v>45307</v>
      </c>
      <c r="B517" t="s">
        <v>116</v>
      </c>
      <c r="C517" t="s">
        <v>81</v>
      </c>
      <c r="D517" t="s">
        <v>156</v>
      </c>
      <c r="E517" t="s">
        <v>18</v>
      </c>
      <c r="F517" t="s">
        <v>19</v>
      </c>
      <c r="G517" t="s">
        <v>33</v>
      </c>
      <c r="H517" s="3">
        <v>105850.93</v>
      </c>
      <c r="I517" s="4">
        <v>2</v>
      </c>
      <c r="J517" s="3">
        <v>-3885.17</v>
      </c>
      <c r="K517" t="str">
        <f t="shared" si="16"/>
        <v>January</v>
      </c>
      <c r="L517">
        <f t="shared" si="17"/>
        <v>2024</v>
      </c>
    </row>
    <row r="518" spans="1:12" x14ac:dyDescent="0.3">
      <c r="A518" s="2">
        <v>45309</v>
      </c>
      <c r="B518" t="s">
        <v>73</v>
      </c>
      <c r="C518" t="s">
        <v>62</v>
      </c>
      <c r="D518" t="s">
        <v>156</v>
      </c>
      <c r="E518" t="s">
        <v>26</v>
      </c>
      <c r="F518" t="s">
        <v>27</v>
      </c>
      <c r="G518" t="s">
        <v>28</v>
      </c>
      <c r="H518" s="3">
        <v>21109.69</v>
      </c>
      <c r="I518" s="4">
        <v>1</v>
      </c>
      <c r="J518" s="3">
        <v>2802.77</v>
      </c>
      <c r="K518" t="str">
        <f t="shared" si="16"/>
        <v>January</v>
      </c>
      <c r="L518">
        <f t="shared" si="17"/>
        <v>2024</v>
      </c>
    </row>
    <row r="519" spans="1:12" x14ac:dyDescent="0.3">
      <c r="A519" s="2">
        <v>45309</v>
      </c>
      <c r="B519" t="s">
        <v>32</v>
      </c>
      <c r="C519" t="s">
        <v>69</v>
      </c>
      <c r="D519" t="s">
        <v>156</v>
      </c>
      <c r="E519" t="s">
        <v>42</v>
      </c>
      <c r="F519" t="s">
        <v>90</v>
      </c>
      <c r="G519" t="s">
        <v>97</v>
      </c>
      <c r="H519" s="3">
        <v>2373.4499999999998</v>
      </c>
      <c r="I519" s="4">
        <v>1</v>
      </c>
      <c r="J519" s="3">
        <v>325.14999999999998</v>
      </c>
      <c r="K519" t="str">
        <f t="shared" si="16"/>
        <v>January</v>
      </c>
      <c r="L519">
        <f t="shared" si="17"/>
        <v>2024</v>
      </c>
    </row>
    <row r="520" spans="1:12" x14ac:dyDescent="0.3">
      <c r="A520" s="2">
        <v>45310</v>
      </c>
      <c r="B520" t="s">
        <v>83</v>
      </c>
      <c r="C520" t="s">
        <v>62</v>
      </c>
      <c r="D520" t="s">
        <v>156</v>
      </c>
      <c r="E520" t="s">
        <v>18</v>
      </c>
      <c r="F520" t="s">
        <v>19</v>
      </c>
      <c r="G520" t="s">
        <v>59</v>
      </c>
      <c r="H520" s="3">
        <v>95092.21</v>
      </c>
      <c r="I520" s="4">
        <v>2</v>
      </c>
      <c r="J520" s="3">
        <v>10831.09</v>
      </c>
      <c r="K520" t="str">
        <f t="shared" si="16"/>
        <v>January</v>
      </c>
      <c r="L520">
        <f t="shared" si="17"/>
        <v>2024</v>
      </c>
    </row>
    <row r="521" spans="1:12" x14ac:dyDescent="0.3">
      <c r="A521" s="2">
        <v>45311</v>
      </c>
      <c r="B521" t="s">
        <v>113</v>
      </c>
      <c r="C521" t="s">
        <v>61</v>
      </c>
      <c r="D521" t="s">
        <v>156</v>
      </c>
      <c r="E521" t="s">
        <v>13</v>
      </c>
      <c r="F521" t="s">
        <v>14</v>
      </c>
      <c r="G521" t="s">
        <v>88</v>
      </c>
      <c r="H521" s="3">
        <v>1324.93</v>
      </c>
      <c r="I521" s="4">
        <v>1</v>
      </c>
      <c r="J521" s="3">
        <v>127.49</v>
      </c>
      <c r="K521" t="str">
        <f t="shared" si="16"/>
        <v>January</v>
      </c>
      <c r="L521">
        <f t="shared" si="17"/>
        <v>2024</v>
      </c>
    </row>
    <row r="522" spans="1:12" x14ac:dyDescent="0.3">
      <c r="A522" s="2">
        <v>45311</v>
      </c>
      <c r="B522" t="s">
        <v>109</v>
      </c>
      <c r="C522" t="s">
        <v>69</v>
      </c>
      <c r="D522" t="s">
        <v>156</v>
      </c>
      <c r="E522" t="s">
        <v>42</v>
      </c>
      <c r="F522" t="s">
        <v>90</v>
      </c>
      <c r="G522" t="s">
        <v>120</v>
      </c>
      <c r="H522" s="3">
        <v>5623.13</v>
      </c>
      <c r="I522" s="4">
        <v>1</v>
      </c>
      <c r="J522" s="3">
        <v>1312.06</v>
      </c>
      <c r="K522" t="str">
        <f t="shared" si="16"/>
        <v>January</v>
      </c>
      <c r="L522">
        <f t="shared" si="17"/>
        <v>2024</v>
      </c>
    </row>
    <row r="523" spans="1:12" x14ac:dyDescent="0.3">
      <c r="A523" s="2">
        <v>45312</v>
      </c>
      <c r="B523" t="s">
        <v>74</v>
      </c>
      <c r="C523" t="s">
        <v>46</v>
      </c>
      <c r="D523" t="s">
        <v>156</v>
      </c>
      <c r="E523" t="s">
        <v>35</v>
      </c>
      <c r="F523" t="s">
        <v>36</v>
      </c>
      <c r="G523" t="s">
        <v>37</v>
      </c>
      <c r="H523" s="3">
        <v>24758.21</v>
      </c>
      <c r="I523" s="4">
        <v>1</v>
      </c>
      <c r="J523" s="3">
        <v>4468.49</v>
      </c>
      <c r="K523" t="str">
        <f t="shared" si="16"/>
        <v>January</v>
      </c>
      <c r="L523">
        <f t="shared" si="17"/>
        <v>2024</v>
      </c>
    </row>
    <row r="524" spans="1:12" x14ac:dyDescent="0.3">
      <c r="A524" s="2">
        <v>45313</v>
      </c>
      <c r="B524" t="s">
        <v>83</v>
      </c>
      <c r="C524" t="s">
        <v>22</v>
      </c>
      <c r="D524" t="s">
        <v>156</v>
      </c>
      <c r="E524" t="s">
        <v>13</v>
      </c>
      <c r="F524" t="s">
        <v>23</v>
      </c>
      <c r="G524" t="s">
        <v>85</v>
      </c>
      <c r="H524" s="3">
        <v>38794.1</v>
      </c>
      <c r="I524" s="4">
        <v>1</v>
      </c>
      <c r="J524" s="3">
        <v>-947.57</v>
      </c>
      <c r="K524" t="str">
        <f t="shared" si="16"/>
        <v>January</v>
      </c>
      <c r="L524">
        <f t="shared" si="17"/>
        <v>2024</v>
      </c>
    </row>
    <row r="525" spans="1:12" x14ac:dyDescent="0.3">
      <c r="A525" s="2">
        <v>45314</v>
      </c>
      <c r="B525" t="s">
        <v>109</v>
      </c>
      <c r="C525" t="s">
        <v>61</v>
      </c>
      <c r="D525" t="s">
        <v>156</v>
      </c>
      <c r="E525" t="s">
        <v>35</v>
      </c>
      <c r="F525" t="s">
        <v>36</v>
      </c>
      <c r="G525" t="s">
        <v>37</v>
      </c>
      <c r="H525" s="3">
        <v>27623.88</v>
      </c>
      <c r="I525" s="4">
        <v>1</v>
      </c>
      <c r="J525" s="3">
        <v>4257.4399999999996</v>
      </c>
      <c r="K525" t="str">
        <f t="shared" si="16"/>
        <v>January</v>
      </c>
      <c r="L525">
        <f t="shared" si="17"/>
        <v>2024</v>
      </c>
    </row>
    <row r="526" spans="1:12" x14ac:dyDescent="0.3">
      <c r="A526" s="2">
        <v>45314</v>
      </c>
      <c r="B526" t="s">
        <v>16</v>
      </c>
      <c r="C526" t="s">
        <v>30</v>
      </c>
      <c r="D526" t="s">
        <v>156</v>
      </c>
      <c r="E526" t="s">
        <v>13</v>
      </c>
      <c r="F526" t="s">
        <v>23</v>
      </c>
      <c r="G526" t="s">
        <v>47</v>
      </c>
      <c r="H526" s="3">
        <v>194367.82</v>
      </c>
      <c r="I526" s="4">
        <v>3</v>
      </c>
      <c r="J526" s="3">
        <v>15645.52</v>
      </c>
      <c r="K526" t="str">
        <f t="shared" si="16"/>
        <v>January</v>
      </c>
      <c r="L526">
        <f t="shared" si="17"/>
        <v>2024</v>
      </c>
    </row>
    <row r="527" spans="1:12" x14ac:dyDescent="0.3">
      <c r="A527" s="2">
        <v>45315</v>
      </c>
      <c r="B527" t="s">
        <v>101</v>
      </c>
      <c r="C527" t="s">
        <v>49</v>
      </c>
      <c r="D527" t="s">
        <v>156</v>
      </c>
      <c r="E527" t="s">
        <v>35</v>
      </c>
      <c r="F527" t="s">
        <v>75</v>
      </c>
      <c r="G527" t="s">
        <v>107</v>
      </c>
      <c r="H527" s="3">
        <v>34129.730000000003</v>
      </c>
      <c r="I527" s="4">
        <v>1</v>
      </c>
      <c r="J527" s="3">
        <v>2901.57</v>
      </c>
      <c r="K527" t="str">
        <f t="shared" si="16"/>
        <v>January</v>
      </c>
      <c r="L527">
        <f t="shared" si="17"/>
        <v>2024</v>
      </c>
    </row>
    <row r="528" spans="1:12" x14ac:dyDescent="0.3">
      <c r="A528" s="2">
        <v>45316</v>
      </c>
      <c r="B528" t="s">
        <v>60</v>
      </c>
      <c r="C528" t="s">
        <v>69</v>
      </c>
      <c r="D528" t="s">
        <v>156</v>
      </c>
      <c r="E528" t="s">
        <v>26</v>
      </c>
      <c r="F528" t="s">
        <v>53</v>
      </c>
      <c r="G528" t="s">
        <v>100</v>
      </c>
      <c r="H528" s="3">
        <v>288805.07</v>
      </c>
      <c r="I528" s="4">
        <v>3</v>
      </c>
      <c r="J528" s="3">
        <v>28960.41</v>
      </c>
      <c r="K528" t="str">
        <f t="shared" si="16"/>
        <v>January</v>
      </c>
      <c r="L528">
        <f t="shared" si="17"/>
        <v>2024</v>
      </c>
    </row>
    <row r="529" spans="1:12" x14ac:dyDescent="0.3">
      <c r="A529" s="2">
        <v>45316</v>
      </c>
      <c r="B529" t="s">
        <v>65</v>
      </c>
      <c r="C529" t="s">
        <v>56</v>
      </c>
      <c r="D529" t="s">
        <v>156</v>
      </c>
      <c r="E529" t="s">
        <v>13</v>
      </c>
      <c r="F529" t="s">
        <v>23</v>
      </c>
      <c r="G529" t="s">
        <v>77</v>
      </c>
      <c r="H529" s="3">
        <v>38503.370000000003</v>
      </c>
      <c r="I529" s="4">
        <v>1</v>
      </c>
      <c r="J529" s="3">
        <v>3155.53</v>
      </c>
      <c r="K529" t="str">
        <f t="shared" si="16"/>
        <v>January</v>
      </c>
      <c r="L529">
        <f t="shared" si="17"/>
        <v>2024</v>
      </c>
    </row>
    <row r="530" spans="1:12" x14ac:dyDescent="0.3">
      <c r="A530" s="2">
        <v>45317</v>
      </c>
      <c r="B530" t="s">
        <v>16</v>
      </c>
      <c r="C530" t="s">
        <v>62</v>
      </c>
      <c r="D530" t="s">
        <v>156</v>
      </c>
      <c r="E530" t="s">
        <v>13</v>
      </c>
      <c r="F530" t="s">
        <v>14</v>
      </c>
      <c r="G530" t="s">
        <v>111</v>
      </c>
      <c r="H530" s="3">
        <v>6790.65</v>
      </c>
      <c r="I530" s="4">
        <v>4</v>
      </c>
      <c r="J530" s="3">
        <v>767.3</v>
      </c>
      <c r="K530" t="str">
        <f t="shared" si="16"/>
        <v>January</v>
      </c>
      <c r="L530">
        <f t="shared" si="17"/>
        <v>2024</v>
      </c>
    </row>
    <row r="531" spans="1:12" x14ac:dyDescent="0.3">
      <c r="A531" s="2">
        <v>45318</v>
      </c>
      <c r="B531" t="s">
        <v>48</v>
      </c>
      <c r="C531" t="s">
        <v>62</v>
      </c>
      <c r="D531" t="s">
        <v>156</v>
      </c>
      <c r="E531" t="s">
        <v>26</v>
      </c>
      <c r="F531" t="s">
        <v>53</v>
      </c>
      <c r="G531" t="s">
        <v>100</v>
      </c>
      <c r="H531" s="3">
        <v>90522.9</v>
      </c>
      <c r="I531" s="4">
        <v>1</v>
      </c>
      <c r="J531" s="3">
        <v>7292.66</v>
      </c>
      <c r="K531" t="str">
        <f t="shared" si="16"/>
        <v>January</v>
      </c>
      <c r="L531">
        <f t="shared" si="17"/>
        <v>2024</v>
      </c>
    </row>
    <row r="532" spans="1:12" x14ac:dyDescent="0.3">
      <c r="A532" s="2">
        <v>45318</v>
      </c>
      <c r="B532" t="s">
        <v>65</v>
      </c>
      <c r="C532" t="s">
        <v>49</v>
      </c>
      <c r="D532" t="s">
        <v>156</v>
      </c>
      <c r="E532" t="s">
        <v>26</v>
      </c>
      <c r="F532" t="s">
        <v>27</v>
      </c>
      <c r="G532" t="s">
        <v>28</v>
      </c>
      <c r="H532" s="3">
        <v>23698.67</v>
      </c>
      <c r="I532" s="4">
        <v>1</v>
      </c>
      <c r="J532" s="3">
        <v>2557</v>
      </c>
      <c r="K532" t="str">
        <f t="shared" si="16"/>
        <v>January</v>
      </c>
      <c r="L532">
        <f t="shared" si="17"/>
        <v>2024</v>
      </c>
    </row>
    <row r="533" spans="1:12" x14ac:dyDescent="0.3">
      <c r="A533" s="2">
        <v>45320</v>
      </c>
      <c r="B533" t="s">
        <v>16</v>
      </c>
      <c r="C533" t="s">
        <v>30</v>
      </c>
      <c r="D533" t="s">
        <v>156</v>
      </c>
      <c r="E533" t="s">
        <v>13</v>
      </c>
      <c r="F533" t="s">
        <v>23</v>
      </c>
      <c r="G533" t="s">
        <v>24</v>
      </c>
      <c r="H533" s="3">
        <v>274959.68</v>
      </c>
      <c r="I533" s="4">
        <v>5</v>
      </c>
      <c r="J533" s="3">
        <v>37939.910000000003</v>
      </c>
      <c r="K533" t="str">
        <f t="shared" si="16"/>
        <v>January</v>
      </c>
      <c r="L533">
        <f t="shared" si="17"/>
        <v>2024</v>
      </c>
    </row>
    <row r="534" spans="1:12" x14ac:dyDescent="0.3">
      <c r="A534" s="2">
        <v>45320</v>
      </c>
      <c r="B534" t="s">
        <v>45</v>
      </c>
      <c r="C534" t="s">
        <v>39</v>
      </c>
      <c r="D534" t="s">
        <v>156</v>
      </c>
      <c r="E534" t="s">
        <v>13</v>
      </c>
      <c r="F534" t="s">
        <v>23</v>
      </c>
      <c r="G534" t="s">
        <v>79</v>
      </c>
      <c r="H534" s="3">
        <v>178353.81</v>
      </c>
      <c r="I534" s="4">
        <v>3</v>
      </c>
      <c r="J534" s="3">
        <v>13396.06</v>
      </c>
      <c r="K534" t="str">
        <f t="shared" si="16"/>
        <v>January</v>
      </c>
      <c r="L534">
        <f t="shared" si="17"/>
        <v>2024</v>
      </c>
    </row>
    <row r="535" spans="1:12" x14ac:dyDescent="0.3">
      <c r="A535" s="2">
        <v>45321</v>
      </c>
      <c r="B535" t="s">
        <v>60</v>
      </c>
      <c r="C535" t="s">
        <v>56</v>
      </c>
      <c r="D535" t="s">
        <v>156</v>
      </c>
      <c r="E535" t="s">
        <v>26</v>
      </c>
      <c r="F535" t="s">
        <v>27</v>
      </c>
      <c r="G535" t="s">
        <v>82</v>
      </c>
      <c r="H535" s="3">
        <v>30382.46</v>
      </c>
      <c r="I535" s="4">
        <v>1</v>
      </c>
      <c r="J535" s="3">
        <v>4228.67</v>
      </c>
      <c r="K535" t="str">
        <f t="shared" si="16"/>
        <v>January</v>
      </c>
      <c r="L535">
        <f t="shared" si="17"/>
        <v>2024</v>
      </c>
    </row>
    <row r="536" spans="1:12" x14ac:dyDescent="0.3">
      <c r="A536" s="2">
        <v>45322</v>
      </c>
      <c r="B536" t="s">
        <v>86</v>
      </c>
      <c r="C536" t="s">
        <v>69</v>
      </c>
      <c r="D536" t="s">
        <v>156</v>
      </c>
      <c r="E536" t="s">
        <v>42</v>
      </c>
      <c r="F536" t="s">
        <v>90</v>
      </c>
      <c r="G536" t="s">
        <v>97</v>
      </c>
      <c r="H536" s="3">
        <v>2142.41</v>
      </c>
      <c r="I536" s="4">
        <v>1</v>
      </c>
      <c r="J536" s="3">
        <v>407.22</v>
      </c>
      <c r="K536" t="str">
        <f t="shared" si="16"/>
        <v>January</v>
      </c>
      <c r="L536">
        <f t="shared" si="17"/>
        <v>2024</v>
      </c>
    </row>
    <row r="537" spans="1:12" x14ac:dyDescent="0.3">
      <c r="A537" s="2">
        <v>45324</v>
      </c>
      <c r="B537" t="s">
        <v>21</v>
      </c>
      <c r="C537" t="s">
        <v>81</v>
      </c>
      <c r="D537" t="s">
        <v>156</v>
      </c>
      <c r="E537" t="s">
        <v>18</v>
      </c>
      <c r="F537" t="s">
        <v>19</v>
      </c>
      <c r="G537" t="s">
        <v>20</v>
      </c>
      <c r="H537" s="3">
        <v>61453.15</v>
      </c>
      <c r="I537" s="4">
        <v>1</v>
      </c>
      <c r="J537" s="3">
        <v>5987.45</v>
      </c>
      <c r="K537" t="str">
        <f t="shared" si="16"/>
        <v>February</v>
      </c>
      <c r="L537">
        <f t="shared" si="17"/>
        <v>2024</v>
      </c>
    </row>
    <row r="538" spans="1:12" x14ac:dyDescent="0.3">
      <c r="A538" s="2">
        <v>45324</v>
      </c>
      <c r="B538" t="s">
        <v>116</v>
      </c>
      <c r="C538" t="s">
        <v>49</v>
      </c>
      <c r="D538" t="s">
        <v>156</v>
      </c>
      <c r="E538" t="s">
        <v>18</v>
      </c>
      <c r="F538" t="s">
        <v>40</v>
      </c>
      <c r="G538" t="s">
        <v>102</v>
      </c>
      <c r="H538" s="3">
        <v>1459.49</v>
      </c>
      <c r="I538" s="4">
        <v>1</v>
      </c>
      <c r="J538" s="3">
        <v>130.96</v>
      </c>
      <c r="K538" t="str">
        <f t="shared" si="16"/>
        <v>February</v>
      </c>
      <c r="L538">
        <f t="shared" si="17"/>
        <v>2024</v>
      </c>
    </row>
    <row r="539" spans="1:12" x14ac:dyDescent="0.3">
      <c r="A539" s="2">
        <v>45325</v>
      </c>
      <c r="B539" t="s">
        <v>16</v>
      </c>
      <c r="C539" t="s">
        <v>69</v>
      </c>
      <c r="D539" t="s">
        <v>156</v>
      </c>
      <c r="E539" t="s">
        <v>35</v>
      </c>
      <c r="F539" t="s">
        <v>50</v>
      </c>
      <c r="G539" t="s">
        <v>118</v>
      </c>
      <c r="H539" s="3">
        <v>6613.44</v>
      </c>
      <c r="I539" s="4">
        <v>1</v>
      </c>
      <c r="J539" s="3">
        <v>533.48</v>
      </c>
      <c r="K539" t="str">
        <f t="shared" si="16"/>
        <v>February</v>
      </c>
      <c r="L539">
        <f t="shared" si="17"/>
        <v>2024</v>
      </c>
    </row>
    <row r="540" spans="1:12" x14ac:dyDescent="0.3">
      <c r="A540" s="2">
        <v>45325</v>
      </c>
      <c r="B540" t="s">
        <v>93</v>
      </c>
      <c r="C540" t="s">
        <v>69</v>
      </c>
      <c r="D540" t="s">
        <v>156</v>
      </c>
      <c r="E540" t="s">
        <v>42</v>
      </c>
      <c r="F540" t="s">
        <v>43</v>
      </c>
      <c r="G540" t="s">
        <v>89</v>
      </c>
      <c r="H540" s="3">
        <v>60356.65</v>
      </c>
      <c r="I540" s="4">
        <v>2</v>
      </c>
      <c r="J540" s="3">
        <v>9485</v>
      </c>
      <c r="K540" t="str">
        <f t="shared" si="16"/>
        <v>February</v>
      </c>
      <c r="L540">
        <f t="shared" si="17"/>
        <v>2024</v>
      </c>
    </row>
    <row r="541" spans="1:12" x14ac:dyDescent="0.3">
      <c r="A541" s="2">
        <v>45326</v>
      </c>
      <c r="B541" t="s">
        <v>80</v>
      </c>
      <c r="C541" t="s">
        <v>62</v>
      </c>
      <c r="D541" t="s">
        <v>156</v>
      </c>
      <c r="E541" t="s">
        <v>26</v>
      </c>
      <c r="F541" t="s">
        <v>27</v>
      </c>
      <c r="G541" t="s">
        <v>28</v>
      </c>
      <c r="H541" s="3">
        <v>42497.79</v>
      </c>
      <c r="I541" s="4">
        <v>2</v>
      </c>
      <c r="J541" s="3">
        <v>3450.66</v>
      </c>
      <c r="K541" t="str">
        <f t="shared" si="16"/>
        <v>February</v>
      </c>
      <c r="L541">
        <f t="shared" si="17"/>
        <v>2024</v>
      </c>
    </row>
    <row r="542" spans="1:12" x14ac:dyDescent="0.3">
      <c r="A542" s="2">
        <v>45326</v>
      </c>
      <c r="B542" t="s">
        <v>86</v>
      </c>
      <c r="C542" t="s">
        <v>58</v>
      </c>
      <c r="D542" t="s">
        <v>156</v>
      </c>
      <c r="E542" t="s">
        <v>13</v>
      </c>
      <c r="F542" t="s">
        <v>14</v>
      </c>
      <c r="G542" t="s">
        <v>88</v>
      </c>
      <c r="H542" s="3">
        <v>1243.24</v>
      </c>
      <c r="I542" s="4">
        <v>1</v>
      </c>
      <c r="J542" s="3">
        <v>122.32</v>
      </c>
      <c r="K542" t="str">
        <f t="shared" si="16"/>
        <v>February</v>
      </c>
      <c r="L542">
        <f t="shared" si="17"/>
        <v>2024</v>
      </c>
    </row>
    <row r="543" spans="1:12" x14ac:dyDescent="0.3">
      <c r="A543" s="2">
        <v>45327</v>
      </c>
      <c r="B543" t="s">
        <v>67</v>
      </c>
      <c r="C543" t="s">
        <v>30</v>
      </c>
      <c r="D543" t="s">
        <v>156</v>
      </c>
      <c r="E543" t="s">
        <v>26</v>
      </c>
      <c r="F543" t="s">
        <v>27</v>
      </c>
      <c r="G543" t="s">
        <v>28</v>
      </c>
      <c r="H543" s="3">
        <v>93982.48</v>
      </c>
      <c r="I543" s="4">
        <v>4</v>
      </c>
      <c r="J543" s="3">
        <v>13347.32</v>
      </c>
      <c r="K543" t="str">
        <f t="shared" si="16"/>
        <v>February</v>
      </c>
      <c r="L543">
        <f t="shared" si="17"/>
        <v>2024</v>
      </c>
    </row>
    <row r="544" spans="1:12" x14ac:dyDescent="0.3">
      <c r="A544" s="2">
        <v>45328</v>
      </c>
      <c r="B544" t="s">
        <v>78</v>
      </c>
      <c r="C544" t="s">
        <v>46</v>
      </c>
      <c r="D544" t="s">
        <v>156</v>
      </c>
      <c r="E544" t="s">
        <v>35</v>
      </c>
      <c r="F544" t="s">
        <v>63</v>
      </c>
      <c r="G544" t="s">
        <v>114</v>
      </c>
      <c r="H544" s="3">
        <v>55800.45</v>
      </c>
      <c r="I544" s="4">
        <v>2</v>
      </c>
      <c r="J544" s="3">
        <v>6989.97</v>
      </c>
      <c r="K544" t="str">
        <f t="shared" si="16"/>
        <v>February</v>
      </c>
      <c r="L544">
        <f t="shared" si="17"/>
        <v>2024</v>
      </c>
    </row>
    <row r="545" spans="1:12" x14ac:dyDescent="0.3">
      <c r="A545" s="2">
        <v>45330</v>
      </c>
      <c r="B545" t="s">
        <v>32</v>
      </c>
      <c r="C545" t="s">
        <v>62</v>
      </c>
      <c r="D545" t="s">
        <v>156</v>
      </c>
      <c r="E545" t="s">
        <v>18</v>
      </c>
      <c r="F545" t="s">
        <v>19</v>
      </c>
      <c r="G545" t="s">
        <v>72</v>
      </c>
      <c r="H545" s="3">
        <v>59936.97</v>
      </c>
      <c r="I545" s="4">
        <v>1</v>
      </c>
      <c r="J545" s="3">
        <v>4339.58</v>
      </c>
      <c r="K545" t="str">
        <f t="shared" si="16"/>
        <v>February</v>
      </c>
      <c r="L545">
        <f t="shared" si="17"/>
        <v>2024</v>
      </c>
    </row>
    <row r="546" spans="1:12" x14ac:dyDescent="0.3">
      <c r="A546" s="2">
        <v>45332</v>
      </c>
      <c r="B546" t="s">
        <v>109</v>
      </c>
      <c r="C546" t="s">
        <v>30</v>
      </c>
      <c r="D546" t="s">
        <v>156</v>
      </c>
      <c r="E546" t="s">
        <v>42</v>
      </c>
      <c r="F546" t="s">
        <v>90</v>
      </c>
      <c r="G546" t="s">
        <v>120</v>
      </c>
      <c r="H546" s="3">
        <v>5712.16</v>
      </c>
      <c r="I546" s="4">
        <v>1</v>
      </c>
      <c r="J546" s="3">
        <v>-374.06</v>
      </c>
      <c r="K546" t="str">
        <f t="shared" si="16"/>
        <v>February</v>
      </c>
      <c r="L546">
        <f t="shared" si="17"/>
        <v>2024</v>
      </c>
    </row>
    <row r="547" spans="1:12" x14ac:dyDescent="0.3">
      <c r="A547" s="2">
        <v>45332</v>
      </c>
      <c r="B547" t="s">
        <v>55</v>
      </c>
      <c r="C547" t="s">
        <v>68</v>
      </c>
      <c r="D547" t="s">
        <v>156</v>
      </c>
      <c r="E547" t="s">
        <v>18</v>
      </c>
      <c r="F547" t="s">
        <v>40</v>
      </c>
      <c r="G547" t="s">
        <v>102</v>
      </c>
      <c r="H547" s="3">
        <v>4391.32</v>
      </c>
      <c r="I547" s="4">
        <v>3</v>
      </c>
      <c r="J547" s="3">
        <v>716.34</v>
      </c>
      <c r="K547" t="str">
        <f t="shared" si="16"/>
        <v>February</v>
      </c>
      <c r="L547">
        <f t="shared" si="17"/>
        <v>2024</v>
      </c>
    </row>
    <row r="548" spans="1:12" x14ac:dyDescent="0.3">
      <c r="A548" s="2">
        <v>45333</v>
      </c>
      <c r="B548" t="s">
        <v>113</v>
      </c>
      <c r="C548" t="s">
        <v>46</v>
      </c>
      <c r="D548" t="s">
        <v>156</v>
      </c>
      <c r="E548" t="s">
        <v>26</v>
      </c>
      <c r="F548" t="s">
        <v>53</v>
      </c>
      <c r="G548" t="s">
        <v>104</v>
      </c>
      <c r="H548" s="3">
        <v>227414.35</v>
      </c>
      <c r="I548" s="4">
        <v>3</v>
      </c>
      <c r="J548" s="3">
        <v>20946.11</v>
      </c>
      <c r="K548" t="str">
        <f t="shared" si="16"/>
        <v>February</v>
      </c>
      <c r="L548">
        <f t="shared" si="17"/>
        <v>2024</v>
      </c>
    </row>
    <row r="549" spans="1:12" x14ac:dyDescent="0.3">
      <c r="A549" s="2">
        <v>45333</v>
      </c>
      <c r="B549" t="s">
        <v>113</v>
      </c>
      <c r="C549" t="s">
        <v>30</v>
      </c>
      <c r="D549" t="s">
        <v>156</v>
      </c>
      <c r="E549" t="s">
        <v>42</v>
      </c>
      <c r="F549" t="s">
        <v>43</v>
      </c>
      <c r="G549" t="s">
        <v>89</v>
      </c>
      <c r="H549" s="3">
        <v>32847.58</v>
      </c>
      <c r="I549" s="4">
        <v>1</v>
      </c>
      <c r="J549" s="3">
        <v>4911.76</v>
      </c>
      <c r="K549" t="str">
        <f t="shared" si="16"/>
        <v>February</v>
      </c>
      <c r="L549">
        <f t="shared" si="17"/>
        <v>2024</v>
      </c>
    </row>
    <row r="550" spans="1:12" x14ac:dyDescent="0.3">
      <c r="A550" s="2">
        <v>45334</v>
      </c>
      <c r="B550" t="s">
        <v>55</v>
      </c>
      <c r="C550" t="s">
        <v>66</v>
      </c>
      <c r="D550" t="s">
        <v>156</v>
      </c>
      <c r="E550" t="s">
        <v>13</v>
      </c>
      <c r="F550" t="s">
        <v>23</v>
      </c>
      <c r="G550" t="s">
        <v>108</v>
      </c>
      <c r="H550" s="3">
        <v>103398.91</v>
      </c>
      <c r="I550" s="4">
        <v>2</v>
      </c>
      <c r="J550" s="3">
        <v>10441.99</v>
      </c>
      <c r="K550" t="str">
        <f t="shared" si="16"/>
        <v>February</v>
      </c>
      <c r="L550">
        <f t="shared" si="17"/>
        <v>2024</v>
      </c>
    </row>
    <row r="551" spans="1:12" x14ac:dyDescent="0.3">
      <c r="A551" s="2">
        <v>45335</v>
      </c>
      <c r="B551" t="s">
        <v>71</v>
      </c>
      <c r="C551" t="s">
        <v>61</v>
      </c>
      <c r="D551" t="s">
        <v>156</v>
      </c>
      <c r="E551" t="s">
        <v>35</v>
      </c>
      <c r="F551" t="s">
        <v>36</v>
      </c>
      <c r="G551" t="s">
        <v>99</v>
      </c>
      <c r="H551" s="3">
        <v>37849.730000000003</v>
      </c>
      <c r="I551" s="4">
        <v>1</v>
      </c>
      <c r="J551" s="3">
        <v>7238.92</v>
      </c>
      <c r="K551" t="str">
        <f t="shared" si="16"/>
        <v>February</v>
      </c>
      <c r="L551">
        <f t="shared" si="17"/>
        <v>2024</v>
      </c>
    </row>
    <row r="552" spans="1:12" x14ac:dyDescent="0.3">
      <c r="A552" s="2">
        <v>45336</v>
      </c>
      <c r="B552" t="s">
        <v>95</v>
      </c>
      <c r="C552" t="s">
        <v>17</v>
      </c>
      <c r="D552" t="s">
        <v>156</v>
      </c>
      <c r="E552" t="s">
        <v>26</v>
      </c>
      <c r="F552" t="s">
        <v>53</v>
      </c>
      <c r="G552" t="s">
        <v>54</v>
      </c>
      <c r="H552" s="3">
        <v>165470.79999999999</v>
      </c>
      <c r="I552" s="4">
        <v>4</v>
      </c>
      <c r="J552" s="3">
        <v>26437.03</v>
      </c>
      <c r="K552" t="str">
        <f t="shared" si="16"/>
        <v>February</v>
      </c>
      <c r="L552">
        <f t="shared" si="17"/>
        <v>2024</v>
      </c>
    </row>
    <row r="553" spans="1:12" x14ac:dyDescent="0.3">
      <c r="A553" s="2">
        <v>45336</v>
      </c>
      <c r="B553" t="s">
        <v>74</v>
      </c>
      <c r="C553" t="s">
        <v>61</v>
      </c>
      <c r="D553" t="s">
        <v>156</v>
      </c>
      <c r="E553" t="s">
        <v>18</v>
      </c>
      <c r="F553" t="s">
        <v>19</v>
      </c>
      <c r="G553" t="s">
        <v>72</v>
      </c>
      <c r="H553" s="3">
        <v>59595.03</v>
      </c>
      <c r="I553" s="4">
        <v>1</v>
      </c>
      <c r="J553" s="3">
        <v>5632.01</v>
      </c>
      <c r="K553" t="str">
        <f t="shared" si="16"/>
        <v>February</v>
      </c>
      <c r="L553">
        <f t="shared" si="17"/>
        <v>2024</v>
      </c>
    </row>
    <row r="554" spans="1:12" x14ac:dyDescent="0.3">
      <c r="A554" s="2">
        <v>45337</v>
      </c>
      <c r="B554" t="s">
        <v>74</v>
      </c>
      <c r="C554" t="s">
        <v>68</v>
      </c>
      <c r="D554" t="s">
        <v>156</v>
      </c>
      <c r="E554" t="s">
        <v>42</v>
      </c>
      <c r="F554" t="s">
        <v>43</v>
      </c>
      <c r="G554" t="s">
        <v>87</v>
      </c>
      <c r="H554" s="3">
        <v>10453.280000000001</v>
      </c>
      <c r="I554" s="4">
        <v>1</v>
      </c>
      <c r="J554" s="3">
        <v>2185.2800000000002</v>
      </c>
      <c r="K554" t="str">
        <f t="shared" si="16"/>
        <v>February</v>
      </c>
      <c r="L554">
        <f t="shared" si="17"/>
        <v>2024</v>
      </c>
    </row>
    <row r="555" spans="1:12" x14ac:dyDescent="0.3">
      <c r="A555" s="2">
        <v>45338</v>
      </c>
      <c r="B555" t="s">
        <v>16</v>
      </c>
      <c r="C555" t="s">
        <v>12</v>
      </c>
      <c r="D555" t="s">
        <v>156</v>
      </c>
      <c r="E555" t="s">
        <v>35</v>
      </c>
      <c r="F555" t="s">
        <v>75</v>
      </c>
      <c r="G555" t="s">
        <v>110</v>
      </c>
      <c r="H555" s="3">
        <v>137782.31</v>
      </c>
      <c r="I555" s="4">
        <v>3</v>
      </c>
      <c r="J555" s="3">
        <v>15121.43</v>
      </c>
      <c r="K555" t="str">
        <f t="shared" si="16"/>
        <v>February</v>
      </c>
      <c r="L555">
        <f t="shared" si="17"/>
        <v>2024</v>
      </c>
    </row>
    <row r="556" spans="1:12" x14ac:dyDescent="0.3">
      <c r="A556" s="2">
        <v>45338</v>
      </c>
      <c r="B556" t="s">
        <v>29</v>
      </c>
      <c r="C556" t="s">
        <v>69</v>
      </c>
      <c r="D556" t="s">
        <v>156</v>
      </c>
      <c r="E556" t="s">
        <v>42</v>
      </c>
      <c r="F556" t="s">
        <v>43</v>
      </c>
      <c r="G556" t="s">
        <v>87</v>
      </c>
      <c r="H556" s="3">
        <v>9957.59</v>
      </c>
      <c r="I556" s="4">
        <v>1</v>
      </c>
      <c r="J556" s="3">
        <v>1088.5999999999999</v>
      </c>
      <c r="K556" t="str">
        <f t="shared" si="16"/>
        <v>February</v>
      </c>
      <c r="L556">
        <f t="shared" si="17"/>
        <v>2024</v>
      </c>
    </row>
    <row r="557" spans="1:12" x14ac:dyDescent="0.3">
      <c r="A557" s="2">
        <v>45338</v>
      </c>
      <c r="B557" t="s">
        <v>38</v>
      </c>
      <c r="C557" t="s">
        <v>30</v>
      </c>
      <c r="D557" t="s">
        <v>156</v>
      </c>
      <c r="E557" t="s">
        <v>13</v>
      </c>
      <c r="F557" t="s">
        <v>23</v>
      </c>
      <c r="G557" t="s">
        <v>77</v>
      </c>
      <c r="H557" s="3">
        <v>108769.11</v>
      </c>
      <c r="I557" s="4">
        <v>3</v>
      </c>
      <c r="J557" s="3">
        <v>8946.1</v>
      </c>
      <c r="K557" t="str">
        <f t="shared" si="16"/>
        <v>February</v>
      </c>
      <c r="L557">
        <f t="shared" si="17"/>
        <v>2024</v>
      </c>
    </row>
    <row r="558" spans="1:12" x14ac:dyDescent="0.3">
      <c r="A558" s="2">
        <v>45340</v>
      </c>
      <c r="B558" t="s">
        <v>83</v>
      </c>
      <c r="C558" t="s">
        <v>81</v>
      </c>
      <c r="D558" t="s">
        <v>156</v>
      </c>
      <c r="E558" t="s">
        <v>18</v>
      </c>
      <c r="F558" t="s">
        <v>19</v>
      </c>
      <c r="G558" t="s">
        <v>33</v>
      </c>
      <c r="H558" s="3">
        <v>54512.49</v>
      </c>
      <c r="I558" s="4">
        <v>1</v>
      </c>
      <c r="J558" s="3">
        <v>9208.74</v>
      </c>
      <c r="K558" t="str">
        <f t="shared" si="16"/>
        <v>February</v>
      </c>
      <c r="L558">
        <f t="shared" si="17"/>
        <v>2024</v>
      </c>
    </row>
    <row r="559" spans="1:12" x14ac:dyDescent="0.3">
      <c r="A559" s="2">
        <v>45341</v>
      </c>
      <c r="B559" t="s">
        <v>95</v>
      </c>
      <c r="C559" t="s">
        <v>17</v>
      </c>
      <c r="D559" t="s">
        <v>156</v>
      </c>
      <c r="E559" t="s">
        <v>26</v>
      </c>
      <c r="F559" t="s">
        <v>53</v>
      </c>
      <c r="G559" t="s">
        <v>104</v>
      </c>
      <c r="H559" s="3">
        <v>234691.9</v>
      </c>
      <c r="I559" s="4">
        <v>3</v>
      </c>
      <c r="J559" s="3">
        <v>34741.33</v>
      </c>
      <c r="K559" t="str">
        <f t="shared" si="16"/>
        <v>February</v>
      </c>
      <c r="L559">
        <f t="shared" si="17"/>
        <v>2024</v>
      </c>
    </row>
    <row r="560" spans="1:12" x14ac:dyDescent="0.3">
      <c r="A560" s="2">
        <v>45341</v>
      </c>
      <c r="B560" t="s">
        <v>113</v>
      </c>
      <c r="C560" t="s">
        <v>46</v>
      </c>
      <c r="D560" t="s">
        <v>156</v>
      </c>
      <c r="E560" t="s">
        <v>26</v>
      </c>
      <c r="F560" t="s">
        <v>53</v>
      </c>
      <c r="G560" t="s">
        <v>100</v>
      </c>
      <c r="H560" s="3">
        <v>95257.600000000006</v>
      </c>
      <c r="I560" s="4">
        <v>1</v>
      </c>
      <c r="J560" s="3">
        <v>8595.2999999999993</v>
      </c>
      <c r="K560" t="str">
        <f t="shared" si="16"/>
        <v>February</v>
      </c>
      <c r="L560">
        <f t="shared" si="17"/>
        <v>2024</v>
      </c>
    </row>
    <row r="561" spans="1:12" x14ac:dyDescent="0.3">
      <c r="A561" s="2">
        <v>45342</v>
      </c>
      <c r="B561" t="s">
        <v>109</v>
      </c>
      <c r="C561" t="s">
        <v>62</v>
      </c>
      <c r="D561" t="s">
        <v>156</v>
      </c>
      <c r="E561" t="s">
        <v>35</v>
      </c>
      <c r="F561" t="s">
        <v>75</v>
      </c>
      <c r="G561" t="s">
        <v>76</v>
      </c>
      <c r="H561" s="3">
        <v>201628.52</v>
      </c>
      <c r="I561" s="4">
        <v>5</v>
      </c>
      <c r="J561" s="3">
        <v>19453.02</v>
      </c>
      <c r="K561" t="str">
        <f t="shared" si="16"/>
        <v>February</v>
      </c>
      <c r="L561">
        <f t="shared" si="17"/>
        <v>2024</v>
      </c>
    </row>
    <row r="562" spans="1:12" x14ac:dyDescent="0.3">
      <c r="A562" s="2">
        <v>45342</v>
      </c>
      <c r="B562" t="s">
        <v>67</v>
      </c>
      <c r="C562" t="s">
        <v>56</v>
      </c>
      <c r="D562" t="s">
        <v>156</v>
      </c>
      <c r="E562" t="s">
        <v>26</v>
      </c>
      <c r="F562" t="s">
        <v>27</v>
      </c>
      <c r="G562" t="s">
        <v>82</v>
      </c>
      <c r="H562" s="3">
        <v>29392.73</v>
      </c>
      <c r="I562" s="4">
        <v>1</v>
      </c>
      <c r="J562" s="3">
        <v>4030.83</v>
      </c>
      <c r="K562" t="str">
        <f t="shared" si="16"/>
        <v>February</v>
      </c>
      <c r="L562">
        <f t="shared" si="17"/>
        <v>2024</v>
      </c>
    </row>
    <row r="563" spans="1:12" x14ac:dyDescent="0.3">
      <c r="A563" s="2">
        <v>45345</v>
      </c>
      <c r="B563" t="s">
        <v>11</v>
      </c>
      <c r="C563" t="s">
        <v>17</v>
      </c>
      <c r="D563" t="s">
        <v>156</v>
      </c>
      <c r="E563" t="s">
        <v>13</v>
      </c>
      <c r="F563" t="s">
        <v>14</v>
      </c>
      <c r="G563" t="s">
        <v>57</v>
      </c>
      <c r="H563" s="3">
        <v>1565.31</v>
      </c>
      <c r="I563" s="4">
        <v>1</v>
      </c>
      <c r="J563" s="3">
        <v>128.41999999999999</v>
      </c>
      <c r="K563" t="str">
        <f t="shared" si="16"/>
        <v>February</v>
      </c>
      <c r="L563">
        <f t="shared" si="17"/>
        <v>2024</v>
      </c>
    </row>
    <row r="564" spans="1:12" x14ac:dyDescent="0.3">
      <c r="A564" s="2">
        <v>45348</v>
      </c>
      <c r="B564" t="s">
        <v>11</v>
      </c>
      <c r="C564" t="s">
        <v>56</v>
      </c>
      <c r="D564" t="s">
        <v>156</v>
      </c>
      <c r="E564" t="s">
        <v>42</v>
      </c>
      <c r="F564" t="s">
        <v>43</v>
      </c>
      <c r="G564" t="s">
        <v>87</v>
      </c>
      <c r="H564" s="3">
        <v>32064.91</v>
      </c>
      <c r="I564" s="4">
        <v>3</v>
      </c>
      <c r="J564" s="3">
        <v>-2255.39</v>
      </c>
      <c r="K564" t="str">
        <f t="shared" si="16"/>
        <v>February</v>
      </c>
      <c r="L564">
        <f t="shared" si="17"/>
        <v>2024</v>
      </c>
    </row>
    <row r="565" spans="1:12" x14ac:dyDescent="0.3">
      <c r="A565" s="2">
        <v>45348</v>
      </c>
      <c r="B565" t="s">
        <v>16</v>
      </c>
      <c r="C565" t="s">
        <v>30</v>
      </c>
      <c r="D565" t="s">
        <v>156</v>
      </c>
      <c r="E565" t="s">
        <v>13</v>
      </c>
      <c r="F565" t="s">
        <v>14</v>
      </c>
      <c r="G565" t="s">
        <v>111</v>
      </c>
      <c r="H565" s="3">
        <v>1757.74</v>
      </c>
      <c r="I565" s="4">
        <v>1</v>
      </c>
      <c r="J565" s="3">
        <v>179.52</v>
      </c>
      <c r="K565" t="str">
        <f t="shared" si="16"/>
        <v>February</v>
      </c>
      <c r="L565">
        <f t="shared" si="17"/>
        <v>2024</v>
      </c>
    </row>
    <row r="566" spans="1:12" x14ac:dyDescent="0.3">
      <c r="A566" s="2">
        <v>45348</v>
      </c>
      <c r="B566" t="s">
        <v>60</v>
      </c>
      <c r="C566" t="s">
        <v>69</v>
      </c>
      <c r="D566" t="s">
        <v>156</v>
      </c>
      <c r="E566" t="s">
        <v>18</v>
      </c>
      <c r="F566" t="s">
        <v>19</v>
      </c>
      <c r="G566" t="s">
        <v>59</v>
      </c>
      <c r="H566" s="3">
        <v>91343.13</v>
      </c>
      <c r="I566" s="4">
        <v>2</v>
      </c>
      <c r="J566" s="3">
        <v>13520.69</v>
      </c>
      <c r="K566" t="str">
        <f t="shared" si="16"/>
        <v>February</v>
      </c>
      <c r="L566">
        <f t="shared" si="17"/>
        <v>2024</v>
      </c>
    </row>
    <row r="567" spans="1:12" x14ac:dyDescent="0.3">
      <c r="A567" s="2">
        <v>45349</v>
      </c>
      <c r="B567" t="s">
        <v>101</v>
      </c>
      <c r="C567" t="s">
        <v>58</v>
      </c>
      <c r="D567" t="s">
        <v>156</v>
      </c>
      <c r="E567" t="s">
        <v>26</v>
      </c>
      <c r="F567" t="s">
        <v>27</v>
      </c>
      <c r="G567" t="s">
        <v>94</v>
      </c>
      <c r="H567" s="3">
        <v>11525.38</v>
      </c>
      <c r="I567" s="4">
        <v>1</v>
      </c>
      <c r="J567" s="3">
        <v>1911.16</v>
      </c>
      <c r="K567" t="str">
        <f t="shared" si="16"/>
        <v>February</v>
      </c>
      <c r="L567">
        <f t="shared" si="17"/>
        <v>2024</v>
      </c>
    </row>
    <row r="568" spans="1:12" x14ac:dyDescent="0.3">
      <c r="A568" s="2">
        <v>45349</v>
      </c>
      <c r="B568" t="s">
        <v>65</v>
      </c>
      <c r="C568" t="s">
        <v>30</v>
      </c>
      <c r="D568" t="s">
        <v>156</v>
      </c>
      <c r="E568" t="s">
        <v>26</v>
      </c>
      <c r="F568" t="s">
        <v>27</v>
      </c>
      <c r="G568" t="s">
        <v>28</v>
      </c>
      <c r="H568" s="3">
        <v>84177.72</v>
      </c>
      <c r="I568" s="4">
        <v>4</v>
      </c>
      <c r="J568" s="3">
        <v>12448.21</v>
      </c>
      <c r="K568" t="str">
        <f t="shared" si="16"/>
        <v>February</v>
      </c>
      <c r="L568">
        <f t="shared" si="17"/>
        <v>2024</v>
      </c>
    </row>
    <row r="569" spans="1:12" x14ac:dyDescent="0.3">
      <c r="A569" s="2">
        <v>45350</v>
      </c>
      <c r="B569" t="s">
        <v>71</v>
      </c>
      <c r="C569" t="s">
        <v>39</v>
      </c>
      <c r="D569" t="s">
        <v>156</v>
      </c>
      <c r="E569" t="s">
        <v>35</v>
      </c>
      <c r="F569" t="s">
        <v>63</v>
      </c>
      <c r="G569" t="s">
        <v>114</v>
      </c>
      <c r="H569" s="3">
        <v>25069.46</v>
      </c>
      <c r="I569" s="4">
        <v>1</v>
      </c>
      <c r="J569" s="3">
        <v>3953.07</v>
      </c>
      <c r="K569" t="str">
        <f t="shared" si="16"/>
        <v>February</v>
      </c>
      <c r="L569">
        <f t="shared" si="17"/>
        <v>2024</v>
      </c>
    </row>
    <row r="570" spans="1:12" x14ac:dyDescent="0.3">
      <c r="A570" s="2">
        <v>45350</v>
      </c>
      <c r="B570" t="s">
        <v>52</v>
      </c>
      <c r="C570" t="s">
        <v>61</v>
      </c>
      <c r="D570" t="s">
        <v>156</v>
      </c>
      <c r="E570" t="s">
        <v>42</v>
      </c>
      <c r="F570" t="s">
        <v>90</v>
      </c>
      <c r="G570" t="s">
        <v>91</v>
      </c>
      <c r="H570" s="3">
        <v>1745.28</v>
      </c>
      <c r="I570" s="4">
        <v>1</v>
      </c>
      <c r="J570" s="3">
        <v>302.51</v>
      </c>
      <c r="K570" t="str">
        <f t="shared" si="16"/>
        <v>February</v>
      </c>
      <c r="L570">
        <f t="shared" si="17"/>
        <v>2024</v>
      </c>
    </row>
    <row r="571" spans="1:12" x14ac:dyDescent="0.3">
      <c r="A571" s="2">
        <v>45350</v>
      </c>
      <c r="B571" t="s">
        <v>78</v>
      </c>
      <c r="C571" t="s">
        <v>56</v>
      </c>
      <c r="D571" t="s">
        <v>156</v>
      </c>
      <c r="E571" t="s">
        <v>42</v>
      </c>
      <c r="F571" t="s">
        <v>90</v>
      </c>
      <c r="G571" t="s">
        <v>91</v>
      </c>
      <c r="H571" s="3">
        <v>3969.4</v>
      </c>
      <c r="I571" s="4">
        <v>2</v>
      </c>
      <c r="J571" s="3">
        <v>891.89</v>
      </c>
      <c r="K571" t="str">
        <f t="shared" si="16"/>
        <v>February</v>
      </c>
      <c r="L571">
        <f t="shared" si="17"/>
        <v>2024</v>
      </c>
    </row>
    <row r="572" spans="1:12" x14ac:dyDescent="0.3">
      <c r="A572" s="2">
        <v>45351</v>
      </c>
      <c r="B572" t="s">
        <v>29</v>
      </c>
      <c r="C572" t="s">
        <v>39</v>
      </c>
      <c r="D572" t="s">
        <v>156</v>
      </c>
      <c r="E572" t="s">
        <v>13</v>
      </c>
      <c r="F572" t="s">
        <v>14</v>
      </c>
      <c r="G572" t="s">
        <v>111</v>
      </c>
      <c r="H572" s="3">
        <v>3343.12</v>
      </c>
      <c r="I572" s="4">
        <v>2</v>
      </c>
      <c r="J572" s="3">
        <v>-123.05</v>
      </c>
      <c r="K572" t="str">
        <f t="shared" si="16"/>
        <v>February</v>
      </c>
      <c r="L572">
        <f t="shared" si="17"/>
        <v>2024</v>
      </c>
    </row>
    <row r="573" spans="1:12" x14ac:dyDescent="0.3">
      <c r="A573" s="2">
        <v>45352</v>
      </c>
      <c r="B573" t="s">
        <v>52</v>
      </c>
      <c r="C573" t="s">
        <v>81</v>
      </c>
      <c r="D573" t="s">
        <v>156</v>
      </c>
      <c r="E573" t="s">
        <v>18</v>
      </c>
      <c r="F573" t="s">
        <v>19</v>
      </c>
      <c r="G573" t="s">
        <v>33</v>
      </c>
      <c r="H573" s="3">
        <v>53128.84</v>
      </c>
      <c r="I573" s="4">
        <v>1</v>
      </c>
      <c r="J573" s="3">
        <v>4550.66</v>
      </c>
      <c r="K573" t="str">
        <f t="shared" si="16"/>
        <v>March</v>
      </c>
      <c r="L573">
        <f t="shared" si="17"/>
        <v>2024</v>
      </c>
    </row>
    <row r="574" spans="1:12" x14ac:dyDescent="0.3">
      <c r="A574" s="2">
        <v>45352</v>
      </c>
      <c r="B574" t="s">
        <v>93</v>
      </c>
      <c r="C574" t="s">
        <v>58</v>
      </c>
      <c r="D574" t="s">
        <v>156</v>
      </c>
      <c r="E574" t="s">
        <v>42</v>
      </c>
      <c r="F574" t="s">
        <v>90</v>
      </c>
      <c r="G574" t="s">
        <v>91</v>
      </c>
      <c r="H574" s="3">
        <v>1777.18</v>
      </c>
      <c r="I574" s="4">
        <v>1</v>
      </c>
      <c r="J574" s="3">
        <v>295.52999999999997</v>
      </c>
      <c r="K574" t="str">
        <f t="shared" si="16"/>
        <v>March</v>
      </c>
      <c r="L574">
        <f t="shared" si="17"/>
        <v>2024</v>
      </c>
    </row>
    <row r="575" spans="1:12" x14ac:dyDescent="0.3">
      <c r="A575" s="2">
        <v>45353</v>
      </c>
      <c r="B575" t="s">
        <v>60</v>
      </c>
      <c r="C575" t="s">
        <v>68</v>
      </c>
      <c r="D575" t="s">
        <v>156</v>
      </c>
      <c r="E575" t="s">
        <v>18</v>
      </c>
      <c r="F575" t="s">
        <v>40</v>
      </c>
      <c r="G575" t="s">
        <v>102</v>
      </c>
      <c r="H575" s="3">
        <v>2975.23</v>
      </c>
      <c r="I575" s="4">
        <v>2</v>
      </c>
      <c r="J575" s="3">
        <v>487.17</v>
      </c>
      <c r="K575" t="str">
        <f t="shared" si="16"/>
        <v>March</v>
      </c>
      <c r="L575">
        <f t="shared" si="17"/>
        <v>2024</v>
      </c>
    </row>
    <row r="576" spans="1:12" x14ac:dyDescent="0.3">
      <c r="A576" s="2">
        <v>45353</v>
      </c>
      <c r="B576" t="s">
        <v>95</v>
      </c>
      <c r="C576" t="s">
        <v>39</v>
      </c>
      <c r="D576" t="s">
        <v>156</v>
      </c>
      <c r="E576" t="s">
        <v>18</v>
      </c>
      <c r="F576" t="s">
        <v>40</v>
      </c>
      <c r="G576" t="s">
        <v>105</v>
      </c>
      <c r="H576" s="3">
        <v>9491.3700000000008</v>
      </c>
      <c r="I576" s="4">
        <v>4</v>
      </c>
      <c r="J576" s="3">
        <v>693.98</v>
      </c>
      <c r="K576" t="str">
        <f t="shared" si="16"/>
        <v>March</v>
      </c>
      <c r="L576">
        <f t="shared" si="17"/>
        <v>2024</v>
      </c>
    </row>
    <row r="577" spans="1:12" x14ac:dyDescent="0.3">
      <c r="A577" s="2">
        <v>45355</v>
      </c>
      <c r="B577" t="s">
        <v>86</v>
      </c>
      <c r="C577" t="s">
        <v>81</v>
      </c>
      <c r="D577" t="s">
        <v>156</v>
      </c>
      <c r="E577" t="s">
        <v>35</v>
      </c>
      <c r="F577" t="s">
        <v>63</v>
      </c>
      <c r="G577" t="s">
        <v>64</v>
      </c>
      <c r="H577" s="3">
        <v>58290.77</v>
      </c>
      <c r="I577" s="4">
        <v>2</v>
      </c>
      <c r="J577" s="3">
        <v>8522.94</v>
      </c>
      <c r="K577" t="str">
        <f t="shared" si="16"/>
        <v>March</v>
      </c>
      <c r="L577">
        <f t="shared" si="17"/>
        <v>2024</v>
      </c>
    </row>
    <row r="578" spans="1:12" x14ac:dyDescent="0.3">
      <c r="A578" s="2">
        <v>45356</v>
      </c>
      <c r="B578" t="s">
        <v>92</v>
      </c>
      <c r="C578" t="s">
        <v>69</v>
      </c>
      <c r="D578" t="s">
        <v>156</v>
      </c>
      <c r="E578" t="s">
        <v>26</v>
      </c>
      <c r="F578" t="s">
        <v>27</v>
      </c>
      <c r="G578" t="s">
        <v>94</v>
      </c>
      <c r="H578" s="3">
        <v>35462.239999999998</v>
      </c>
      <c r="I578" s="4">
        <v>3</v>
      </c>
      <c r="J578" s="3">
        <v>-1280.08</v>
      </c>
      <c r="K578" t="str">
        <f t="shared" si="16"/>
        <v>March</v>
      </c>
      <c r="L578">
        <f t="shared" si="17"/>
        <v>2024</v>
      </c>
    </row>
    <row r="579" spans="1:12" x14ac:dyDescent="0.3">
      <c r="A579" s="2">
        <v>45356</v>
      </c>
      <c r="B579" t="s">
        <v>83</v>
      </c>
      <c r="C579" t="s">
        <v>69</v>
      </c>
      <c r="D579" t="s">
        <v>156</v>
      </c>
      <c r="E579" t="s">
        <v>35</v>
      </c>
      <c r="F579" t="s">
        <v>75</v>
      </c>
      <c r="G579" t="s">
        <v>76</v>
      </c>
      <c r="H579" s="3">
        <v>191893.58</v>
      </c>
      <c r="I579" s="4">
        <v>5</v>
      </c>
      <c r="J579" s="3">
        <v>15387.84</v>
      </c>
      <c r="K579" t="str">
        <f t="shared" ref="K579:K642" si="18">TEXT(A579,"mmmm")</f>
        <v>March</v>
      </c>
      <c r="L579">
        <f t="shared" ref="L579:L642" si="19">YEAR(A579)</f>
        <v>2024</v>
      </c>
    </row>
    <row r="580" spans="1:12" x14ac:dyDescent="0.3">
      <c r="A580" s="2">
        <v>45356</v>
      </c>
      <c r="B580" t="s">
        <v>103</v>
      </c>
      <c r="C580" t="s">
        <v>49</v>
      </c>
      <c r="D580" t="s">
        <v>156</v>
      </c>
      <c r="E580" t="s">
        <v>26</v>
      </c>
      <c r="F580" t="s">
        <v>53</v>
      </c>
      <c r="G580" t="s">
        <v>104</v>
      </c>
      <c r="H580" s="3">
        <v>152366.20000000001</v>
      </c>
      <c r="I580" s="4">
        <v>2</v>
      </c>
      <c r="J580" s="3">
        <v>22524.57</v>
      </c>
      <c r="K580" t="str">
        <f t="shared" si="18"/>
        <v>March</v>
      </c>
      <c r="L580">
        <f t="shared" si="19"/>
        <v>2024</v>
      </c>
    </row>
    <row r="581" spans="1:12" x14ac:dyDescent="0.3">
      <c r="A581" s="2">
        <v>45358</v>
      </c>
      <c r="B581" t="s">
        <v>109</v>
      </c>
      <c r="C581" t="s">
        <v>69</v>
      </c>
      <c r="D581" t="s">
        <v>156</v>
      </c>
      <c r="E581" t="s">
        <v>18</v>
      </c>
      <c r="F581" t="s">
        <v>40</v>
      </c>
      <c r="G581" t="s">
        <v>41</v>
      </c>
      <c r="H581" s="3">
        <v>18375.099999999999</v>
      </c>
      <c r="I581" s="4">
        <v>1</v>
      </c>
      <c r="J581" s="3">
        <v>1527.23</v>
      </c>
      <c r="K581" t="str">
        <f t="shared" si="18"/>
        <v>March</v>
      </c>
      <c r="L581">
        <f t="shared" si="19"/>
        <v>2024</v>
      </c>
    </row>
    <row r="582" spans="1:12" x14ac:dyDescent="0.3">
      <c r="A582" s="2">
        <v>45358</v>
      </c>
      <c r="B582" t="s">
        <v>109</v>
      </c>
      <c r="C582" t="s">
        <v>17</v>
      </c>
      <c r="D582" t="s">
        <v>156</v>
      </c>
      <c r="E582" t="s">
        <v>18</v>
      </c>
      <c r="F582" t="s">
        <v>40</v>
      </c>
      <c r="G582" t="s">
        <v>105</v>
      </c>
      <c r="H582" s="3">
        <v>2424.5100000000002</v>
      </c>
      <c r="I582" s="4">
        <v>1</v>
      </c>
      <c r="J582" s="3">
        <v>239.5</v>
      </c>
      <c r="K582" t="str">
        <f t="shared" si="18"/>
        <v>March</v>
      </c>
      <c r="L582">
        <f t="shared" si="19"/>
        <v>2024</v>
      </c>
    </row>
    <row r="583" spans="1:12" x14ac:dyDescent="0.3">
      <c r="A583" s="2">
        <v>45360</v>
      </c>
      <c r="B583" t="s">
        <v>29</v>
      </c>
      <c r="C583" t="s">
        <v>81</v>
      </c>
      <c r="D583" t="s">
        <v>156</v>
      </c>
      <c r="E583" t="s">
        <v>26</v>
      </c>
      <c r="F583" t="s">
        <v>53</v>
      </c>
      <c r="G583" t="s">
        <v>54</v>
      </c>
      <c r="H583" s="3">
        <v>37703.839999999997</v>
      </c>
      <c r="I583" s="4">
        <v>1</v>
      </c>
      <c r="J583" s="3">
        <v>3777.62</v>
      </c>
      <c r="K583" t="str">
        <f t="shared" si="18"/>
        <v>March</v>
      </c>
      <c r="L583">
        <f t="shared" si="19"/>
        <v>2024</v>
      </c>
    </row>
    <row r="584" spans="1:12" x14ac:dyDescent="0.3">
      <c r="A584" s="2">
        <v>45361</v>
      </c>
      <c r="B584" t="s">
        <v>86</v>
      </c>
      <c r="C584" t="s">
        <v>39</v>
      </c>
      <c r="D584" t="s">
        <v>156</v>
      </c>
      <c r="E584" t="s">
        <v>26</v>
      </c>
      <c r="F584" t="s">
        <v>27</v>
      </c>
      <c r="G584" t="s">
        <v>94</v>
      </c>
      <c r="H584" s="3">
        <v>36836.6</v>
      </c>
      <c r="I584" s="4">
        <v>3</v>
      </c>
      <c r="J584" s="3">
        <v>4813.3999999999996</v>
      </c>
      <c r="K584" t="str">
        <f t="shared" si="18"/>
        <v>March</v>
      </c>
      <c r="L584">
        <f t="shared" si="19"/>
        <v>2024</v>
      </c>
    </row>
    <row r="585" spans="1:12" x14ac:dyDescent="0.3">
      <c r="A585" s="2">
        <v>45361</v>
      </c>
      <c r="B585" t="s">
        <v>16</v>
      </c>
      <c r="C585" t="s">
        <v>68</v>
      </c>
      <c r="D585" t="s">
        <v>156</v>
      </c>
      <c r="E585" t="s">
        <v>35</v>
      </c>
      <c r="F585" t="s">
        <v>75</v>
      </c>
      <c r="G585" t="s">
        <v>76</v>
      </c>
      <c r="H585" s="3">
        <v>44514.21</v>
      </c>
      <c r="I585" s="4">
        <v>1</v>
      </c>
      <c r="J585" s="3">
        <v>5339.19</v>
      </c>
      <c r="K585" t="str">
        <f t="shared" si="18"/>
        <v>March</v>
      </c>
      <c r="L585">
        <f t="shared" si="19"/>
        <v>2024</v>
      </c>
    </row>
    <row r="586" spans="1:12" x14ac:dyDescent="0.3">
      <c r="A586" s="2">
        <v>45361</v>
      </c>
      <c r="B586" t="s">
        <v>95</v>
      </c>
      <c r="C586" t="s">
        <v>66</v>
      </c>
      <c r="D586" t="s">
        <v>156</v>
      </c>
      <c r="E586" t="s">
        <v>42</v>
      </c>
      <c r="F586" t="s">
        <v>90</v>
      </c>
      <c r="G586" t="s">
        <v>97</v>
      </c>
      <c r="H586" s="3">
        <v>9553.09</v>
      </c>
      <c r="I586" s="4">
        <v>4</v>
      </c>
      <c r="J586" s="3">
        <v>1621.5</v>
      </c>
      <c r="K586" t="str">
        <f t="shared" si="18"/>
        <v>March</v>
      </c>
      <c r="L586">
        <f t="shared" si="19"/>
        <v>2024</v>
      </c>
    </row>
    <row r="587" spans="1:12" x14ac:dyDescent="0.3">
      <c r="A587" s="2">
        <v>45362</v>
      </c>
      <c r="B587" t="s">
        <v>95</v>
      </c>
      <c r="C587" t="s">
        <v>56</v>
      </c>
      <c r="D587" t="s">
        <v>156</v>
      </c>
      <c r="E587" t="s">
        <v>42</v>
      </c>
      <c r="F587" t="s">
        <v>43</v>
      </c>
      <c r="G587" t="s">
        <v>87</v>
      </c>
      <c r="H587" s="3">
        <v>10845.46</v>
      </c>
      <c r="I587" s="4">
        <v>1</v>
      </c>
      <c r="J587" s="3">
        <v>1190.73</v>
      </c>
      <c r="K587" t="str">
        <f t="shared" si="18"/>
        <v>March</v>
      </c>
      <c r="L587">
        <f t="shared" si="19"/>
        <v>2024</v>
      </c>
    </row>
    <row r="588" spans="1:12" x14ac:dyDescent="0.3">
      <c r="A588" s="2">
        <v>45362</v>
      </c>
      <c r="B588" t="s">
        <v>16</v>
      </c>
      <c r="C588" t="s">
        <v>69</v>
      </c>
      <c r="D588" t="s">
        <v>156</v>
      </c>
      <c r="E588" t="s">
        <v>35</v>
      </c>
      <c r="F588" t="s">
        <v>63</v>
      </c>
      <c r="G588" t="s">
        <v>64</v>
      </c>
      <c r="H588" s="3">
        <v>28851.31</v>
      </c>
      <c r="I588" s="4">
        <v>1</v>
      </c>
      <c r="J588" s="3">
        <v>5592.08</v>
      </c>
      <c r="K588" t="str">
        <f t="shared" si="18"/>
        <v>March</v>
      </c>
      <c r="L588">
        <f t="shared" si="19"/>
        <v>2024</v>
      </c>
    </row>
    <row r="589" spans="1:12" x14ac:dyDescent="0.3">
      <c r="A589" s="2">
        <v>45363</v>
      </c>
      <c r="B589" t="s">
        <v>52</v>
      </c>
      <c r="C589" t="s">
        <v>69</v>
      </c>
      <c r="D589" t="s">
        <v>156</v>
      </c>
      <c r="E589" t="s">
        <v>26</v>
      </c>
      <c r="F589" t="s">
        <v>27</v>
      </c>
      <c r="G589" t="s">
        <v>31</v>
      </c>
      <c r="H589" s="3">
        <v>29502.35</v>
      </c>
      <c r="I589" s="4">
        <v>3</v>
      </c>
      <c r="J589" s="3">
        <v>2656.58</v>
      </c>
      <c r="K589" t="str">
        <f t="shared" si="18"/>
        <v>March</v>
      </c>
      <c r="L589">
        <f t="shared" si="19"/>
        <v>2024</v>
      </c>
    </row>
    <row r="590" spans="1:12" x14ac:dyDescent="0.3">
      <c r="A590" s="2">
        <v>45363</v>
      </c>
      <c r="B590" t="s">
        <v>92</v>
      </c>
      <c r="C590" t="s">
        <v>66</v>
      </c>
      <c r="D590" t="s">
        <v>156</v>
      </c>
      <c r="E590" t="s">
        <v>42</v>
      </c>
      <c r="F590" t="s">
        <v>90</v>
      </c>
      <c r="G590" t="s">
        <v>97</v>
      </c>
      <c r="H590" s="3">
        <v>2375.8000000000002</v>
      </c>
      <c r="I590" s="4">
        <v>1</v>
      </c>
      <c r="J590" s="3">
        <v>489.55</v>
      </c>
      <c r="K590" t="str">
        <f t="shared" si="18"/>
        <v>March</v>
      </c>
      <c r="L590">
        <f t="shared" si="19"/>
        <v>2024</v>
      </c>
    </row>
    <row r="591" spans="1:12" x14ac:dyDescent="0.3">
      <c r="A591" s="2">
        <v>45363</v>
      </c>
      <c r="B591" t="s">
        <v>11</v>
      </c>
      <c r="C591" t="s">
        <v>58</v>
      </c>
      <c r="D591" t="s">
        <v>156</v>
      </c>
      <c r="E591" t="s">
        <v>18</v>
      </c>
      <c r="F591" t="s">
        <v>40</v>
      </c>
      <c r="G591" t="s">
        <v>102</v>
      </c>
      <c r="H591" s="3">
        <v>1276.1099999999999</v>
      </c>
      <c r="I591" s="4">
        <v>1</v>
      </c>
      <c r="J591" s="3">
        <v>-44.73</v>
      </c>
      <c r="K591" t="str">
        <f t="shared" si="18"/>
        <v>March</v>
      </c>
      <c r="L591">
        <f t="shared" si="19"/>
        <v>2024</v>
      </c>
    </row>
    <row r="592" spans="1:12" x14ac:dyDescent="0.3">
      <c r="A592" s="2">
        <v>45364</v>
      </c>
      <c r="B592" t="s">
        <v>93</v>
      </c>
      <c r="C592" t="s">
        <v>68</v>
      </c>
      <c r="D592" t="s">
        <v>156</v>
      </c>
      <c r="E592" t="s">
        <v>13</v>
      </c>
      <c r="F592" t="s">
        <v>23</v>
      </c>
      <c r="G592" t="s">
        <v>108</v>
      </c>
      <c r="H592" s="3">
        <v>55782.52</v>
      </c>
      <c r="I592" s="4">
        <v>1</v>
      </c>
      <c r="J592" s="3">
        <v>7998.47</v>
      </c>
      <c r="K592" t="str">
        <f t="shared" si="18"/>
        <v>March</v>
      </c>
      <c r="L592">
        <f t="shared" si="19"/>
        <v>2024</v>
      </c>
    </row>
    <row r="593" spans="1:12" x14ac:dyDescent="0.3">
      <c r="A593" s="2">
        <v>45364</v>
      </c>
      <c r="B593" t="s">
        <v>74</v>
      </c>
      <c r="C593" t="s">
        <v>46</v>
      </c>
      <c r="D593" t="s">
        <v>156</v>
      </c>
      <c r="E593" t="s">
        <v>13</v>
      </c>
      <c r="F593" t="s">
        <v>14</v>
      </c>
      <c r="G593" t="s">
        <v>111</v>
      </c>
      <c r="H593" s="3">
        <v>7475.71</v>
      </c>
      <c r="I593" s="4">
        <v>4</v>
      </c>
      <c r="J593" s="3">
        <v>737.93</v>
      </c>
      <c r="K593" t="str">
        <f t="shared" si="18"/>
        <v>March</v>
      </c>
      <c r="L593">
        <f t="shared" si="19"/>
        <v>2024</v>
      </c>
    </row>
    <row r="594" spans="1:12" x14ac:dyDescent="0.3">
      <c r="A594" s="2">
        <v>45364</v>
      </c>
      <c r="B594" t="s">
        <v>48</v>
      </c>
      <c r="C594" t="s">
        <v>61</v>
      </c>
      <c r="D594" t="s">
        <v>156</v>
      </c>
      <c r="E594" t="s">
        <v>35</v>
      </c>
      <c r="F594" t="s">
        <v>63</v>
      </c>
      <c r="G594" t="s">
        <v>114</v>
      </c>
      <c r="H594" s="3">
        <v>56737.62</v>
      </c>
      <c r="I594" s="4">
        <v>2</v>
      </c>
      <c r="J594" s="3">
        <v>10209.74</v>
      </c>
      <c r="K594" t="str">
        <f t="shared" si="18"/>
        <v>March</v>
      </c>
      <c r="L594">
        <f t="shared" si="19"/>
        <v>2024</v>
      </c>
    </row>
    <row r="595" spans="1:12" x14ac:dyDescent="0.3">
      <c r="A595" s="2">
        <v>45365</v>
      </c>
      <c r="B595" t="s">
        <v>83</v>
      </c>
      <c r="C595" t="s">
        <v>17</v>
      </c>
      <c r="D595" t="s">
        <v>156</v>
      </c>
      <c r="E595" t="s">
        <v>35</v>
      </c>
      <c r="F595" t="s">
        <v>75</v>
      </c>
      <c r="G595" t="s">
        <v>107</v>
      </c>
      <c r="H595" s="3">
        <v>71808.67</v>
      </c>
      <c r="I595" s="4">
        <v>2</v>
      </c>
      <c r="J595" s="3">
        <v>13997.64</v>
      </c>
      <c r="K595" t="str">
        <f t="shared" si="18"/>
        <v>March</v>
      </c>
      <c r="L595">
        <f t="shared" si="19"/>
        <v>2024</v>
      </c>
    </row>
    <row r="596" spans="1:12" x14ac:dyDescent="0.3">
      <c r="A596" s="2">
        <v>45365</v>
      </c>
      <c r="B596" t="s">
        <v>21</v>
      </c>
      <c r="C596" t="s">
        <v>12</v>
      </c>
      <c r="D596" t="s">
        <v>156</v>
      </c>
      <c r="E596" t="s">
        <v>13</v>
      </c>
      <c r="F596" t="s">
        <v>14</v>
      </c>
      <c r="G596" t="s">
        <v>15</v>
      </c>
      <c r="H596" s="3">
        <v>2397.39</v>
      </c>
      <c r="I596" s="4">
        <v>1</v>
      </c>
      <c r="J596" s="3">
        <v>304.13</v>
      </c>
      <c r="K596" t="str">
        <f t="shared" si="18"/>
        <v>March</v>
      </c>
      <c r="L596">
        <f t="shared" si="19"/>
        <v>2024</v>
      </c>
    </row>
    <row r="597" spans="1:12" x14ac:dyDescent="0.3">
      <c r="A597" s="2">
        <v>45365</v>
      </c>
      <c r="B597" t="s">
        <v>32</v>
      </c>
      <c r="C597" t="s">
        <v>39</v>
      </c>
      <c r="D597" t="s">
        <v>156</v>
      </c>
      <c r="E597" t="s">
        <v>18</v>
      </c>
      <c r="F597" t="s">
        <v>19</v>
      </c>
      <c r="G597" t="s">
        <v>59</v>
      </c>
      <c r="H597" s="3">
        <v>100277.91</v>
      </c>
      <c r="I597" s="4">
        <v>2</v>
      </c>
      <c r="J597" s="3">
        <v>14931.03</v>
      </c>
      <c r="K597" t="str">
        <f t="shared" si="18"/>
        <v>March</v>
      </c>
      <c r="L597">
        <f t="shared" si="19"/>
        <v>2024</v>
      </c>
    </row>
    <row r="598" spans="1:12" x14ac:dyDescent="0.3">
      <c r="A598" s="2">
        <v>45366</v>
      </c>
      <c r="B598" t="s">
        <v>83</v>
      </c>
      <c r="C598" t="s">
        <v>61</v>
      </c>
      <c r="D598" t="s">
        <v>156</v>
      </c>
      <c r="E598" t="s">
        <v>18</v>
      </c>
      <c r="F598" t="s">
        <v>40</v>
      </c>
      <c r="G598" t="s">
        <v>41</v>
      </c>
      <c r="H598" s="3">
        <v>56614.68</v>
      </c>
      <c r="I598" s="4">
        <v>3</v>
      </c>
      <c r="J598" s="3">
        <v>7468.48</v>
      </c>
      <c r="K598" t="str">
        <f t="shared" si="18"/>
        <v>March</v>
      </c>
      <c r="L598">
        <f t="shared" si="19"/>
        <v>2024</v>
      </c>
    </row>
    <row r="599" spans="1:12" x14ac:dyDescent="0.3">
      <c r="A599" s="2">
        <v>45367</v>
      </c>
      <c r="B599" t="s">
        <v>92</v>
      </c>
      <c r="C599" t="s">
        <v>62</v>
      </c>
      <c r="D599" t="s">
        <v>156</v>
      </c>
      <c r="E599" t="s">
        <v>13</v>
      </c>
      <c r="F599" t="s">
        <v>23</v>
      </c>
      <c r="G599" t="s">
        <v>108</v>
      </c>
      <c r="H599" s="3">
        <v>50846.21</v>
      </c>
      <c r="I599" s="4">
        <v>1</v>
      </c>
      <c r="J599" s="3">
        <v>5813.52</v>
      </c>
      <c r="K599" t="str">
        <f t="shared" si="18"/>
        <v>March</v>
      </c>
      <c r="L599">
        <f t="shared" si="19"/>
        <v>2024</v>
      </c>
    </row>
    <row r="600" spans="1:12" x14ac:dyDescent="0.3">
      <c r="A600" s="2">
        <v>45367</v>
      </c>
      <c r="B600" t="s">
        <v>109</v>
      </c>
      <c r="C600" t="s">
        <v>58</v>
      </c>
      <c r="D600" t="s">
        <v>156</v>
      </c>
      <c r="E600" t="s">
        <v>26</v>
      </c>
      <c r="F600" t="s">
        <v>27</v>
      </c>
      <c r="G600" t="s">
        <v>94</v>
      </c>
      <c r="H600" s="3">
        <v>36198.129999999997</v>
      </c>
      <c r="I600" s="4">
        <v>3</v>
      </c>
      <c r="J600" s="3">
        <v>5536.91</v>
      </c>
      <c r="K600" t="str">
        <f t="shared" si="18"/>
        <v>March</v>
      </c>
      <c r="L600">
        <f t="shared" si="19"/>
        <v>2024</v>
      </c>
    </row>
    <row r="601" spans="1:12" x14ac:dyDescent="0.3">
      <c r="A601" s="2">
        <v>45367</v>
      </c>
      <c r="B601" t="s">
        <v>48</v>
      </c>
      <c r="C601" t="s">
        <v>68</v>
      </c>
      <c r="D601" t="s">
        <v>156</v>
      </c>
      <c r="E601" t="s">
        <v>35</v>
      </c>
      <c r="F601" t="s">
        <v>75</v>
      </c>
      <c r="G601" t="s">
        <v>76</v>
      </c>
      <c r="H601" s="3">
        <v>39146.370000000003</v>
      </c>
      <c r="I601" s="4">
        <v>1</v>
      </c>
      <c r="J601" s="3">
        <v>6780.94</v>
      </c>
      <c r="K601" t="str">
        <f t="shared" si="18"/>
        <v>March</v>
      </c>
      <c r="L601">
        <f t="shared" si="19"/>
        <v>2024</v>
      </c>
    </row>
    <row r="602" spans="1:12" x14ac:dyDescent="0.3">
      <c r="A602" s="2">
        <v>45367</v>
      </c>
      <c r="B602" t="s">
        <v>45</v>
      </c>
      <c r="C602" t="s">
        <v>62</v>
      </c>
      <c r="D602" t="s">
        <v>156</v>
      </c>
      <c r="E602" t="s">
        <v>18</v>
      </c>
      <c r="F602" t="s">
        <v>19</v>
      </c>
      <c r="G602" t="s">
        <v>20</v>
      </c>
      <c r="H602" s="3">
        <v>64091.040000000001</v>
      </c>
      <c r="I602" s="4">
        <v>1</v>
      </c>
      <c r="J602" s="3">
        <v>4556.24</v>
      </c>
      <c r="K602" t="str">
        <f t="shared" si="18"/>
        <v>March</v>
      </c>
      <c r="L602">
        <f t="shared" si="19"/>
        <v>2024</v>
      </c>
    </row>
    <row r="603" spans="1:12" x14ac:dyDescent="0.3">
      <c r="A603" s="2">
        <v>45367</v>
      </c>
      <c r="B603" t="s">
        <v>34</v>
      </c>
      <c r="C603" t="s">
        <v>17</v>
      </c>
      <c r="D603" t="s">
        <v>156</v>
      </c>
      <c r="E603" t="s">
        <v>35</v>
      </c>
      <c r="F603" t="s">
        <v>75</v>
      </c>
      <c r="G603" t="s">
        <v>76</v>
      </c>
      <c r="H603" s="3">
        <v>43690.9</v>
      </c>
      <c r="I603" s="4">
        <v>1</v>
      </c>
      <c r="J603" s="3">
        <v>7285.1</v>
      </c>
      <c r="K603" t="str">
        <f t="shared" si="18"/>
        <v>March</v>
      </c>
      <c r="L603">
        <f t="shared" si="19"/>
        <v>2024</v>
      </c>
    </row>
    <row r="604" spans="1:12" x14ac:dyDescent="0.3">
      <c r="A604" s="2">
        <v>45368</v>
      </c>
      <c r="B604" t="s">
        <v>101</v>
      </c>
      <c r="C604" t="s">
        <v>12</v>
      </c>
      <c r="D604" t="s">
        <v>156</v>
      </c>
      <c r="E604" t="s">
        <v>35</v>
      </c>
      <c r="F604" t="s">
        <v>63</v>
      </c>
      <c r="G604" t="s">
        <v>64</v>
      </c>
      <c r="H604" s="3">
        <v>60988.39</v>
      </c>
      <c r="I604" s="4">
        <v>2</v>
      </c>
      <c r="J604" s="3">
        <v>7516.01</v>
      </c>
      <c r="K604" t="str">
        <f t="shared" si="18"/>
        <v>March</v>
      </c>
      <c r="L604">
        <f t="shared" si="19"/>
        <v>2024</v>
      </c>
    </row>
    <row r="605" spans="1:12" x14ac:dyDescent="0.3">
      <c r="A605" s="2">
        <v>45369</v>
      </c>
      <c r="B605" t="s">
        <v>101</v>
      </c>
      <c r="C605" t="s">
        <v>56</v>
      </c>
      <c r="D605" t="s">
        <v>156</v>
      </c>
      <c r="E605" t="s">
        <v>26</v>
      </c>
      <c r="F605" t="s">
        <v>27</v>
      </c>
      <c r="G605" t="s">
        <v>82</v>
      </c>
      <c r="H605" s="3">
        <v>93709.17</v>
      </c>
      <c r="I605" s="4">
        <v>3</v>
      </c>
      <c r="J605" s="3">
        <v>10095.049999999999</v>
      </c>
      <c r="K605" t="str">
        <f t="shared" si="18"/>
        <v>March</v>
      </c>
      <c r="L605">
        <f t="shared" si="19"/>
        <v>2024</v>
      </c>
    </row>
    <row r="606" spans="1:12" x14ac:dyDescent="0.3">
      <c r="A606" s="2">
        <v>45369</v>
      </c>
      <c r="B606" t="s">
        <v>80</v>
      </c>
      <c r="C606" t="s">
        <v>12</v>
      </c>
      <c r="D606" t="s">
        <v>156</v>
      </c>
      <c r="E606" t="s">
        <v>26</v>
      </c>
      <c r="F606" t="s">
        <v>53</v>
      </c>
      <c r="G606" t="s">
        <v>104</v>
      </c>
      <c r="H606" s="3">
        <v>219273.62</v>
      </c>
      <c r="I606" s="4">
        <v>3</v>
      </c>
      <c r="J606" s="3">
        <v>37569.33</v>
      </c>
      <c r="K606" t="str">
        <f t="shared" si="18"/>
        <v>March</v>
      </c>
      <c r="L606">
        <f t="shared" si="19"/>
        <v>2024</v>
      </c>
    </row>
    <row r="607" spans="1:12" x14ac:dyDescent="0.3">
      <c r="A607" s="2">
        <v>45369</v>
      </c>
      <c r="B607" t="s">
        <v>83</v>
      </c>
      <c r="C607" t="s">
        <v>46</v>
      </c>
      <c r="D607" t="s">
        <v>156</v>
      </c>
      <c r="E607" t="s">
        <v>35</v>
      </c>
      <c r="F607" t="s">
        <v>36</v>
      </c>
      <c r="G607" t="s">
        <v>99</v>
      </c>
      <c r="H607" s="3">
        <v>36695.089999999997</v>
      </c>
      <c r="I607" s="4">
        <v>1</v>
      </c>
      <c r="J607" s="3">
        <v>3790.55</v>
      </c>
      <c r="K607" t="str">
        <f t="shared" si="18"/>
        <v>March</v>
      </c>
      <c r="L607">
        <f t="shared" si="19"/>
        <v>2024</v>
      </c>
    </row>
    <row r="608" spans="1:12" x14ac:dyDescent="0.3">
      <c r="A608" s="2">
        <v>45369</v>
      </c>
      <c r="B608" t="s">
        <v>93</v>
      </c>
      <c r="C608" t="s">
        <v>62</v>
      </c>
      <c r="D608" t="s">
        <v>156</v>
      </c>
      <c r="E608" t="s">
        <v>13</v>
      </c>
      <c r="F608" t="s">
        <v>23</v>
      </c>
      <c r="G608" t="s">
        <v>79</v>
      </c>
      <c r="H608" s="3">
        <v>67134.97</v>
      </c>
      <c r="I608" s="4">
        <v>1</v>
      </c>
      <c r="J608" s="3">
        <v>8425.23</v>
      </c>
      <c r="K608" t="str">
        <f t="shared" si="18"/>
        <v>March</v>
      </c>
      <c r="L608">
        <f t="shared" si="19"/>
        <v>2024</v>
      </c>
    </row>
    <row r="609" spans="1:12" x14ac:dyDescent="0.3">
      <c r="A609" s="2">
        <v>45371</v>
      </c>
      <c r="B609" t="s">
        <v>34</v>
      </c>
      <c r="C609" t="s">
        <v>39</v>
      </c>
      <c r="D609" t="s">
        <v>156</v>
      </c>
      <c r="E609" t="s">
        <v>13</v>
      </c>
      <c r="F609" t="s">
        <v>23</v>
      </c>
      <c r="G609" t="s">
        <v>79</v>
      </c>
      <c r="H609" s="3">
        <v>204796.52</v>
      </c>
      <c r="I609" s="4">
        <v>3</v>
      </c>
      <c r="J609" s="3">
        <v>24386.25</v>
      </c>
      <c r="K609" t="str">
        <f t="shared" si="18"/>
        <v>March</v>
      </c>
      <c r="L609">
        <f t="shared" si="19"/>
        <v>2024</v>
      </c>
    </row>
    <row r="610" spans="1:12" x14ac:dyDescent="0.3">
      <c r="A610" s="2">
        <v>45372</v>
      </c>
      <c r="B610" t="s">
        <v>103</v>
      </c>
      <c r="C610" t="s">
        <v>81</v>
      </c>
      <c r="D610" t="s">
        <v>156</v>
      </c>
      <c r="E610" t="s">
        <v>42</v>
      </c>
      <c r="F610" t="s">
        <v>43</v>
      </c>
      <c r="G610" t="s">
        <v>44</v>
      </c>
      <c r="H610" s="3">
        <v>13175.8</v>
      </c>
      <c r="I610" s="4">
        <v>1</v>
      </c>
      <c r="J610" s="3">
        <v>3127.76</v>
      </c>
      <c r="K610" t="str">
        <f t="shared" si="18"/>
        <v>March</v>
      </c>
      <c r="L610">
        <f t="shared" si="19"/>
        <v>2024</v>
      </c>
    </row>
    <row r="611" spans="1:12" x14ac:dyDescent="0.3">
      <c r="A611" s="2">
        <v>45374</v>
      </c>
      <c r="B611" t="s">
        <v>80</v>
      </c>
      <c r="C611" t="s">
        <v>58</v>
      </c>
      <c r="D611" t="s">
        <v>156</v>
      </c>
      <c r="E611" t="s">
        <v>18</v>
      </c>
      <c r="F611" t="s">
        <v>19</v>
      </c>
      <c r="G611" t="s">
        <v>106</v>
      </c>
      <c r="H611" s="3">
        <v>166362.82999999999</v>
      </c>
      <c r="I611" s="4">
        <v>2</v>
      </c>
      <c r="J611" s="3">
        <v>26830.19</v>
      </c>
      <c r="K611" t="str">
        <f t="shared" si="18"/>
        <v>March</v>
      </c>
      <c r="L611">
        <f t="shared" si="19"/>
        <v>2024</v>
      </c>
    </row>
    <row r="612" spans="1:12" x14ac:dyDescent="0.3">
      <c r="A612" s="2">
        <v>45375</v>
      </c>
      <c r="B612" t="s">
        <v>74</v>
      </c>
      <c r="C612" t="s">
        <v>39</v>
      </c>
      <c r="D612" t="s">
        <v>156</v>
      </c>
      <c r="E612" t="s">
        <v>13</v>
      </c>
      <c r="F612" t="s">
        <v>14</v>
      </c>
      <c r="G612" t="s">
        <v>57</v>
      </c>
      <c r="H612" s="3">
        <v>1613.61</v>
      </c>
      <c r="I612" s="4">
        <v>1</v>
      </c>
      <c r="J612" s="3">
        <v>121</v>
      </c>
      <c r="K612" t="str">
        <f t="shared" si="18"/>
        <v>March</v>
      </c>
      <c r="L612">
        <f t="shared" si="19"/>
        <v>2024</v>
      </c>
    </row>
    <row r="613" spans="1:12" x14ac:dyDescent="0.3">
      <c r="A613" s="2">
        <v>45376</v>
      </c>
      <c r="B613" t="s">
        <v>45</v>
      </c>
      <c r="C613" t="s">
        <v>62</v>
      </c>
      <c r="D613" t="s">
        <v>156</v>
      </c>
      <c r="E613" t="s">
        <v>13</v>
      </c>
      <c r="F613" t="s">
        <v>23</v>
      </c>
      <c r="G613" t="s">
        <v>79</v>
      </c>
      <c r="H613" s="3">
        <v>194557.63</v>
      </c>
      <c r="I613" s="4">
        <v>3</v>
      </c>
      <c r="J613" s="3">
        <v>12832.43</v>
      </c>
      <c r="K613" t="str">
        <f t="shared" si="18"/>
        <v>March</v>
      </c>
      <c r="L613">
        <f t="shared" si="19"/>
        <v>2024</v>
      </c>
    </row>
    <row r="614" spans="1:12" x14ac:dyDescent="0.3">
      <c r="A614" s="2">
        <v>45376</v>
      </c>
      <c r="B614" t="s">
        <v>101</v>
      </c>
      <c r="C614" t="s">
        <v>68</v>
      </c>
      <c r="D614" t="s">
        <v>156</v>
      </c>
      <c r="E614" t="s">
        <v>42</v>
      </c>
      <c r="F614" t="s">
        <v>90</v>
      </c>
      <c r="G614" t="s">
        <v>120</v>
      </c>
      <c r="H614" s="3">
        <v>17407.79</v>
      </c>
      <c r="I614" s="4">
        <v>3</v>
      </c>
      <c r="J614" s="3">
        <v>3348.4</v>
      </c>
      <c r="K614" t="str">
        <f t="shared" si="18"/>
        <v>March</v>
      </c>
      <c r="L614">
        <f t="shared" si="19"/>
        <v>2024</v>
      </c>
    </row>
    <row r="615" spans="1:12" x14ac:dyDescent="0.3">
      <c r="A615" s="2">
        <v>45376</v>
      </c>
      <c r="B615" t="s">
        <v>16</v>
      </c>
      <c r="C615" t="s">
        <v>30</v>
      </c>
      <c r="D615" t="s">
        <v>156</v>
      </c>
      <c r="E615" t="s">
        <v>26</v>
      </c>
      <c r="F615" t="s">
        <v>27</v>
      </c>
      <c r="G615" t="s">
        <v>28</v>
      </c>
      <c r="H615" s="3">
        <v>21163.85</v>
      </c>
      <c r="I615" s="4">
        <v>1</v>
      </c>
      <c r="J615" s="3">
        <v>2460.08</v>
      </c>
      <c r="K615" t="str">
        <f t="shared" si="18"/>
        <v>March</v>
      </c>
      <c r="L615">
        <f t="shared" si="19"/>
        <v>2024</v>
      </c>
    </row>
    <row r="616" spans="1:12" x14ac:dyDescent="0.3">
      <c r="A616" s="2">
        <v>45377</v>
      </c>
      <c r="B616" t="s">
        <v>113</v>
      </c>
      <c r="C616" t="s">
        <v>39</v>
      </c>
      <c r="D616" t="s">
        <v>156</v>
      </c>
      <c r="E616" t="s">
        <v>18</v>
      </c>
      <c r="F616" t="s">
        <v>40</v>
      </c>
      <c r="G616" t="s">
        <v>105</v>
      </c>
      <c r="H616" s="3">
        <v>2400.69</v>
      </c>
      <c r="I616" s="4">
        <v>1</v>
      </c>
      <c r="J616" s="3">
        <v>240.44</v>
      </c>
      <c r="K616" t="str">
        <f t="shared" si="18"/>
        <v>March</v>
      </c>
      <c r="L616">
        <f t="shared" si="19"/>
        <v>2024</v>
      </c>
    </row>
    <row r="617" spans="1:12" x14ac:dyDescent="0.3">
      <c r="A617" s="2">
        <v>45377</v>
      </c>
      <c r="B617" t="s">
        <v>45</v>
      </c>
      <c r="C617" t="s">
        <v>81</v>
      </c>
      <c r="D617" t="s">
        <v>156</v>
      </c>
      <c r="E617" t="s">
        <v>18</v>
      </c>
      <c r="F617" t="s">
        <v>40</v>
      </c>
      <c r="G617" t="s">
        <v>102</v>
      </c>
      <c r="H617" s="3">
        <v>2897.03</v>
      </c>
      <c r="I617" s="4">
        <v>2</v>
      </c>
      <c r="J617" s="3">
        <v>346.7</v>
      </c>
      <c r="K617" t="str">
        <f t="shared" si="18"/>
        <v>March</v>
      </c>
      <c r="L617">
        <f t="shared" si="19"/>
        <v>2024</v>
      </c>
    </row>
    <row r="618" spans="1:12" x14ac:dyDescent="0.3">
      <c r="A618" s="2">
        <v>45379</v>
      </c>
      <c r="B618" t="s">
        <v>67</v>
      </c>
      <c r="C618" t="s">
        <v>62</v>
      </c>
      <c r="D618" t="s">
        <v>156</v>
      </c>
      <c r="E618" t="s">
        <v>35</v>
      </c>
      <c r="F618" t="s">
        <v>50</v>
      </c>
      <c r="G618" t="s">
        <v>121</v>
      </c>
      <c r="H618" s="3">
        <v>4976.8999999999996</v>
      </c>
      <c r="I618" s="4">
        <v>1</v>
      </c>
      <c r="J618" s="3">
        <v>460.59</v>
      </c>
      <c r="K618" t="str">
        <f t="shared" si="18"/>
        <v>March</v>
      </c>
      <c r="L618">
        <f t="shared" si="19"/>
        <v>2024</v>
      </c>
    </row>
    <row r="619" spans="1:12" x14ac:dyDescent="0.3">
      <c r="A619" s="2">
        <v>45379</v>
      </c>
      <c r="B619" t="s">
        <v>52</v>
      </c>
      <c r="C619" t="s">
        <v>46</v>
      </c>
      <c r="D619" t="s">
        <v>156</v>
      </c>
      <c r="E619" t="s">
        <v>13</v>
      </c>
      <c r="F619" t="s">
        <v>14</v>
      </c>
      <c r="G619" t="s">
        <v>88</v>
      </c>
      <c r="H619" s="3">
        <v>1478.01</v>
      </c>
      <c r="I619" s="4">
        <v>1</v>
      </c>
      <c r="J619" s="3">
        <v>134.81</v>
      </c>
      <c r="K619" t="str">
        <f t="shared" si="18"/>
        <v>March</v>
      </c>
      <c r="L619">
        <f t="shared" si="19"/>
        <v>2024</v>
      </c>
    </row>
    <row r="620" spans="1:12" x14ac:dyDescent="0.3">
      <c r="A620" s="2">
        <v>45379</v>
      </c>
      <c r="B620" t="s">
        <v>55</v>
      </c>
      <c r="C620" t="s">
        <v>66</v>
      </c>
      <c r="D620" t="s">
        <v>156</v>
      </c>
      <c r="E620" t="s">
        <v>35</v>
      </c>
      <c r="F620" t="s">
        <v>50</v>
      </c>
      <c r="G620" t="s">
        <v>51</v>
      </c>
      <c r="H620" s="3">
        <v>8529.6</v>
      </c>
      <c r="I620" s="4">
        <v>1</v>
      </c>
      <c r="J620" s="3">
        <v>1085.98</v>
      </c>
      <c r="K620" t="str">
        <f t="shared" si="18"/>
        <v>March</v>
      </c>
      <c r="L620">
        <f t="shared" si="19"/>
        <v>2024</v>
      </c>
    </row>
    <row r="621" spans="1:12" x14ac:dyDescent="0.3">
      <c r="A621" s="2">
        <v>45380</v>
      </c>
      <c r="B621" t="s">
        <v>52</v>
      </c>
      <c r="C621" t="s">
        <v>30</v>
      </c>
      <c r="D621" t="s">
        <v>156</v>
      </c>
      <c r="E621" t="s">
        <v>35</v>
      </c>
      <c r="F621" t="s">
        <v>75</v>
      </c>
      <c r="G621" t="s">
        <v>107</v>
      </c>
      <c r="H621" s="3">
        <v>38009.019999999997</v>
      </c>
      <c r="I621" s="4">
        <v>1</v>
      </c>
      <c r="J621" s="3">
        <v>7356.7</v>
      </c>
      <c r="K621" t="str">
        <f t="shared" si="18"/>
        <v>March</v>
      </c>
      <c r="L621">
        <f t="shared" si="19"/>
        <v>2024</v>
      </c>
    </row>
    <row r="622" spans="1:12" x14ac:dyDescent="0.3">
      <c r="A622" s="2">
        <v>45381</v>
      </c>
      <c r="B622" t="s">
        <v>101</v>
      </c>
      <c r="C622" t="s">
        <v>58</v>
      </c>
      <c r="D622" t="s">
        <v>156</v>
      </c>
      <c r="E622" t="s">
        <v>18</v>
      </c>
      <c r="F622" t="s">
        <v>19</v>
      </c>
      <c r="G622" t="s">
        <v>59</v>
      </c>
      <c r="H622" s="3">
        <v>50021.03</v>
      </c>
      <c r="I622" s="4">
        <v>1</v>
      </c>
      <c r="J622" s="3">
        <v>4680.8599999999997</v>
      </c>
      <c r="K622" t="str">
        <f t="shared" si="18"/>
        <v>March</v>
      </c>
      <c r="L622">
        <f t="shared" si="19"/>
        <v>2024</v>
      </c>
    </row>
    <row r="623" spans="1:12" x14ac:dyDescent="0.3">
      <c r="A623" s="2">
        <v>45382</v>
      </c>
      <c r="B623" t="s">
        <v>103</v>
      </c>
      <c r="C623" t="s">
        <v>56</v>
      </c>
      <c r="D623" t="s">
        <v>156</v>
      </c>
      <c r="E623" t="s">
        <v>35</v>
      </c>
      <c r="F623" t="s">
        <v>75</v>
      </c>
      <c r="G623" t="s">
        <v>110</v>
      </c>
      <c r="H623" s="3">
        <v>126448.98</v>
      </c>
      <c r="I623" s="4">
        <v>3</v>
      </c>
      <c r="J623" s="3">
        <v>13498.53</v>
      </c>
      <c r="K623" t="str">
        <f t="shared" si="18"/>
        <v>March</v>
      </c>
      <c r="L623">
        <f t="shared" si="19"/>
        <v>2024</v>
      </c>
    </row>
    <row r="624" spans="1:12" x14ac:dyDescent="0.3">
      <c r="A624" s="2">
        <v>45382</v>
      </c>
      <c r="B624" t="s">
        <v>55</v>
      </c>
      <c r="C624" t="s">
        <v>81</v>
      </c>
      <c r="D624" t="s">
        <v>156</v>
      </c>
      <c r="E624" t="s">
        <v>35</v>
      </c>
      <c r="F624" t="s">
        <v>75</v>
      </c>
      <c r="G624" t="s">
        <v>107</v>
      </c>
      <c r="H624" s="3">
        <v>68930.94</v>
      </c>
      <c r="I624" s="4">
        <v>2</v>
      </c>
      <c r="J624" s="3">
        <v>10331.290000000001</v>
      </c>
      <c r="K624" t="str">
        <f t="shared" si="18"/>
        <v>March</v>
      </c>
      <c r="L624">
        <f t="shared" si="19"/>
        <v>2024</v>
      </c>
    </row>
    <row r="625" spans="1:12" x14ac:dyDescent="0.3">
      <c r="A625" s="2">
        <v>45384</v>
      </c>
      <c r="B625" t="s">
        <v>116</v>
      </c>
      <c r="C625" t="s">
        <v>39</v>
      </c>
      <c r="D625" t="s">
        <v>156</v>
      </c>
      <c r="E625" t="s">
        <v>26</v>
      </c>
      <c r="F625" t="s">
        <v>27</v>
      </c>
      <c r="G625" t="s">
        <v>94</v>
      </c>
      <c r="H625" s="3">
        <v>21615.37</v>
      </c>
      <c r="I625" s="4">
        <v>2</v>
      </c>
      <c r="J625" s="3">
        <v>3470.6</v>
      </c>
      <c r="K625" t="str">
        <f t="shared" si="18"/>
        <v>April</v>
      </c>
      <c r="L625">
        <f t="shared" si="19"/>
        <v>2024</v>
      </c>
    </row>
    <row r="626" spans="1:12" x14ac:dyDescent="0.3">
      <c r="A626" s="2">
        <v>45384</v>
      </c>
      <c r="B626" t="s">
        <v>52</v>
      </c>
      <c r="C626" t="s">
        <v>66</v>
      </c>
      <c r="D626" t="s">
        <v>156</v>
      </c>
      <c r="E626" t="s">
        <v>18</v>
      </c>
      <c r="F626" t="s">
        <v>40</v>
      </c>
      <c r="G626" t="s">
        <v>117</v>
      </c>
      <c r="H626" s="3">
        <v>5840.24</v>
      </c>
      <c r="I626" s="4">
        <v>2</v>
      </c>
      <c r="J626" s="3">
        <v>568.11</v>
      </c>
      <c r="K626" t="str">
        <f t="shared" si="18"/>
        <v>April</v>
      </c>
      <c r="L626">
        <f t="shared" si="19"/>
        <v>2024</v>
      </c>
    </row>
    <row r="627" spans="1:12" x14ac:dyDescent="0.3">
      <c r="A627" s="2">
        <v>45385</v>
      </c>
      <c r="B627" t="s">
        <v>25</v>
      </c>
      <c r="C627" t="s">
        <v>17</v>
      </c>
      <c r="D627" t="s">
        <v>156</v>
      </c>
      <c r="E627" t="s">
        <v>26</v>
      </c>
      <c r="F627" t="s">
        <v>27</v>
      </c>
      <c r="G627" t="s">
        <v>28</v>
      </c>
      <c r="H627" s="3">
        <v>41504.980000000003</v>
      </c>
      <c r="I627" s="4">
        <v>2</v>
      </c>
      <c r="J627" s="3">
        <v>4473.2299999999996</v>
      </c>
      <c r="K627" t="str">
        <f t="shared" si="18"/>
        <v>April</v>
      </c>
      <c r="L627">
        <f t="shared" si="19"/>
        <v>2024</v>
      </c>
    </row>
    <row r="628" spans="1:12" x14ac:dyDescent="0.3">
      <c r="A628" s="2">
        <v>45385</v>
      </c>
      <c r="B628" t="s">
        <v>116</v>
      </c>
      <c r="C628" t="s">
        <v>61</v>
      </c>
      <c r="D628" t="s">
        <v>156</v>
      </c>
      <c r="E628" t="s">
        <v>18</v>
      </c>
      <c r="F628" t="s">
        <v>40</v>
      </c>
      <c r="G628" t="s">
        <v>117</v>
      </c>
      <c r="H628" s="3">
        <v>7499.78</v>
      </c>
      <c r="I628" s="4">
        <v>3</v>
      </c>
      <c r="J628" s="3">
        <v>1024.8</v>
      </c>
      <c r="K628" t="str">
        <f t="shared" si="18"/>
        <v>April</v>
      </c>
      <c r="L628">
        <f t="shared" si="19"/>
        <v>2024</v>
      </c>
    </row>
    <row r="629" spans="1:12" x14ac:dyDescent="0.3">
      <c r="A629" s="2">
        <v>45385</v>
      </c>
      <c r="B629" t="s">
        <v>67</v>
      </c>
      <c r="C629" t="s">
        <v>12</v>
      </c>
      <c r="D629" t="s">
        <v>156</v>
      </c>
      <c r="E629" t="s">
        <v>42</v>
      </c>
      <c r="F629" t="s">
        <v>90</v>
      </c>
      <c r="G629" t="s">
        <v>97</v>
      </c>
      <c r="H629" s="3">
        <v>4550.76</v>
      </c>
      <c r="I629" s="4">
        <v>2</v>
      </c>
      <c r="J629" s="3">
        <v>732.97</v>
      </c>
      <c r="K629" t="str">
        <f t="shared" si="18"/>
        <v>April</v>
      </c>
      <c r="L629">
        <f t="shared" si="19"/>
        <v>2024</v>
      </c>
    </row>
    <row r="630" spans="1:12" x14ac:dyDescent="0.3">
      <c r="A630" s="2">
        <v>45386</v>
      </c>
      <c r="B630" t="s">
        <v>52</v>
      </c>
      <c r="C630" t="s">
        <v>30</v>
      </c>
      <c r="D630" t="s">
        <v>156</v>
      </c>
      <c r="E630" t="s">
        <v>13</v>
      </c>
      <c r="F630" t="s">
        <v>23</v>
      </c>
      <c r="G630" t="s">
        <v>47</v>
      </c>
      <c r="H630" s="3">
        <v>74723.87</v>
      </c>
      <c r="I630" s="4">
        <v>1</v>
      </c>
      <c r="J630" s="3">
        <v>5508.23</v>
      </c>
      <c r="K630" t="str">
        <f t="shared" si="18"/>
        <v>April</v>
      </c>
      <c r="L630">
        <f t="shared" si="19"/>
        <v>2024</v>
      </c>
    </row>
    <row r="631" spans="1:12" x14ac:dyDescent="0.3">
      <c r="A631" s="2">
        <v>45386</v>
      </c>
      <c r="B631" t="s">
        <v>86</v>
      </c>
      <c r="C631" t="s">
        <v>66</v>
      </c>
      <c r="D631" t="s">
        <v>156</v>
      </c>
      <c r="E631" t="s">
        <v>42</v>
      </c>
      <c r="F631" t="s">
        <v>90</v>
      </c>
      <c r="G631" t="s">
        <v>91</v>
      </c>
      <c r="H631" s="3">
        <v>9638.2999999999993</v>
      </c>
      <c r="I631" s="4">
        <v>5</v>
      </c>
      <c r="J631" s="3">
        <v>1910.09</v>
      </c>
      <c r="K631" t="str">
        <f t="shared" si="18"/>
        <v>April</v>
      </c>
      <c r="L631">
        <f t="shared" si="19"/>
        <v>2024</v>
      </c>
    </row>
    <row r="632" spans="1:12" x14ac:dyDescent="0.3">
      <c r="A632" s="2">
        <v>45386</v>
      </c>
      <c r="B632" t="s">
        <v>103</v>
      </c>
      <c r="C632" t="s">
        <v>68</v>
      </c>
      <c r="D632" t="s">
        <v>156</v>
      </c>
      <c r="E632" t="s">
        <v>26</v>
      </c>
      <c r="F632" t="s">
        <v>27</v>
      </c>
      <c r="G632" t="s">
        <v>28</v>
      </c>
      <c r="H632" s="3">
        <v>49698.36</v>
      </c>
      <c r="I632" s="4">
        <v>2</v>
      </c>
      <c r="J632" s="3">
        <v>7767.84</v>
      </c>
      <c r="K632" t="str">
        <f t="shared" si="18"/>
        <v>April</v>
      </c>
      <c r="L632">
        <f t="shared" si="19"/>
        <v>2024</v>
      </c>
    </row>
    <row r="633" spans="1:12" x14ac:dyDescent="0.3">
      <c r="A633" s="2">
        <v>45386</v>
      </c>
      <c r="B633" t="s">
        <v>55</v>
      </c>
      <c r="C633" t="s">
        <v>46</v>
      </c>
      <c r="D633" t="s">
        <v>156</v>
      </c>
      <c r="E633" t="s">
        <v>42</v>
      </c>
      <c r="F633" t="s">
        <v>90</v>
      </c>
      <c r="G633" t="s">
        <v>120</v>
      </c>
      <c r="H633" s="3">
        <v>11115.19</v>
      </c>
      <c r="I633" s="4">
        <v>2</v>
      </c>
      <c r="J633" s="3">
        <v>1147.05</v>
      </c>
      <c r="K633" t="str">
        <f t="shared" si="18"/>
        <v>April</v>
      </c>
      <c r="L633">
        <f t="shared" si="19"/>
        <v>2024</v>
      </c>
    </row>
    <row r="634" spans="1:12" x14ac:dyDescent="0.3">
      <c r="A634" s="2">
        <v>45387</v>
      </c>
      <c r="B634" t="s">
        <v>16</v>
      </c>
      <c r="C634" t="s">
        <v>69</v>
      </c>
      <c r="D634" t="s">
        <v>156</v>
      </c>
      <c r="E634" t="s">
        <v>13</v>
      </c>
      <c r="F634" t="s">
        <v>23</v>
      </c>
      <c r="G634" t="s">
        <v>108</v>
      </c>
      <c r="H634" s="3">
        <v>113537.51</v>
      </c>
      <c r="I634" s="4">
        <v>2</v>
      </c>
      <c r="J634" s="3">
        <v>15140.35</v>
      </c>
      <c r="K634" t="str">
        <f t="shared" si="18"/>
        <v>April</v>
      </c>
      <c r="L634">
        <f t="shared" si="19"/>
        <v>2024</v>
      </c>
    </row>
    <row r="635" spans="1:12" x14ac:dyDescent="0.3">
      <c r="A635" s="2">
        <v>45389</v>
      </c>
      <c r="B635" t="s">
        <v>21</v>
      </c>
      <c r="C635" t="s">
        <v>39</v>
      </c>
      <c r="D635" t="s">
        <v>156</v>
      </c>
      <c r="E635" t="s">
        <v>13</v>
      </c>
      <c r="F635" t="s">
        <v>23</v>
      </c>
      <c r="G635" t="s">
        <v>79</v>
      </c>
      <c r="H635" s="3">
        <v>65154.45</v>
      </c>
      <c r="I635" s="4">
        <v>1</v>
      </c>
      <c r="J635" s="3">
        <v>6700.51</v>
      </c>
      <c r="K635" t="str">
        <f t="shared" si="18"/>
        <v>April</v>
      </c>
      <c r="L635">
        <f t="shared" si="19"/>
        <v>2024</v>
      </c>
    </row>
    <row r="636" spans="1:12" x14ac:dyDescent="0.3">
      <c r="A636" s="2">
        <v>45390</v>
      </c>
      <c r="B636" t="s">
        <v>80</v>
      </c>
      <c r="C636" t="s">
        <v>39</v>
      </c>
      <c r="D636" t="s">
        <v>156</v>
      </c>
      <c r="E636" t="s">
        <v>35</v>
      </c>
      <c r="F636" t="s">
        <v>63</v>
      </c>
      <c r="G636" t="s">
        <v>112</v>
      </c>
      <c r="H636" s="3">
        <v>56275.69</v>
      </c>
      <c r="I636" s="4">
        <v>2</v>
      </c>
      <c r="J636" s="3">
        <v>11175.15</v>
      </c>
      <c r="K636" t="str">
        <f t="shared" si="18"/>
        <v>April</v>
      </c>
      <c r="L636">
        <f t="shared" si="19"/>
        <v>2024</v>
      </c>
    </row>
    <row r="637" spans="1:12" x14ac:dyDescent="0.3">
      <c r="A637" s="2">
        <v>45391</v>
      </c>
      <c r="B637" t="s">
        <v>60</v>
      </c>
      <c r="C637" t="s">
        <v>62</v>
      </c>
      <c r="D637" t="s">
        <v>156</v>
      </c>
      <c r="E637" t="s">
        <v>18</v>
      </c>
      <c r="F637" t="s">
        <v>19</v>
      </c>
      <c r="G637" t="s">
        <v>33</v>
      </c>
      <c r="H637" s="3">
        <v>54148.88</v>
      </c>
      <c r="I637" s="4">
        <v>1</v>
      </c>
      <c r="J637" s="3">
        <v>4691.26</v>
      </c>
      <c r="K637" t="str">
        <f t="shared" si="18"/>
        <v>April</v>
      </c>
      <c r="L637">
        <f t="shared" si="19"/>
        <v>2024</v>
      </c>
    </row>
    <row r="638" spans="1:12" x14ac:dyDescent="0.3">
      <c r="A638" s="2">
        <v>45391</v>
      </c>
      <c r="B638" t="s">
        <v>48</v>
      </c>
      <c r="C638" t="s">
        <v>61</v>
      </c>
      <c r="D638" t="s">
        <v>156</v>
      </c>
      <c r="E638" t="s">
        <v>18</v>
      </c>
      <c r="F638" t="s">
        <v>19</v>
      </c>
      <c r="G638" t="s">
        <v>59</v>
      </c>
      <c r="H638" s="3">
        <v>50855.27</v>
      </c>
      <c r="I638" s="4">
        <v>1</v>
      </c>
      <c r="J638" s="3">
        <v>7289.85</v>
      </c>
      <c r="K638" t="str">
        <f t="shared" si="18"/>
        <v>April</v>
      </c>
      <c r="L638">
        <f t="shared" si="19"/>
        <v>2024</v>
      </c>
    </row>
    <row r="639" spans="1:12" x14ac:dyDescent="0.3">
      <c r="A639" s="2">
        <v>45392</v>
      </c>
      <c r="B639" t="s">
        <v>78</v>
      </c>
      <c r="C639" t="s">
        <v>66</v>
      </c>
      <c r="D639" t="s">
        <v>156</v>
      </c>
      <c r="E639" t="s">
        <v>35</v>
      </c>
      <c r="F639" t="s">
        <v>50</v>
      </c>
      <c r="G639" t="s">
        <v>118</v>
      </c>
      <c r="H639" s="3">
        <v>14361.85</v>
      </c>
      <c r="I639" s="4">
        <v>2</v>
      </c>
      <c r="J639" s="3">
        <v>1664</v>
      </c>
      <c r="K639" t="str">
        <f t="shared" si="18"/>
        <v>April</v>
      </c>
      <c r="L639">
        <f t="shared" si="19"/>
        <v>2024</v>
      </c>
    </row>
    <row r="640" spans="1:12" x14ac:dyDescent="0.3">
      <c r="A640" s="2">
        <v>45392</v>
      </c>
      <c r="B640" t="s">
        <v>29</v>
      </c>
      <c r="C640" t="s">
        <v>30</v>
      </c>
      <c r="D640" t="s">
        <v>156</v>
      </c>
      <c r="E640" t="s">
        <v>35</v>
      </c>
      <c r="F640" t="s">
        <v>75</v>
      </c>
      <c r="G640" t="s">
        <v>110</v>
      </c>
      <c r="H640" s="3">
        <v>48588.82</v>
      </c>
      <c r="I640" s="4">
        <v>1</v>
      </c>
      <c r="J640" s="3">
        <v>3948.65</v>
      </c>
      <c r="K640" t="str">
        <f t="shared" si="18"/>
        <v>April</v>
      </c>
      <c r="L640">
        <f t="shared" si="19"/>
        <v>2024</v>
      </c>
    </row>
    <row r="641" spans="1:12" x14ac:dyDescent="0.3">
      <c r="A641" s="2">
        <v>45392</v>
      </c>
      <c r="B641" t="s">
        <v>109</v>
      </c>
      <c r="C641" t="s">
        <v>81</v>
      </c>
      <c r="D641" t="s">
        <v>156</v>
      </c>
      <c r="E641" t="s">
        <v>42</v>
      </c>
      <c r="F641" t="s">
        <v>90</v>
      </c>
      <c r="G641" t="s">
        <v>97</v>
      </c>
      <c r="H641" s="3">
        <v>10448.91</v>
      </c>
      <c r="I641" s="4">
        <v>5</v>
      </c>
      <c r="J641" s="3">
        <v>1526.58</v>
      </c>
      <c r="K641" t="str">
        <f t="shared" si="18"/>
        <v>April</v>
      </c>
      <c r="L641">
        <f t="shared" si="19"/>
        <v>2024</v>
      </c>
    </row>
    <row r="642" spans="1:12" x14ac:dyDescent="0.3">
      <c r="A642" s="2">
        <v>45393</v>
      </c>
      <c r="B642" t="s">
        <v>65</v>
      </c>
      <c r="C642" t="s">
        <v>66</v>
      </c>
      <c r="D642" t="s">
        <v>156</v>
      </c>
      <c r="E642" t="s">
        <v>42</v>
      </c>
      <c r="F642" t="s">
        <v>43</v>
      </c>
      <c r="G642" t="s">
        <v>87</v>
      </c>
      <c r="H642" s="3">
        <v>20882.75</v>
      </c>
      <c r="I642" s="4">
        <v>2</v>
      </c>
      <c r="J642" s="3">
        <v>4352.8999999999996</v>
      </c>
      <c r="K642" t="str">
        <f t="shared" si="18"/>
        <v>April</v>
      </c>
      <c r="L642">
        <f t="shared" si="19"/>
        <v>2024</v>
      </c>
    </row>
    <row r="643" spans="1:12" x14ac:dyDescent="0.3">
      <c r="A643" s="2">
        <v>45393</v>
      </c>
      <c r="B643" t="s">
        <v>38</v>
      </c>
      <c r="C643" t="s">
        <v>81</v>
      </c>
      <c r="D643" t="s">
        <v>156</v>
      </c>
      <c r="E643" t="s">
        <v>35</v>
      </c>
      <c r="F643" t="s">
        <v>36</v>
      </c>
      <c r="G643" t="s">
        <v>99</v>
      </c>
      <c r="H643" s="3">
        <v>118382.16</v>
      </c>
      <c r="I643" s="4">
        <v>3</v>
      </c>
      <c r="J643" s="3">
        <v>-4795.7299999999996</v>
      </c>
      <c r="K643" t="str">
        <f t="shared" ref="K643:K706" si="20">TEXT(A643,"mmmm")</f>
        <v>April</v>
      </c>
      <c r="L643">
        <f t="shared" ref="L643:L706" si="21">YEAR(A643)</f>
        <v>2024</v>
      </c>
    </row>
    <row r="644" spans="1:12" x14ac:dyDescent="0.3">
      <c r="A644" s="2">
        <v>45393</v>
      </c>
      <c r="B644" t="s">
        <v>38</v>
      </c>
      <c r="C644" t="s">
        <v>30</v>
      </c>
      <c r="D644" t="s">
        <v>156</v>
      </c>
      <c r="E644" t="s">
        <v>13</v>
      </c>
      <c r="F644" t="s">
        <v>14</v>
      </c>
      <c r="G644" t="s">
        <v>111</v>
      </c>
      <c r="H644" s="3">
        <v>3757.81</v>
      </c>
      <c r="I644" s="4">
        <v>2</v>
      </c>
      <c r="J644" s="3">
        <v>453.79</v>
      </c>
      <c r="K644" t="str">
        <f t="shared" si="20"/>
        <v>April</v>
      </c>
      <c r="L644">
        <f t="shared" si="21"/>
        <v>2024</v>
      </c>
    </row>
    <row r="645" spans="1:12" x14ac:dyDescent="0.3">
      <c r="A645" s="2">
        <v>45393</v>
      </c>
      <c r="B645" t="s">
        <v>11</v>
      </c>
      <c r="C645" t="s">
        <v>69</v>
      </c>
      <c r="D645" t="s">
        <v>156</v>
      </c>
      <c r="E645" t="s">
        <v>26</v>
      </c>
      <c r="F645" t="s">
        <v>27</v>
      </c>
      <c r="G645" t="s">
        <v>82</v>
      </c>
      <c r="H645" s="3">
        <v>60079.55</v>
      </c>
      <c r="I645" s="4">
        <v>2</v>
      </c>
      <c r="J645" s="3">
        <v>9358.1200000000008</v>
      </c>
      <c r="K645" t="str">
        <f t="shared" si="20"/>
        <v>April</v>
      </c>
      <c r="L645">
        <f t="shared" si="21"/>
        <v>2024</v>
      </c>
    </row>
    <row r="646" spans="1:12" x14ac:dyDescent="0.3">
      <c r="A646" s="2">
        <v>45393</v>
      </c>
      <c r="B646" t="s">
        <v>74</v>
      </c>
      <c r="C646" t="s">
        <v>56</v>
      </c>
      <c r="D646" t="s">
        <v>156</v>
      </c>
      <c r="E646" t="s">
        <v>18</v>
      </c>
      <c r="F646" t="s">
        <v>19</v>
      </c>
      <c r="G646" t="s">
        <v>72</v>
      </c>
      <c r="H646" s="3">
        <v>122658.7</v>
      </c>
      <c r="I646" s="4">
        <v>2</v>
      </c>
      <c r="J646" s="3">
        <v>14684.61</v>
      </c>
      <c r="K646" t="str">
        <f t="shared" si="20"/>
        <v>April</v>
      </c>
      <c r="L646">
        <f t="shared" si="21"/>
        <v>2024</v>
      </c>
    </row>
    <row r="647" spans="1:12" x14ac:dyDescent="0.3">
      <c r="A647" s="2">
        <v>45394</v>
      </c>
      <c r="B647" t="s">
        <v>55</v>
      </c>
      <c r="C647" t="s">
        <v>49</v>
      </c>
      <c r="D647" t="s">
        <v>156</v>
      </c>
      <c r="E647" t="s">
        <v>35</v>
      </c>
      <c r="F647" t="s">
        <v>50</v>
      </c>
      <c r="G647" t="s">
        <v>118</v>
      </c>
      <c r="H647" s="3">
        <v>18642.560000000001</v>
      </c>
      <c r="I647" s="4">
        <v>3</v>
      </c>
      <c r="J647" s="3">
        <v>2646.1</v>
      </c>
      <c r="K647" t="str">
        <f t="shared" si="20"/>
        <v>April</v>
      </c>
      <c r="L647">
        <f t="shared" si="21"/>
        <v>2024</v>
      </c>
    </row>
    <row r="648" spans="1:12" x14ac:dyDescent="0.3">
      <c r="A648" s="2">
        <v>45394</v>
      </c>
      <c r="B648" t="s">
        <v>73</v>
      </c>
      <c r="C648" t="s">
        <v>22</v>
      </c>
      <c r="D648" t="s">
        <v>156</v>
      </c>
      <c r="E648" t="s">
        <v>35</v>
      </c>
      <c r="F648" t="s">
        <v>63</v>
      </c>
      <c r="G648" t="s">
        <v>112</v>
      </c>
      <c r="H648" s="3">
        <v>31528.17</v>
      </c>
      <c r="I648" s="4">
        <v>1</v>
      </c>
      <c r="J648" s="3">
        <v>5051.57</v>
      </c>
      <c r="K648" t="str">
        <f t="shared" si="20"/>
        <v>April</v>
      </c>
      <c r="L648">
        <f t="shared" si="21"/>
        <v>2024</v>
      </c>
    </row>
    <row r="649" spans="1:12" x14ac:dyDescent="0.3">
      <c r="A649" s="2">
        <v>45395</v>
      </c>
      <c r="B649" t="s">
        <v>101</v>
      </c>
      <c r="C649" t="s">
        <v>30</v>
      </c>
      <c r="D649" t="s">
        <v>156</v>
      </c>
      <c r="E649" t="s">
        <v>18</v>
      </c>
      <c r="F649" t="s">
        <v>19</v>
      </c>
      <c r="G649" t="s">
        <v>106</v>
      </c>
      <c r="H649" s="3">
        <v>93134.78</v>
      </c>
      <c r="I649" s="4">
        <v>1</v>
      </c>
      <c r="J649" s="3">
        <v>7877.75</v>
      </c>
      <c r="K649" t="str">
        <f t="shared" si="20"/>
        <v>April</v>
      </c>
      <c r="L649">
        <f t="shared" si="21"/>
        <v>2024</v>
      </c>
    </row>
    <row r="650" spans="1:12" x14ac:dyDescent="0.3">
      <c r="A650" s="2">
        <v>45395</v>
      </c>
      <c r="B650" t="s">
        <v>21</v>
      </c>
      <c r="C650" t="s">
        <v>39</v>
      </c>
      <c r="D650" t="s">
        <v>156</v>
      </c>
      <c r="E650" t="s">
        <v>13</v>
      </c>
      <c r="F650" t="s">
        <v>14</v>
      </c>
      <c r="G650" t="s">
        <v>57</v>
      </c>
      <c r="H650" s="3">
        <v>4575.88</v>
      </c>
      <c r="I650" s="4">
        <v>3</v>
      </c>
      <c r="J650" s="3">
        <v>535.92999999999995</v>
      </c>
      <c r="K650" t="str">
        <f t="shared" si="20"/>
        <v>April</v>
      </c>
      <c r="L650">
        <f t="shared" si="21"/>
        <v>2024</v>
      </c>
    </row>
    <row r="651" spans="1:12" x14ac:dyDescent="0.3">
      <c r="A651" s="2">
        <v>45397</v>
      </c>
      <c r="B651" t="s">
        <v>103</v>
      </c>
      <c r="C651" t="s">
        <v>22</v>
      </c>
      <c r="D651" t="s">
        <v>156</v>
      </c>
      <c r="E651" t="s">
        <v>42</v>
      </c>
      <c r="F651" t="s">
        <v>43</v>
      </c>
      <c r="G651" t="s">
        <v>89</v>
      </c>
      <c r="H651" s="3">
        <v>34521.74</v>
      </c>
      <c r="I651" s="4">
        <v>1</v>
      </c>
      <c r="J651" s="3">
        <v>7925.57</v>
      </c>
      <c r="K651" t="str">
        <f t="shared" si="20"/>
        <v>April</v>
      </c>
      <c r="L651">
        <f t="shared" si="21"/>
        <v>2024</v>
      </c>
    </row>
    <row r="652" spans="1:12" x14ac:dyDescent="0.3">
      <c r="A652" s="2">
        <v>45397</v>
      </c>
      <c r="B652" t="s">
        <v>113</v>
      </c>
      <c r="C652" t="s">
        <v>68</v>
      </c>
      <c r="D652" t="s">
        <v>156</v>
      </c>
      <c r="E652" t="s">
        <v>42</v>
      </c>
      <c r="F652" t="s">
        <v>43</v>
      </c>
      <c r="G652" t="s">
        <v>87</v>
      </c>
      <c r="H652" s="3">
        <v>20382.509999999998</v>
      </c>
      <c r="I652" s="4">
        <v>2</v>
      </c>
      <c r="J652" s="3">
        <v>2834.88</v>
      </c>
      <c r="K652" t="str">
        <f t="shared" si="20"/>
        <v>April</v>
      </c>
      <c r="L652">
        <f t="shared" si="21"/>
        <v>2024</v>
      </c>
    </row>
    <row r="653" spans="1:12" x14ac:dyDescent="0.3">
      <c r="A653" s="2">
        <v>45397</v>
      </c>
      <c r="B653" t="s">
        <v>32</v>
      </c>
      <c r="C653" t="s">
        <v>66</v>
      </c>
      <c r="D653" t="s">
        <v>156</v>
      </c>
      <c r="E653" t="s">
        <v>35</v>
      </c>
      <c r="F653" t="s">
        <v>75</v>
      </c>
      <c r="G653" t="s">
        <v>76</v>
      </c>
      <c r="H653" s="3">
        <v>82911.41</v>
      </c>
      <c r="I653" s="4">
        <v>2</v>
      </c>
      <c r="J653" s="3">
        <v>16534.54</v>
      </c>
      <c r="K653" t="str">
        <f t="shared" si="20"/>
        <v>April</v>
      </c>
      <c r="L653">
        <f t="shared" si="21"/>
        <v>2024</v>
      </c>
    </row>
    <row r="654" spans="1:12" x14ac:dyDescent="0.3">
      <c r="A654" s="2">
        <v>45398</v>
      </c>
      <c r="B654" t="s">
        <v>67</v>
      </c>
      <c r="C654" t="s">
        <v>49</v>
      </c>
      <c r="D654" t="s">
        <v>156</v>
      </c>
      <c r="E654" t="s">
        <v>35</v>
      </c>
      <c r="F654" t="s">
        <v>36</v>
      </c>
      <c r="G654" t="s">
        <v>84</v>
      </c>
      <c r="H654" s="3">
        <v>78924.38</v>
      </c>
      <c r="I654" s="4">
        <v>3</v>
      </c>
      <c r="J654" s="3">
        <v>15081.35</v>
      </c>
      <c r="K654" t="str">
        <f t="shared" si="20"/>
        <v>April</v>
      </c>
      <c r="L654">
        <f t="shared" si="21"/>
        <v>2024</v>
      </c>
    </row>
    <row r="655" spans="1:12" x14ac:dyDescent="0.3">
      <c r="A655" s="2">
        <v>45398</v>
      </c>
      <c r="B655" t="s">
        <v>52</v>
      </c>
      <c r="C655" t="s">
        <v>49</v>
      </c>
      <c r="D655" t="s">
        <v>156</v>
      </c>
      <c r="E655" t="s">
        <v>26</v>
      </c>
      <c r="F655" t="s">
        <v>53</v>
      </c>
      <c r="G655" t="s">
        <v>104</v>
      </c>
      <c r="H655" s="3">
        <v>145105.25</v>
      </c>
      <c r="I655" s="4">
        <v>2</v>
      </c>
      <c r="J655" s="3">
        <v>17091.32</v>
      </c>
      <c r="K655" t="str">
        <f t="shared" si="20"/>
        <v>April</v>
      </c>
      <c r="L655">
        <f t="shared" si="21"/>
        <v>2024</v>
      </c>
    </row>
    <row r="656" spans="1:12" x14ac:dyDescent="0.3">
      <c r="A656" s="2">
        <v>45399</v>
      </c>
      <c r="B656" t="s">
        <v>34</v>
      </c>
      <c r="C656" t="s">
        <v>81</v>
      </c>
      <c r="D656" t="s">
        <v>156</v>
      </c>
      <c r="E656" t="s">
        <v>26</v>
      </c>
      <c r="F656" t="s">
        <v>53</v>
      </c>
      <c r="G656" t="s">
        <v>104</v>
      </c>
      <c r="H656" s="3">
        <v>73060.06</v>
      </c>
      <c r="I656" s="4">
        <v>1</v>
      </c>
      <c r="J656" s="3">
        <v>6824.44</v>
      </c>
      <c r="K656" t="str">
        <f t="shared" si="20"/>
        <v>April</v>
      </c>
      <c r="L656">
        <f t="shared" si="21"/>
        <v>2024</v>
      </c>
    </row>
    <row r="657" spans="1:12" x14ac:dyDescent="0.3">
      <c r="A657" s="2">
        <v>45401</v>
      </c>
      <c r="B657" t="s">
        <v>29</v>
      </c>
      <c r="C657" t="s">
        <v>68</v>
      </c>
      <c r="D657" t="s">
        <v>156</v>
      </c>
      <c r="E657" t="s">
        <v>26</v>
      </c>
      <c r="F657" t="s">
        <v>53</v>
      </c>
      <c r="G657" t="s">
        <v>54</v>
      </c>
      <c r="H657" s="3">
        <v>37283.94</v>
      </c>
      <c r="I657" s="4">
        <v>1</v>
      </c>
      <c r="J657" s="3">
        <v>6275.25</v>
      </c>
      <c r="K657" t="str">
        <f t="shared" si="20"/>
        <v>April</v>
      </c>
      <c r="L657">
        <f t="shared" si="21"/>
        <v>2024</v>
      </c>
    </row>
    <row r="658" spans="1:12" x14ac:dyDescent="0.3">
      <c r="A658" s="2">
        <v>45401</v>
      </c>
      <c r="B658" t="s">
        <v>11</v>
      </c>
      <c r="C658" t="s">
        <v>61</v>
      </c>
      <c r="D658" t="s">
        <v>156</v>
      </c>
      <c r="E658" t="s">
        <v>42</v>
      </c>
      <c r="F658" t="s">
        <v>43</v>
      </c>
      <c r="G658" t="s">
        <v>89</v>
      </c>
      <c r="H658" s="3">
        <v>30583.69</v>
      </c>
      <c r="I658" s="4">
        <v>1</v>
      </c>
      <c r="J658" s="3">
        <v>5906.48</v>
      </c>
      <c r="K658" t="str">
        <f t="shared" si="20"/>
        <v>April</v>
      </c>
      <c r="L658">
        <f t="shared" si="21"/>
        <v>2024</v>
      </c>
    </row>
    <row r="659" spans="1:12" x14ac:dyDescent="0.3">
      <c r="A659" s="2">
        <v>45401</v>
      </c>
      <c r="B659" t="s">
        <v>92</v>
      </c>
      <c r="C659" t="s">
        <v>49</v>
      </c>
      <c r="D659" t="s">
        <v>156</v>
      </c>
      <c r="E659" t="s">
        <v>26</v>
      </c>
      <c r="F659" t="s">
        <v>53</v>
      </c>
      <c r="G659" t="s">
        <v>100</v>
      </c>
      <c r="H659" s="3">
        <v>186154.38</v>
      </c>
      <c r="I659" s="4">
        <v>2</v>
      </c>
      <c r="J659" s="3">
        <v>33011.120000000003</v>
      </c>
      <c r="K659" t="str">
        <f t="shared" si="20"/>
        <v>April</v>
      </c>
      <c r="L659">
        <f t="shared" si="21"/>
        <v>2024</v>
      </c>
    </row>
    <row r="660" spans="1:12" x14ac:dyDescent="0.3">
      <c r="A660" s="2">
        <v>45401</v>
      </c>
      <c r="B660" t="s">
        <v>103</v>
      </c>
      <c r="C660" t="s">
        <v>30</v>
      </c>
      <c r="D660" t="s">
        <v>156</v>
      </c>
      <c r="E660" t="s">
        <v>42</v>
      </c>
      <c r="F660" t="s">
        <v>90</v>
      </c>
      <c r="G660" t="s">
        <v>91</v>
      </c>
      <c r="H660" s="3">
        <v>1684.3</v>
      </c>
      <c r="I660" s="4">
        <v>1</v>
      </c>
      <c r="J660" s="3">
        <v>244.67</v>
      </c>
      <c r="K660" t="str">
        <f t="shared" si="20"/>
        <v>April</v>
      </c>
      <c r="L660">
        <f t="shared" si="21"/>
        <v>2024</v>
      </c>
    </row>
    <row r="661" spans="1:12" x14ac:dyDescent="0.3">
      <c r="A661" s="2">
        <v>45402</v>
      </c>
      <c r="B661" t="s">
        <v>78</v>
      </c>
      <c r="C661" t="s">
        <v>69</v>
      </c>
      <c r="D661" t="s">
        <v>156</v>
      </c>
      <c r="E661" t="s">
        <v>13</v>
      </c>
      <c r="F661" t="s">
        <v>23</v>
      </c>
      <c r="G661" t="s">
        <v>108</v>
      </c>
      <c r="H661" s="3">
        <v>174301.54</v>
      </c>
      <c r="I661" s="4">
        <v>3</v>
      </c>
      <c r="J661" s="3">
        <v>24884.53</v>
      </c>
      <c r="K661" t="str">
        <f t="shared" si="20"/>
        <v>April</v>
      </c>
      <c r="L661">
        <f t="shared" si="21"/>
        <v>2024</v>
      </c>
    </row>
    <row r="662" spans="1:12" x14ac:dyDescent="0.3">
      <c r="A662" s="2">
        <v>45403</v>
      </c>
      <c r="B662" t="s">
        <v>116</v>
      </c>
      <c r="C662" t="s">
        <v>68</v>
      </c>
      <c r="D662" t="s">
        <v>156</v>
      </c>
      <c r="E662" t="s">
        <v>18</v>
      </c>
      <c r="F662" t="s">
        <v>19</v>
      </c>
      <c r="G662" t="s">
        <v>59</v>
      </c>
      <c r="H662" s="3">
        <v>97193.18</v>
      </c>
      <c r="I662" s="4">
        <v>2</v>
      </c>
      <c r="J662" s="3">
        <v>15220</v>
      </c>
      <c r="K662" t="str">
        <f t="shared" si="20"/>
        <v>April</v>
      </c>
      <c r="L662">
        <f t="shared" si="21"/>
        <v>2024</v>
      </c>
    </row>
    <row r="663" spans="1:12" x14ac:dyDescent="0.3">
      <c r="A663" s="2">
        <v>45403</v>
      </c>
      <c r="B663" t="s">
        <v>80</v>
      </c>
      <c r="C663" t="s">
        <v>46</v>
      </c>
      <c r="D663" t="s">
        <v>156</v>
      </c>
      <c r="E663" t="s">
        <v>13</v>
      </c>
      <c r="F663" t="s">
        <v>23</v>
      </c>
      <c r="G663" t="s">
        <v>79</v>
      </c>
      <c r="H663" s="3">
        <v>117233.44</v>
      </c>
      <c r="I663" s="4">
        <v>2</v>
      </c>
      <c r="J663" s="3">
        <v>10292.67</v>
      </c>
      <c r="K663" t="str">
        <f t="shared" si="20"/>
        <v>April</v>
      </c>
      <c r="L663">
        <f t="shared" si="21"/>
        <v>2024</v>
      </c>
    </row>
    <row r="664" spans="1:12" x14ac:dyDescent="0.3">
      <c r="A664" s="2">
        <v>45403</v>
      </c>
      <c r="B664" t="s">
        <v>25</v>
      </c>
      <c r="C664" t="s">
        <v>49</v>
      </c>
      <c r="D664" t="s">
        <v>156</v>
      </c>
      <c r="E664" t="s">
        <v>35</v>
      </c>
      <c r="F664" t="s">
        <v>75</v>
      </c>
      <c r="G664" t="s">
        <v>110</v>
      </c>
      <c r="H664" s="3">
        <v>46949.79</v>
      </c>
      <c r="I664" s="4">
        <v>1</v>
      </c>
      <c r="J664" s="3">
        <v>4604.53</v>
      </c>
      <c r="K664" t="str">
        <f t="shared" si="20"/>
        <v>April</v>
      </c>
      <c r="L664">
        <f t="shared" si="21"/>
        <v>2024</v>
      </c>
    </row>
    <row r="665" spans="1:12" x14ac:dyDescent="0.3">
      <c r="A665" s="2">
        <v>45405</v>
      </c>
      <c r="B665" t="s">
        <v>83</v>
      </c>
      <c r="C665" t="s">
        <v>22</v>
      </c>
      <c r="D665" t="s">
        <v>156</v>
      </c>
      <c r="E665" t="s">
        <v>13</v>
      </c>
      <c r="F665" t="s">
        <v>14</v>
      </c>
      <c r="G665" t="s">
        <v>15</v>
      </c>
      <c r="H665" s="3">
        <v>8781.31</v>
      </c>
      <c r="I665" s="4">
        <v>4</v>
      </c>
      <c r="J665" s="3">
        <v>721.55</v>
      </c>
      <c r="K665" t="str">
        <f t="shared" si="20"/>
        <v>April</v>
      </c>
      <c r="L665">
        <f t="shared" si="21"/>
        <v>2024</v>
      </c>
    </row>
    <row r="666" spans="1:12" x14ac:dyDescent="0.3">
      <c r="A666" s="2">
        <v>45407</v>
      </c>
      <c r="B666" t="s">
        <v>52</v>
      </c>
      <c r="C666" t="s">
        <v>12</v>
      </c>
      <c r="D666" t="s">
        <v>156</v>
      </c>
      <c r="E666" t="s">
        <v>42</v>
      </c>
      <c r="F666" t="s">
        <v>90</v>
      </c>
      <c r="G666" t="s">
        <v>120</v>
      </c>
      <c r="H666" s="3">
        <v>5669.75</v>
      </c>
      <c r="I666" s="4">
        <v>1</v>
      </c>
      <c r="J666" s="3">
        <v>-186.13</v>
      </c>
      <c r="K666" t="str">
        <f t="shared" si="20"/>
        <v>April</v>
      </c>
      <c r="L666">
        <f t="shared" si="21"/>
        <v>2024</v>
      </c>
    </row>
    <row r="667" spans="1:12" x14ac:dyDescent="0.3">
      <c r="A667" s="2">
        <v>45408</v>
      </c>
      <c r="B667" t="s">
        <v>101</v>
      </c>
      <c r="C667" t="s">
        <v>56</v>
      </c>
      <c r="D667" t="s">
        <v>156</v>
      </c>
      <c r="E667" t="s">
        <v>42</v>
      </c>
      <c r="F667" t="s">
        <v>43</v>
      </c>
      <c r="G667" t="s">
        <v>44</v>
      </c>
      <c r="H667" s="3">
        <v>25342.799999999999</v>
      </c>
      <c r="I667" s="4">
        <v>2</v>
      </c>
      <c r="J667" s="3">
        <v>4723.95</v>
      </c>
      <c r="K667" t="str">
        <f t="shared" si="20"/>
        <v>April</v>
      </c>
      <c r="L667">
        <f t="shared" si="21"/>
        <v>2024</v>
      </c>
    </row>
    <row r="668" spans="1:12" x14ac:dyDescent="0.3">
      <c r="A668" s="2">
        <v>45408</v>
      </c>
      <c r="B668" t="s">
        <v>80</v>
      </c>
      <c r="C668" t="s">
        <v>58</v>
      </c>
      <c r="D668" t="s">
        <v>156</v>
      </c>
      <c r="E668" t="s">
        <v>26</v>
      </c>
      <c r="F668" t="s">
        <v>27</v>
      </c>
      <c r="G668" t="s">
        <v>31</v>
      </c>
      <c r="H668" s="3">
        <v>9436.14</v>
      </c>
      <c r="I668" s="4">
        <v>1</v>
      </c>
      <c r="J668" s="3">
        <v>904.55</v>
      </c>
      <c r="K668" t="str">
        <f t="shared" si="20"/>
        <v>April</v>
      </c>
      <c r="L668">
        <f t="shared" si="21"/>
        <v>2024</v>
      </c>
    </row>
    <row r="669" spans="1:12" x14ac:dyDescent="0.3">
      <c r="A669" s="2">
        <v>45410</v>
      </c>
      <c r="B669" t="s">
        <v>83</v>
      </c>
      <c r="C669" t="s">
        <v>68</v>
      </c>
      <c r="D669" t="s">
        <v>156</v>
      </c>
      <c r="E669" t="s">
        <v>26</v>
      </c>
      <c r="F669" t="s">
        <v>53</v>
      </c>
      <c r="G669" t="s">
        <v>96</v>
      </c>
      <c r="H669" s="3">
        <v>57770.71</v>
      </c>
      <c r="I669" s="4">
        <v>1</v>
      </c>
      <c r="J669" s="3">
        <v>7160.54</v>
      </c>
      <c r="K669" t="str">
        <f t="shared" si="20"/>
        <v>April</v>
      </c>
      <c r="L669">
        <f t="shared" si="21"/>
        <v>2024</v>
      </c>
    </row>
    <row r="670" spans="1:12" x14ac:dyDescent="0.3">
      <c r="A670" s="2">
        <v>45411</v>
      </c>
      <c r="B670" t="s">
        <v>16</v>
      </c>
      <c r="C670" t="s">
        <v>17</v>
      </c>
      <c r="D670" t="s">
        <v>156</v>
      </c>
      <c r="E670" t="s">
        <v>18</v>
      </c>
      <c r="F670" t="s">
        <v>40</v>
      </c>
      <c r="G670" t="s">
        <v>117</v>
      </c>
      <c r="H670" s="3">
        <v>5961.87</v>
      </c>
      <c r="I670" s="4">
        <v>2</v>
      </c>
      <c r="J670" s="3">
        <v>439.91</v>
      </c>
      <c r="K670" t="str">
        <f t="shared" si="20"/>
        <v>April</v>
      </c>
      <c r="L670">
        <f t="shared" si="21"/>
        <v>2024</v>
      </c>
    </row>
    <row r="671" spans="1:12" x14ac:dyDescent="0.3">
      <c r="A671" s="2">
        <v>45411</v>
      </c>
      <c r="B671" t="s">
        <v>113</v>
      </c>
      <c r="C671" t="s">
        <v>49</v>
      </c>
      <c r="D671" t="s">
        <v>156</v>
      </c>
      <c r="E671" t="s">
        <v>42</v>
      </c>
      <c r="F671" t="s">
        <v>43</v>
      </c>
      <c r="G671" t="s">
        <v>87</v>
      </c>
      <c r="H671" s="3">
        <v>21497.21</v>
      </c>
      <c r="I671" s="4">
        <v>2</v>
      </c>
      <c r="J671" s="3">
        <v>2407.15</v>
      </c>
      <c r="K671" t="str">
        <f t="shared" si="20"/>
        <v>April</v>
      </c>
      <c r="L671">
        <f t="shared" si="21"/>
        <v>2024</v>
      </c>
    </row>
    <row r="672" spans="1:12" x14ac:dyDescent="0.3">
      <c r="A672" s="2">
        <v>45414</v>
      </c>
      <c r="B672" t="s">
        <v>83</v>
      </c>
      <c r="C672" t="s">
        <v>69</v>
      </c>
      <c r="D672" t="s">
        <v>156</v>
      </c>
      <c r="E672" t="s">
        <v>42</v>
      </c>
      <c r="F672" t="s">
        <v>43</v>
      </c>
      <c r="G672" t="s">
        <v>44</v>
      </c>
      <c r="H672" s="3">
        <v>43883.16</v>
      </c>
      <c r="I672" s="4">
        <v>3</v>
      </c>
      <c r="J672" s="3">
        <v>6339.16</v>
      </c>
      <c r="K672" t="str">
        <f t="shared" si="20"/>
        <v>May</v>
      </c>
      <c r="L672">
        <f t="shared" si="21"/>
        <v>2024</v>
      </c>
    </row>
    <row r="673" spans="1:12" x14ac:dyDescent="0.3">
      <c r="A673" s="2">
        <v>45414</v>
      </c>
      <c r="B673" t="s">
        <v>32</v>
      </c>
      <c r="C673" t="s">
        <v>68</v>
      </c>
      <c r="D673" t="s">
        <v>156</v>
      </c>
      <c r="E673" t="s">
        <v>18</v>
      </c>
      <c r="F673" t="s">
        <v>19</v>
      </c>
      <c r="G673" t="s">
        <v>106</v>
      </c>
      <c r="H673" s="3">
        <v>169106.59</v>
      </c>
      <c r="I673" s="4">
        <v>2</v>
      </c>
      <c r="J673" s="3">
        <v>15012.41</v>
      </c>
      <c r="K673" t="str">
        <f t="shared" si="20"/>
        <v>May</v>
      </c>
      <c r="L673">
        <f t="shared" si="21"/>
        <v>2024</v>
      </c>
    </row>
    <row r="674" spans="1:12" x14ac:dyDescent="0.3">
      <c r="A674" s="2">
        <v>45416</v>
      </c>
      <c r="B674" t="s">
        <v>93</v>
      </c>
      <c r="C674" t="s">
        <v>49</v>
      </c>
      <c r="D674" t="s">
        <v>156</v>
      </c>
      <c r="E674" t="s">
        <v>42</v>
      </c>
      <c r="F674" t="s">
        <v>90</v>
      </c>
      <c r="G674" t="s">
        <v>120</v>
      </c>
      <c r="H674" s="3">
        <v>5827.07</v>
      </c>
      <c r="I674" s="4">
        <v>1</v>
      </c>
      <c r="J674" s="3">
        <v>1044.74</v>
      </c>
      <c r="K674" t="str">
        <f t="shared" si="20"/>
        <v>May</v>
      </c>
      <c r="L674">
        <f t="shared" si="21"/>
        <v>2024</v>
      </c>
    </row>
    <row r="675" spans="1:12" x14ac:dyDescent="0.3">
      <c r="A675" s="2">
        <v>45416</v>
      </c>
      <c r="B675" t="s">
        <v>74</v>
      </c>
      <c r="C675" t="s">
        <v>69</v>
      </c>
      <c r="D675" t="s">
        <v>156</v>
      </c>
      <c r="E675" t="s">
        <v>13</v>
      </c>
      <c r="F675" t="s">
        <v>14</v>
      </c>
      <c r="G675" t="s">
        <v>88</v>
      </c>
      <c r="H675" s="3">
        <v>2729.5</v>
      </c>
      <c r="I675" s="4">
        <v>2</v>
      </c>
      <c r="J675" s="3">
        <v>299.24</v>
      </c>
      <c r="K675" t="str">
        <f t="shared" si="20"/>
        <v>May</v>
      </c>
      <c r="L675">
        <f t="shared" si="21"/>
        <v>2024</v>
      </c>
    </row>
    <row r="676" spans="1:12" x14ac:dyDescent="0.3">
      <c r="A676" s="2">
        <v>45417</v>
      </c>
      <c r="B676" t="s">
        <v>73</v>
      </c>
      <c r="C676" t="s">
        <v>39</v>
      </c>
      <c r="D676" t="s">
        <v>156</v>
      </c>
      <c r="E676" t="s">
        <v>35</v>
      </c>
      <c r="F676" t="s">
        <v>50</v>
      </c>
      <c r="G676" t="s">
        <v>51</v>
      </c>
      <c r="H676" s="3">
        <v>37923.86</v>
      </c>
      <c r="I676" s="4">
        <v>5</v>
      </c>
      <c r="J676" s="3">
        <v>-2690.24</v>
      </c>
      <c r="K676" t="str">
        <f t="shared" si="20"/>
        <v>May</v>
      </c>
      <c r="L676">
        <f t="shared" si="21"/>
        <v>2024</v>
      </c>
    </row>
    <row r="677" spans="1:12" x14ac:dyDescent="0.3">
      <c r="A677" s="2">
        <v>45418</v>
      </c>
      <c r="B677" t="s">
        <v>113</v>
      </c>
      <c r="C677" t="s">
        <v>61</v>
      </c>
      <c r="D677" t="s">
        <v>156</v>
      </c>
      <c r="E677" t="s">
        <v>42</v>
      </c>
      <c r="F677" t="s">
        <v>90</v>
      </c>
      <c r="G677" t="s">
        <v>91</v>
      </c>
      <c r="H677" s="3">
        <v>3599.2</v>
      </c>
      <c r="I677" s="4">
        <v>2</v>
      </c>
      <c r="J677" s="3">
        <v>608.26</v>
      </c>
      <c r="K677" t="str">
        <f t="shared" si="20"/>
        <v>May</v>
      </c>
      <c r="L677">
        <f t="shared" si="21"/>
        <v>2024</v>
      </c>
    </row>
    <row r="678" spans="1:12" x14ac:dyDescent="0.3">
      <c r="A678" s="2">
        <v>45419</v>
      </c>
      <c r="B678" t="s">
        <v>55</v>
      </c>
      <c r="C678" t="s">
        <v>69</v>
      </c>
      <c r="D678" t="s">
        <v>156</v>
      </c>
      <c r="E678" t="s">
        <v>18</v>
      </c>
      <c r="F678" t="s">
        <v>40</v>
      </c>
      <c r="G678" t="s">
        <v>41</v>
      </c>
      <c r="H678" s="3">
        <v>16152.16</v>
      </c>
      <c r="I678" s="4">
        <v>1</v>
      </c>
      <c r="J678" s="3">
        <v>1234.72</v>
      </c>
      <c r="K678" t="str">
        <f t="shared" si="20"/>
        <v>May</v>
      </c>
      <c r="L678">
        <f t="shared" si="21"/>
        <v>2024</v>
      </c>
    </row>
    <row r="679" spans="1:12" x14ac:dyDescent="0.3">
      <c r="A679" s="2">
        <v>45422</v>
      </c>
      <c r="B679" t="s">
        <v>29</v>
      </c>
      <c r="C679" t="s">
        <v>61</v>
      </c>
      <c r="D679" t="s">
        <v>156</v>
      </c>
      <c r="E679" t="s">
        <v>35</v>
      </c>
      <c r="F679" t="s">
        <v>63</v>
      </c>
      <c r="G679" t="s">
        <v>114</v>
      </c>
      <c r="H679" s="3">
        <v>75846.92</v>
      </c>
      <c r="I679" s="4">
        <v>3</v>
      </c>
      <c r="J679" s="3">
        <v>14340.03</v>
      </c>
      <c r="K679" t="str">
        <f t="shared" si="20"/>
        <v>May</v>
      </c>
      <c r="L679">
        <f t="shared" si="21"/>
        <v>2024</v>
      </c>
    </row>
    <row r="680" spans="1:12" x14ac:dyDescent="0.3">
      <c r="A680" s="2">
        <v>45423</v>
      </c>
      <c r="B680" t="s">
        <v>25</v>
      </c>
      <c r="C680" t="s">
        <v>46</v>
      </c>
      <c r="D680" t="s">
        <v>156</v>
      </c>
      <c r="E680" t="s">
        <v>13</v>
      </c>
      <c r="F680" t="s">
        <v>23</v>
      </c>
      <c r="G680" t="s">
        <v>79</v>
      </c>
      <c r="H680" s="3">
        <v>64630.91</v>
      </c>
      <c r="I680" s="4">
        <v>1</v>
      </c>
      <c r="J680" s="3">
        <v>6279.95</v>
      </c>
      <c r="K680" t="str">
        <f t="shared" si="20"/>
        <v>May</v>
      </c>
      <c r="L680">
        <f t="shared" si="21"/>
        <v>2024</v>
      </c>
    </row>
    <row r="681" spans="1:12" x14ac:dyDescent="0.3">
      <c r="A681" s="2">
        <v>45423</v>
      </c>
      <c r="B681" t="s">
        <v>48</v>
      </c>
      <c r="C681" t="s">
        <v>49</v>
      </c>
      <c r="D681" t="s">
        <v>156</v>
      </c>
      <c r="E681" t="s">
        <v>26</v>
      </c>
      <c r="F681" t="s">
        <v>27</v>
      </c>
      <c r="G681" t="s">
        <v>31</v>
      </c>
      <c r="H681" s="3">
        <v>19086.03</v>
      </c>
      <c r="I681" s="4">
        <v>2</v>
      </c>
      <c r="J681" s="3">
        <v>2195.67</v>
      </c>
      <c r="K681" t="str">
        <f t="shared" si="20"/>
        <v>May</v>
      </c>
      <c r="L681">
        <f t="shared" si="21"/>
        <v>2024</v>
      </c>
    </row>
    <row r="682" spans="1:12" x14ac:dyDescent="0.3">
      <c r="A682" s="2">
        <v>45424</v>
      </c>
      <c r="B682" t="s">
        <v>71</v>
      </c>
      <c r="C682" t="s">
        <v>81</v>
      </c>
      <c r="D682" t="s">
        <v>156</v>
      </c>
      <c r="E682" t="s">
        <v>18</v>
      </c>
      <c r="F682" t="s">
        <v>19</v>
      </c>
      <c r="G682" t="s">
        <v>59</v>
      </c>
      <c r="H682" s="3">
        <v>162224.32000000001</v>
      </c>
      <c r="I682" s="4">
        <v>3</v>
      </c>
      <c r="J682" s="3">
        <v>23110.23</v>
      </c>
      <c r="K682" t="str">
        <f t="shared" si="20"/>
        <v>May</v>
      </c>
      <c r="L682">
        <f t="shared" si="21"/>
        <v>2024</v>
      </c>
    </row>
    <row r="683" spans="1:12" x14ac:dyDescent="0.3">
      <c r="A683" s="2">
        <v>45424</v>
      </c>
      <c r="B683" t="s">
        <v>95</v>
      </c>
      <c r="C683" t="s">
        <v>17</v>
      </c>
      <c r="D683" t="s">
        <v>156</v>
      </c>
      <c r="E683" t="s">
        <v>26</v>
      </c>
      <c r="F683" t="s">
        <v>27</v>
      </c>
      <c r="G683" t="s">
        <v>82</v>
      </c>
      <c r="H683" s="3">
        <v>33093.42</v>
      </c>
      <c r="I683" s="4">
        <v>1</v>
      </c>
      <c r="J683" s="3">
        <v>4279.3900000000003</v>
      </c>
      <c r="K683" t="str">
        <f t="shared" si="20"/>
        <v>May</v>
      </c>
      <c r="L683">
        <f t="shared" si="21"/>
        <v>2024</v>
      </c>
    </row>
    <row r="684" spans="1:12" x14ac:dyDescent="0.3">
      <c r="A684" s="2">
        <v>45425</v>
      </c>
      <c r="B684" t="s">
        <v>21</v>
      </c>
      <c r="C684" t="s">
        <v>39</v>
      </c>
      <c r="D684" t="s">
        <v>156</v>
      </c>
      <c r="E684" t="s">
        <v>42</v>
      </c>
      <c r="F684" t="s">
        <v>43</v>
      </c>
      <c r="G684" t="s">
        <v>89</v>
      </c>
      <c r="H684" s="3">
        <v>65649.89</v>
      </c>
      <c r="I684" s="4">
        <v>2</v>
      </c>
      <c r="J684" s="3">
        <v>15725.01</v>
      </c>
      <c r="K684" t="str">
        <f t="shared" si="20"/>
        <v>May</v>
      </c>
      <c r="L684">
        <f t="shared" si="21"/>
        <v>2024</v>
      </c>
    </row>
    <row r="685" spans="1:12" x14ac:dyDescent="0.3">
      <c r="A685" s="2">
        <v>45425</v>
      </c>
      <c r="B685" t="s">
        <v>34</v>
      </c>
      <c r="C685" t="s">
        <v>30</v>
      </c>
      <c r="D685" t="s">
        <v>156</v>
      </c>
      <c r="E685" t="s">
        <v>13</v>
      </c>
      <c r="F685" t="s">
        <v>23</v>
      </c>
      <c r="G685" t="s">
        <v>24</v>
      </c>
      <c r="H685" s="3">
        <v>125271</v>
      </c>
      <c r="I685" s="4">
        <v>2</v>
      </c>
      <c r="J685" s="3">
        <v>11752.59</v>
      </c>
      <c r="K685" t="str">
        <f t="shared" si="20"/>
        <v>May</v>
      </c>
      <c r="L685">
        <f t="shared" si="21"/>
        <v>2024</v>
      </c>
    </row>
    <row r="686" spans="1:12" x14ac:dyDescent="0.3">
      <c r="A686" s="2">
        <v>45426</v>
      </c>
      <c r="B686" t="s">
        <v>92</v>
      </c>
      <c r="C686" t="s">
        <v>58</v>
      </c>
      <c r="D686" t="s">
        <v>156</v>
      </c>
      <c r="E686" t="s">
        <v>42</v>
      </c>
      <c r="F686" t="s">
        <v>43</v>
      </c>
      <c r="G686" t="s">
        <v>89</v>
      </c>
      <c r="H686" s="3">
        <v>29630.53</v>
      </c>
      <c r="I686" s="4">
        <v>1</v>
      </c>
      <c r="J686" s="3">
        <v>3717.37</v>
      </c>
      <c r="K686" t="str">
        <f t="shared" si="20"/>
        <v>May</v>
      </c>
      <c r="L686">
        <f t="shared" si="21"/>
        <v>2024</v>
      </c>
    </row>
    <row r="687" spans="1:12" x14ac:dyDescent="0.3">
      <c r="A687" s="2">
        <v>45426</v>
      </c>
      <c r="B687" t="s">
        <v>16</v>
      </c>
      <c r="C687" t="s">
        <v>49</v>
      </c>
      <c r="D687" t="s">
        <v>156</v>
      </c>
      <c r="E687" t="s">
        <v>13</v>
      </c>
      <c r="F687" t="s">
        <v>14</v>
      </c>
      <c r="G687" t="s">
        <v>15</v>
      </c>
      <c r="H687" s="3">
        <v>2156.81</v>
      </c>
      <c r="I687" s="4">
        <v>1</v>
      </c>
      <c r="J687" s="3">
        <v>214.23</v>
      </c>
      <c r="K687" t="str">
        <f t="shared" si="20"/>
        <v>May</v>
      </c>
      <c r="L687">
        <f t="shared" si="21"/>
        <v>2024</v>
      </c>
    </row>
    <row r="688" spans="1:12" x14ac:dyDescent="0.3">
      <c r="A688" s="2">
        <v>45427</v>
      </c>
      <c r="B688" t="s">
        <v>80</v>
      </c>
      <c r="C688" t="s">
        <v>68</v>
      </c>
      <c r="D688" t="s">
        <v>156</v>
      </c>
      <c r="E688" t="s">
        <v>42</v>
      </c>
      <c r="F688" t="s">
        <v>90</v>
      </c>
      <c r="G688" t="s">
        <v>91</v>
      </c>
      <c r="H688" s="3">
        <v>1779.69</v>
      </c>
      <c r="I688" s="4">
        <v>1</v>
      </c>
      <c r="J688" s="3">
        <v>273.27999999999997</v>
      </c>
      <c r="K688" t="str">
        <f t="shared" si="20"/>
        <v>May</v>
      </c>
      <c r="L688">
        <f t="shared" si="21"/>
        <v>2024</v>
      </c>
    </row>
    <row r="689" spans="1:12" x14ac:dyDescent="0.3">
      <c r="A689" s="2">
        <v>45427</v>
      </c>
      <c r="B689" t="s">
        <v>83</v>
      </c>
      <c r="C689" t="s">
        <v>66</v>
      </c>
      <c r="D689" t="s">
        <v>156</v>
      </c>
      <c r="E689" t="s">
        <v>42</v>
      </c>
      <c r="F689" t="s">
        <v>90</v>
      </c>
      <c r="G689" t="s">
        <v>120</v>
      </c>
      <c r="H689" s="3">
        <v>5838.57</v>
      </c>
      <c r="I689" s="4">
        <v>1</v>
      </c>
      <c r="J689" s="3">
        <v>785.9</v>
      </c>
      <c r="K689" t="str">
        <f t="shared" si="20"/>
        <v>May</v>
      </c>
      <c r="L689">
        <f t="shared" si="21"/>
        <v>2024</v>
      </c>
    </row>
    <row r="690" spans="1:12" x14ac:dyDescent="0.3">
      <c r="A690" s="2">
        <v>45427</v>
      </c>
      <c r="B690" t="s">
        <v>21</v>
      </c>
      <c r="C690" t="s">
        <v>61</v>
      </c>
      <c r="D690" t="s">
        <v>156</v>
      </c>
      <c r="E690" t="s">
        <v>42</v>
      </c>
      <c r="F690" t="s">
        <v>43</v>
      </c>
      <c r="G690" t="s">
        <v>89</v>
      </c>
      <c r="H690" s="3">
        <v>61709.33</v>
      </c>
      <c r="I690" s="4">
        <v>2</v>
      </c>
      <c r="J690" s="3">
        <v>6830.78</v>
      </c>
      <c r="K690" t="str">
        <f t="shared" si="20"/>
        <v>May</v>
      </c>
      <c r="L690">
        <f t="shared" si="21"/>
        <v>2024</v>
      </c>
    </row>
    <row r="691" spans="1:12" x14ac:dyDescent="0.3">
      <c r="A691" s="2">
        <v>45427</v>
      </c>
      <c r="B691" t="s">
        <v>80</v>
      </c>
      <c r="C691" t="s">
        <v>22</v>
      </c>
      <c r="D691" t="s">
        <v>156</v>
      </c>
      <c r="E691" t="s">
        <v>18</v>
      </c>
      <c r="F691" t="s">
        <v>40</v>
      </c>
      <c r="G691" t="s">
        <v>117</v>
      </c>
      <c r="H691" s="3">
        <v>5939.7</v>
      </c>
      <c r="I691" s="4">
        <v>2</v>
      </c>
      <c r="J691" s="3">
        <v>950.6</v>
      </c>
      <c r="K691" t="str">
        <f t="shared" si="20"/>
        <v>May</v>
      </c>
      <c r="L691">
        <f t="shared" si="21"/>
        <v>2024</v>
      </c>
    </row>
    <row r="692" spans="1:12" x14ac:dyDescent="0.3">
      <c r="A692" s="2">
        <v>45429</v>
      </c>
      <c r="B692" t="s">
        <v>55</v>
      </c>
      <c r="C692" t="s">
        <v>66</v>
      </c>
      <c r="D692" t="s">
        <v>156</v>
      </c>
      <c r="E692" t="s">
        <v>35</v>
      </c>
      <c r="F692" t="s">
        <v>63</v>
      </c>
      <c r="G692" t="s">
        <v>112</v>
      </c>
      <c r="H692" s="3">
        <v>58427.3</v>
      </c>
      <c r="I692" s="4">
        <v>2</v>
      </c>
      <c r="J692" s="3">
        <v>-1954.46</v>
      </c>
      <c r="K692" t="str">
        <f t="shared" si="20"/>
        <v>May</v>
      </c>
      <c r="L692">
        <f t="shared" si="21"/>
        <v>2024</v>
      </c>
    </row>
    <row r="693" spans="1:12" x14ac:dyDescent="0.3">
      <c r="A693" s="2">
        <v>45430</v>
      </c>
      <c r="B693" t="s">
        <v>80</v>
      </c>
      <c r="C693" t="s">
        <v>17</v>
      </c>
      <c r="D693" t="s">
        <v>156</v>
      </c>
      <c r="E693" t="s">
        <v>35</v>
      </c>
      <c r="F693" t="s">
        <v>63</v>
      </c>
      <c r="G693" t="s">
        <v>114</v>
      </c>
      <c r="H693" s="3">
        <v>25859.51</v>
      </c>
      <c r="I693" s="4">
        <v>1</v>
      </c>
      <c r="J693" s="3">
        <v>5055.82</v>
      </c>
      <c r="K693" t="str">
        <f t="shared" si="20"/>
        <v>May</v>
      </c>
      <c r="L693">
        <f t="shared" si="21"/>
        <v>2024</v>
      </c>
    </row>
    <row r="694" spans="1:12" x14ac:dyDescent="0.3">
      <c r="A694" s="2">
        <v>45431</v>
      </c>
      <c r="B694" t="s">
        <v>11</v>
      </c>
      <c r="C694" t="s">
        <v>30</v>
      </c>
      <c r="D694" t="s">
        <v>156</v>
      </c>
      <c r="E694" t="s">
        <v>18</v>
      </c>
      <c r="F694" t="s">
        <v>40</v>
      </c>
      <c r="G694" t="s">
        <v>115</v>
      </c>
      <c r="H694" s="3">
        <v>21493.67</v>
      </c>
      <c r="I694" s="4">
        <v>2</v>
      </c>
      <c r="J694" s="3">
        <v>1746.42</v>
      </c>
      <c r="K694" t="str">
        <f t="shared" si="20"/>
        <v>May</v>
      </c>
      <c r="L694">
        <f t="shared" si="21"/>
        <v>2024</v>
      </c>
    </row>
    <row r="695" spans="1:12" x14ac:dyDescent="0.3">
      <c r="A695" s="2">
        <v>45432</v>
      </c>
      <c r="B695" t="s">
        <v>11</v>
      </c>
      <c r="C695" t="s">
        <v>62</v>
      </c>
      <c r="D695" t="s">
        <v>156</v>
      </c>
      <c r="E695" t="s">
        <v>35</v>
      </c>
      <c r="F695" t="s">
        <v>36</v>
      </c>
      <c r="G695" t="s">
        <v>84</v>
      </c>
      <c r="H695" s="3">
        <v>106913.67</v>
      </c>
      <c r="I695" s="4">
        <v>4</v>
      </c>
      <c r="J695" s="3">
        <v>20077.34</v>
      </c>
      <c r="K695" t="str">
        <f t="shared" si="20"/>
        <v>May</v>
      </c>
      <c r="L695">
        <f t="shared" si="21"/>
        <v>2024</v>
      </c>
    </row>
    <row r="696" spans="1:12" x14ac:dyDescent="0.3">
      <c r="A696" s="2">
        <v>45432</v>
      </c>
      <c r="B696" t="s">
        <v>29</v>
      </c>
      <c r="C696" t="s">
        <v>17</v>
      </c>
      <c r="D696" t="s">
        <v>156</v>
      </c>
      <c r="E696" t="s">
        <v>42</v>
      </c>
      <c r="F696" t="s">
        <v>90</v>
      </c>
      <c r="G696" t="s">
        <v>91</v>
      </c>
      <c r="H696" s="3">
        <v>8584.11</v>
      </c>
      <c r="I696" s="4">
        <v>5</v>
      </c>
      <c r="J696" s="3">
        <v>1468.26</v>
      </c>
      <c r="K696" t="str">
        <f t="shared" si="20"/>
        <v>May</v>
      </c>
      <c r="L696">
        <f t="shared" si="21"/>
        <v>2024</v>
      </c>
    </row>
    <row r="697" spans="1:12" x14ac:dyDescent="0.3">
      <c r="A697" s="2">
        <v>45433</v>
      </c>
      <c r="B697" t="s">
        <v>113</v>
      </c>
      <c r="C697" t="s">
        <v>12</v>
      </c>
      <c r="D697" t="s">
        <v>156</v>
      </c>
      <c r="E697" t="s">
        <v>13</v>
      </c>
      <c r="F697" t="s">
        <v>23</v>
      </c>
      <c r="G697" t="s">
        <v>85</v>
      </c>
      <c r="H697" s="3">
        <v>88929.48</v>
      </c>
      <c r="I697" s="4">
        <v>2</v>
      </c>
      <c r="J697" s="3">
        <v>10459.530000000001</v>
      </c>
      <c r="K697" t="str">
        <f t="shared" si="20"/>
        <v>May</v>
      </c>
      <c r="L697">
        <f t="shared" si="21"/>
        <v>2024</v>
      </c>
    </row>
    <row r="698" spans="1:12" x14ac:dyDescent="0.3">
      <c r="A698" s="2">
        <v>45435</v>
      </c>
      <c r="B698" t="s">
        <v>93</v>
      </c>
      <c r="C698" t="s">
        <v>22</v>
      </c>
      <c r="D698" t="s">
        <v>156</v>
      </c>
      <c r="E698" t="s">
        <v>26</v>
      </c>
      <c r="F698" t="s">
        <v>27</v>
      </c>
      <c r="G698" t="s">
        <v>94</v>
      </c>
      <c r="H698" s="3">
        <v>12626.17</v>
      </c>
      <c r="I698" s="4">
        <v>1</v>
      </c>
      <c r="J698" s="3">
        <v>2267.62</v>
      </c>
      <c r="K698" t="str">
        <f t="shared" si="20"/>
        <v>May</v>
      </c>
      <c r="L698">
        <f t="shared" si="21"/>
        <v>2024</v>
      </c>
    </row>
    <row r="699" spans="1:12" x14ac:dyDescent="0.3">
      <c r="A699" s="2">
        <v>45436</v>
      </c>
      <c r="B699" t="s">
        <v>11</v>
      </c>
      <c r="C699" t="s">
        <v>69</v>
      </c>
      <c r="D699" t="s">
        <v>156</v>
      </c>
      <c r="E699" t="s">
        <v>18</v>
      </c>
      <c r="F699" t="s">
        <v>40</v>
      </c>
      <c r="G699" t="s">
        <v>102</v>
      </c>
      <c r="H699" s="3">
        <v>1363.19</v>
      </c>
      <c r="I699" s="4">
        <v>1</v>
      </c>
      <c r="J699" s="3">
        <v>137.15</v>
      </c>
      <c r="K699" t="str">
        <f t="shared" si="20"/>
        <v>May</v>
      </c>
      <c r="L699">
        <f t="shared" si="21"/>
        <v>2024</v>
      </c>
    </row>
    <row r="700" spans="1:12" x14ac:dyDescent="0.3">
      <c r="A700" s="2">
        <v>45436</v>
      </c>
      <c r="B700" t="s">
        <v>48</v>
      </c>
      <c r="C700" t="s">
        <v>49</v>
      </c>
      <c r="D700" t="s">
        <v>156</v>
      </c>
      <c r="E700" t="s">
        <v>35</v>
      </c>
      <c r="F700" t="s">
        <v>36</v>
      </c>
      <c r="G700" t="s">
        <v>84</v>
      </c>
      <c r="H700" s="3">
        <v>154215.41</v>
      </c>
      <c r="I700" s="4">
        <v>5</v>
      </c>
      <c r="J700" s="3">
        <v>25945.01</v>
      </c>
      <c r="K700" t="str">
        <f t="shared" si="20"/>
        <v>May</v>
      </c>
      <c r="L700">
        <f t="shared" si="21"/>
        <v>2024</v>
      </c>
    </row>
    <row r="701" spans="1:12" x14ac:dyDescent="0.3">
      <c r="A701" s="2">
        <v>45436</v>
      </c>
      <c r="B701" t="s">
        <v>21</v>
      </c>
      <c r="C701" t="s">
        <v>12</v>
      </c>
      <c r="D701" t="s">
        <v>156</v>
      </c>
      <c r="E701" t="s">
        <v>42</v>
      </c>
      <c r="F701" t="s">
        <v>43</v>
      </c>
      <c r="G701" t="s">
        <v>44</v>
      </c>
      <c r="H701" s="3">
        <v>12663</v>
      </c>
      <c r="I701" s="4">
        <v>1</v>
      </c>
      <c r="J701" s="3">
        <v>2119.33</v>
      </c>
      <c r="K701" t="str">
        <f t="shared" si="20"/>
        <v>May</v>
      </c>
      <c r="L701">
        <f t="shared" si="21"/>
        <v>2024</v>
      </c>
    </row>
    <row r="702" spans="1:12" x14ac:dyDescent="0.3">
      <c r="A702" s="2">
        <v>45436</v>
      </c>
      <c r="B702" t="s">
        <v>73</v>
      </c>
      <c r="C702" t="s">
        <v>58</v>
      </c>
      <c r="D702" t="s">
        <v>156</v>
      </c>
      <c r="E702" t="s">
        <v>42</v>
      </c>
      <c r="F702" t="s">
        <v>43</v>
      </c>
      <c r="G702" t="s">
        <v>44</v>
      </c>
      <c r="H702" s="3">
        <v>14482.91</v>
      </c>
      <c r="I702" s="4">
        <v>1</v>
      </c>
      <c r="J702" s="3">
        <v>3447.88</v>
      </c>
      <c r="K702" t="str">
        <f t="shared" si="20"/>
        <v>May</v>
      </c>
      <c r="L702">
        <f t="shared" si="21"/>
        <v>2024</v>
      </c>
    </row>
    <row r="703" spans="1:12" x14ac:dyDescent="0.3">
      <c r="A703" s="2">
        <v>45436</v>
      </c>
      <c r="B703" t="s">
        <v>74</v>
      </c>
      <c r="C703" t="s">
        <v>12</v>
      </c>
      <c r="D703" t="s">
        <v>156</v>
      </c>
      <c r="E703" t="s">
        <v>42</v>
      </c>
      <c r="F703" t="s">
        <v>43</v>
      </c>
      <c r="G703" t="s">
        <v>44</v>
      </c>
      <c r="H703" s="3">
        <v>12353.24</v>
      </c>
      <c r="I703" s="4">
        <v>1</v>
      </c>
      <c r="J703" s="3">
        <v>2870.86</v>
      </c>
      <c r="K703" t="str">
        <f t="shared" si="20"/>
        <v>May</v>
      </c>
      <c r="L703">
        <f t="shared" si="21"/>
        <v>2024</v>
      </c>
    </row>
    <row r="704" spans="1:12" x14ac:dyDescent="0.3">
      <c r="A704" s="2">
        <v>45437</v>
      </c>
      <c r="B704" t="s">
        <v>38</v>
      </c>
      <c r="C704" t="s">
        <v>39</v>
      </c>
      <c r="D704" t="s">
        <v>156</v>
      </c>
      <c r="E704" t="s">
        <v>26</v>
      </c>
      <c r="F704" t="s">
        <v>27</v>
      </c>
      <c r="G704" t="s">
        <v>28</v>
      </c>
      <c r="H704" s="3">
        <v>73140.149999999994</v>
      </c>
      <c r="I704" s="4">
        <v>3</v>
      </c>
      <c r="J704" s="3">
        <v>8637.48</v>
      </c>
      <c r="K704" t="str">
        <f t="shared" si="20"/>
        <v>May</v>
      </c>
      <c r="L704">
        <f t="shared" si="21"/>
        <v>2024</v>
      </c>
    </row>
    <row r="705" spans="1:12" x14ac:dyDescent="0.3">
      <c r="A705" s="2">
        <v>45438</v>
      </c>
      <c r="B705" t="s">
        <v>11</v>
      </c>
      <c r="C705" t="s">
        <v>12</v>
      </c>
      <c r="D705" t="s">
        <v>156</v>
      </c>
      <c r="E705" t="s">
        <v>18</v>
      </c>
      <c r="F705" t="s">
        <v>19</v>
      </c>
      <c r="G705" t="s">
        <v>106</v>
      </c>
      <c r="H705" s="3">
        <v>83469.78</v>
      </c>
      <c r="I705" s="4">
        <v>1</v>
      </c>
      <c r="J705" s="3">
        <v>11971.79</v>
      </c>
      <c r="K705" t="str">
        <f t="shared" si="20"/>
        <v>May</v>
      </c>
      <c r="L705">
        <f t="shared" si="21"/>
        <v>2024</v>
      </c>
    </row>
    <row r="706" spans="1:12" x14ac:dyDescent="0.3">
      <c r="A706" s="2">
        <v>45438</v>
      </c>
      <c r="B706" t="s">
        <v>101</v>
      </c>
      <c r="C706" t="s">
        <v>17</v>
      </c>
      <c r="D706" t="s">
        <v>156</v>
      </c>
      <c r="E706" t="s">
        <v>13</v>
      </c>
      <c r="F706" t="s">
        <v>14</v>
      </c>
      <c r="G706" t="s">
        <v>70</v>
      </c>
      <c r="H706" s="3">
        <v>5712.16</v>
      </c>
      <c r="I706" s="4">
        <v>2</v>
      </c>
      <c r="J706" s="3">
        <v>343.88</v>
      </c>
      <c r="K706" t="str">
        <f t="shared" si="20"/>
        <v>May</v>
      </c>
      <c r="L706">
        <f t="shared" si="21"/>
        <v>2024</v>
      </c>
    </row>
    <row r="707" spans="1:12" x14ac:dyDescent="0.3">
      <c r="A707" s="2">
        <v>45439</v>
      </c>
      <c r="B707" t="s">
        <v>16</v>
      </c>
      <c r="C707" t="s">
        <v>58</v>
      </c>
      <c r="D707" t="s">
        <v>156</v>
      </c>
      <c r="E707" t="s">
        <v>35</v>
      </c>
      <c r="F707" t="s">
        <v>50</v>
      </c>
      <c r="G707" t="s">
        <v>121</v>
      </c>
      <c r="H707" s="3">
        <v>12402.17</v>
      </c>
      <c r="I707" s="4">
        <v>3</v>
      </c>
      <c r="J707" s="3">
        <v>1675.06</v>
      </c>
      <c r="K707" t="str">
        <f t="shared" ref="K707:K770" si="22">TEXT(A707,"mmmm")</f>
        <v>May</v>
      </c>
      <c r="L707">
        <f t="shared" ref="L707:L770" si="23">YEAR(A707)</f>
        <v>2024</v>
      </c>
    </row>
    <row r="708" spans="1:12" x14ac:dyDescent="0.3">
      <c r="A708" s="2">
        <v>45441</v>
      </c>
      <c r="B708" t="s">
        <v>116</v>
      </c>
      <c r="C708" t="s">
        <v>22</v>
      </c>
      <c r="D708" t="s">
        <v>156</v>
      </c>
      <c r="E708" t="s">
        <v>13</v>
      </c>
      <c r="F708" t="s">
        <v>23</v>
      </c>
      <c r="G708" t="s">
        <v>85</v>
      </c>
      <c r="H708" s="3">
        <v>42757.94</v>
      </c>
      <c r="I708" s="4">
        <v>1</v>
      </c>
      <c r="J708" s="3">
        <v>2579.12</v>
      </c>
      <c r="K708" t="str">
        <f t="shared" si="22"/>
        <v>May</v>
      </c>
      <c r="L708">
        <f t="shared" si="23"/>
        <v>2024</v>
      </c>
    </row>
    <row r="709" spans="1:12" x14ac:dyDescent="0.3">
      <c r="A709" s="2">
        <v>45441</v>
      </c>
      <c r="B709" t="s">
        <v>48</v>
      </c>
      <c r="C709" t="s">
        <v>69</v>
      </c>
      <c r="D709" t="s">
        <v>156</v>
      </c>
      <c r="E709" t="s">
        <v>18</v>
      </c>
      <c r="F709" t="s">
        <v>19</v>
      </c>
      <c r="G709" t="s">
        <v>33</v>
      </c>
      <c r="H709" s="3">
        <v>232784.01</v>
      </c>
      <c r="I709" s="4">
        <v>4</v>
      </c>
      <c r="J709" s="3">
        <v>29688.25</v>
      </c>
      <c r="K709" t="str">
        <f t="shared" si="22"/>
        <v>May</v>
      </c>
      <c r="L709">
        <f t="shared" si="23"/>
        <v>2024</v>
      </c>
    </row>
    <row r="710" spans="1:12" x14ac:dyDescent="0.3">
      <c r="A710" s="2">
        <v>45442</v>
      </c>
      <c r="B710" t="s">
        <v>65</v>
      </c>
      <c r="C710" t="s">
        <v>69</v>
      </c>
      <c r="D710" t="s">
        <v>156</v>
      </c>
      <c r="E710" t="s">
        <v>13</v>
      </c>
      <c r="F710" t="s">
        <v>23</v>
      </c>
      <c r="G710" t="s">
        <v>47</v>
      </c>
      <c r="H710" s="3">
        <v>73709.039999999994</v>
      </c>
      <c r="I710" s="4">
        <v>1</v>
      </c>
      <c r="J710" s="3">
        <v>10637.06</v>
      </c>
      <c r="K710" t="str">
        <f t="shared" si="22"/>
        <v>May</v>
      </c>
      <c r="L710">
        <f t="shared" si="23"/>
        <v>2024</v>
      </c>
    </row>
    <row r="711" spans="1:12" x14ac:dyDescent="0.3">
      <c r="A711" s="2">
        <v>45442</v>
      </c>
      <c r="B711" t="s">
        <v>21</v>
      </c>
      <c r="C711" t="s">
        <v>49</v>
      </c>
      <c r="D711" t="s">
        <v>156</v>
      </c>
      <c r="E711" t="s">
        <v>26</v>
      </c>
      <c r="F711" t="s">
        <v>53</v>
      </c>
      <c r="G711" t="s">
        <v>96</v>
      </c>
      <c r="H711" s="3">
        <v>65653.41</v>
      </c>
      <c r="I711" s="4">
        <v>1</v>
      </c>
      <c r="J711" s="3">
        <v>10064.1</v>
      </c>
      <c r="K711" t="str">
        <f t="shared" si="22"/>
        <v>May</v>
      </c>
      <c r="L711">
        <f t="shared" si="23"/>
        <v>2024</v>
      </c>
    </row>
    <row r="712" spans="1:12" x14ac:dyDescent="0.3">
      <c r="A712" s="2">
        <v>45443</v>
      </c>
      <c r="B712" t="s">
        <v>101</v>
      </c>
      <c r="C712" t="s">
        <v>62</v>
      </c>
      <c r="D712" t="s">
        <v>156</v>
      </c>
      <c r="E712" t="s">
        <v>18</v>
      </c>
      <c r="F712" t="s">
        <v>40</v>
      </c>
      <c r="G712" t="s">
        <v>105</v>
      </c>
      <c r="H712" s="3">
        <v>2316.36</v>
      </c>
      <c r="I712" s="4">
        <v>1</v>
      </c>
      <c r="J712" s="3">
        <v>293.02</v>
      </c>
      <c r="K712" t="str">
        <f t="shared" si="22"/>
        <v>May</v>
      </c>
      <c r="L712">
        <f t="shared" si="23"/>
        <v>2024</v>
      </c>
    </row>
    <row r="713" spans="1:12" x14ac:dyDescent="0.3">
      <c r="A713" s="2">
        <v>45445</v>
      </c>
      <c r="B713" t="s">
        <v>60</v>
      </c>
      <c r="C713" t="s">
        <v>39</v>
      </c>
      <c r="D713" t="s">
        <v>156</v>
      </c>
      <c r="E713" t="s">
        <v>18</v>
      </c>
      <c r="F713" t="s">
        <v>19</v>
      </c>
      <c r="G713" t="s">
        <v>20</v>
      </c>
      <c r="H713" s="3">
        <v>172261.15</v>
      </c>
      <c r="I713" s="4">
        <v>3</v>
      </c>
      <c r="J713" s="3">
        <v>15809.93</v>
      </c>
      <c r="K713" t="str">
        <f t="shared" si="22"/>
        <v>June</v>
      </c>
      <c r="L713">
        <f t="shared" si="23"/>
        <v>2024</v>
      </c>
    </row>
    <row r="714" spans="1:12" x14ac:dyDescent="0.3">
      <c r="A714" s="2">
        <v>45445</v>
      </c>
      <c r="B714" t="s">
        <v>71</v>
      </c>
      <c r="C714" t="s">
        <v>39</v>
      </c>
      <c r="D714" t="s">
        <v>156</v>
      </c>
      <c r="E714" t="s">
        <v>13</v>
      </c>
      <c r="F714" t="s">
        <v>23</v>
      </c>
      <c r="G714" t="s">
        <v>85</v>
      </c>
      <c r="H714" s="3">
        <v>147686.41</v>
      </c>
      <c r="I714" s="4">
        <v>4</v>
      </c>
      <c r="J714" s="3">
        <v>17264.78</v>
      </c>
      <c r="K714" t="str">
        <f t="shared" si="22"/>
        <v>June</v>
      </c>
      <c r="L714">
        <f t="shared" si="23"/>
        <v>2024</v>
      </c>
    </row>
    <row r="715" spans="1:12" x14ac:dyDescent="0.3">
      <c r="A715" s="2">
        <v>45446</v>
      </c>
      <c r="B715" t="s">
        <v>71</v>
      </c>
      <c r="C715" t="s">
        <v>56</v>
      </c>
      <c r="D715" t="s">
        <v>156</v>
      </c>
      <c r="E715" t="s">
        <v>42</v>
      </c>
      <c r="F715" t="s">
        <v>43</v>
      </c>
      <c r="G715" t="s">
        <v>44</v>
      </c>
      <c r="H715" s="3">
        <v>14246.48</v>
      </c>
      <c r="I715" s="4">
        <v>1</v>
      </c>
      <c r="J715" s="3">
        <v>2782.12</v>
      </c>
      <c r="K715" t="str">
        <f t="shared" si="22"/>
        <v>June</v>
      </c>
      <c r="L715">
        <f t="shared" si="23"/>
        <v>2024</v>
      </c>
    </row>
    <row r="716" spans="1:12" x14ac:dyDescent="0.3">
      <c r="A716" s="2">
        <v>45446</v>
      </c>
      <c r="B716" t="s">
        <v>73</v>
      </c>
      <c r="C716" t="s">
        <v>56</v>
      </c>
      <c r="D716" t="s">
        <v>156</v>
      </c>
      <c r="E716" t="s">
        <v>18</v>
      </c>
      <c r="F716" t="s">
        <v>40</v>
      </c>
      <c r="G716" t="s">
        <v>102</v>
      </c>
      <c r="H716" s="3">
        <v>1287.54</v>
      </c>
      <c r="I716" s="4">
        <v>1</v>
      </c>
      <c r="J716" s="3">
        <v>131.91</v>
      </c>
      <c r="K716" t="str">
        <f t="shared" si="22"/>
        <v>June</v>
      </c>
      <c r="L716">
        <f t="shared" si="23"/>
        <v>2024</v>
      </c>
    </row>
    <row r="717" spans="1:12" x14ac:dyDescent="0.3">
      <c r="A717" s="2">
        <v>45449</v>
      </c>
      <c r="B717" t="s">
        <v>86</v>
      </c>
      <c r="C717" t="s">
        <v>62</v>
      </c>
      <c r="D717" t="s">
        <v>156</v>
      </c>
      <c r="E717" t="s">
        <v>35</v>
      </c>
      <c r="F717" t="s">
        <v>36</v>
      </c>
      <c r="G717" t="s">
        <v>37</v>
      </c>
      <c r="H717" s="3">
        <v>27306.45</v>
      </c>
      <c r="I717" s="4">
        <v>1</v>
      </c>
      <c r="J717" s="3">
        <v>2351.16</v>
      </c>
      <c r="K717" t="str">
        <f t="shared" si="22"/>
        <v>June</v>
      </c>
      <c r="L717">
        <f t="shared" si="23"/>
        <v>2024</v>
      </c>
    </row>
    <row r="718" spans="1:12" x14ac:dyDescent="0.3">
      <c r="A718" s="2">
        <v>45451</v>
      </c>
      <c r="B718" t="s">
        <v>25</v>
      </c>
      <c r="C718" t="s">
        <v>62</v>
      </c>
      <c r="D718" t="s">
        <v>156</v>
      </c>
      <c r="E718" t="s">
        <v>26</v>
      </c>
      <c r="F718" t="s">
        <v>53</v>
      </c>
      <c r="G718" t="s">
        <v>96</v>
      </c>
      <c r="H718" s="3">
        <v>269441.09999999998</v>
      </c>
      <c r="I718" s="4">
        <v>4</v>
      </c>
      <c r="J718" s="3">
        <v>34795.769999999997</v>
      </c>
      <c r="K718" t="str">
        <f t="shared" si="22"/>
        <v>June</v>
      </c>
      <c r="L718">
        <f t="shared" si="23"/>
        <v>2024</v>
      </c>
    </row>
    <row r="719" spans="1:12" x14ac:dyDescent="0.3">
      <c r="A719" s="2">
        <v>45451</v>
      </c>
      <c r="B719" t="s">
        <v>21</v>
      </c>
      <c r="C719" t="s">
        <v>56</v>
      </c>
      <c r="D719" t="s">
        <v>156</v>
      </c>
      <c r="E719" t="s">
        <v>18</v>
      </c>
      <c r="F719" t="s">
        <v>19</v>
      </c>
      <c r="G719" t="s">
        <v>20</v>
      </c>
      <c r="H719" s="3">
        <v>63310.03</v>
      </c>
      <c r="I719" s="4">
        <v>1</v>
      </c>
      <c r="J719" s="3">
        <v>7964.83</v>
      </c>
      <c r="K719" t="str">
        <f t="shared" si="22"/>
        <v>June</v>
      </c>
      <c r="L719">
        <f t="shared" si="23"/>
        <v>2024</v>
      </c>
    </row>
    <row r="720" spans="1:12" x14ac:dyDescent="0.3">
      <c r="A720" s="2">
        <v>45452</v>
      </c>
      <c r="B720" t="s">
        <v>93</v>
      </c>
      <c r="C720" t="s">
        <v>49</v>
      </c>
      <c r="D720" t="s">
        <v>156</v>
      </c>
      <c r="E720" t="s">
        <v>13</v>
      </c>
      <c r="F720" t="s">
        <v>23</v>
      </c>
      <c r="G720" t="s">
        <v>79</v>
      </c>
      <c r="H720" s="3">
        <v>130651.39</v>
      </c>
      <c r="I720" s="4">
        <v>2</v>
      </c>
      <c r="J720" s="3">
        <v>14240.8</v>
      </c>
      <c r="K720" t="str">
        <f t="shared" si="22"/>
        <v>June</v>
      </c>
      <c r="L720">
        <f t="shared" si="23"/>
        <v>2024</v>
      </c>
    </row>
    <row r="721" spans="1:12" x14ac:dyDescent="0.3">
      <c r="A721" s="2">
        <v>45454</v>
      </c>
      <c r="B721" t="s">
        <v>73</v>
      </c>
      <c r="C721" t="s">
        <v>66</v>
      </c>
      <c r="D721" t="s">
        <v>156</v>
      </c>
      <c r="E721" t="s">
        <v>35</v>
      </c>
      <c r="F721" t="s">
        <v>63</v>
      </c>
      <c r="G721" t="s">
        <v>64</v>
      </c>
      <c r="H721" s="3">
        <v>79332.55</v>
      </c>
      <c r="I721" s="4">
        <v>3</v>
      </c>
      <c r="J721" s="3">
        <v>8240.67</v>
      </c>
      <c r="K721" t="str">
        <f t="shared" si="22"/>
        <v>June</v>
      </c>
      <c r="L721">
        <f t="shared" si="23"/>
        <v>2024</v>
      </c>
    </row>
    <row r="722" spans="1:12" x14ac:dyDescent="0.3">
      <c r="A722" s="2">
        <v>45456</v>
      </c>
      <c r="B722" t="s">
        <v>74</v>
      </c>
      <c r="C722" t="s">
        <v>12</v>
      </c>
      <c r="D722" t="s">
        <v>156</v>
      </c>
      <c r="E722" t="s">
        <v>42</v>
      </c>
      <c r="F722" t="s">
        <v>43</v>
      </c>
      <c r="G722" t="s">
        <v>44</v>
      </c>
      <c r="H722" s="3">
        <v>12431.94</v>
      </c>
      <c r="I722" s="4">
        <v>1</v>
      </c>
      <c r="J722" s="3">
        <v>1392.2</v>
      </c>
      <c r="K722" t="str">
        <f t="shared" si="22"/>
        <v>June</v>
      </c>
      <c r="L722">
        <f t="shared" si="23"/>
        <v>2024</v>
      </c>
    </row>
    <row r="723" spans="1:12" x14ac:dyDescent="0.3">
      <c r="A723" s="2">
        <v>45456</v>
      </c>
      <c r="B723" t="s">
        <v>11</v>
      </c>
      <c r="C723" t="s">
        <v>56</v>
      </c>
      <c r="D723" t="s">
        <v>156</v>
      </c>
      <c r="E723" t="s">
        <v>18</v>
      </c>
      <c r="F723" t="s">
        <v>40</v>
      </c>
      <c r="G723" t="s">
        <v>117</v>
      </c>
      <c r="H723" s="3">
        <v>2966.64</v>
      </c>
      <c r="I723" s="4">
        <v>1</v>
      </c>
      <c r="J723" s="3">
        <v>318.31</v>
      </c>
      <c r="K723" t="str">
        <f t="shared" si="22"/>
        <v>June</v>
      </c>
      <c r="L723">
        <f t="shared" si="23"/>
        <v>2024</v>
      </c>
    </row>
    <row r="724" spans="1:12" x14ac:dyDescent="0.3">
      <c r="A724" s="2">
        <v>45457</v>
      </c>
      <c r="B724" t="s">
        <v>71</v>
      </c>
      <c r="C724" t="s">
        <v>66</v>
      </c>
      <c r="D724" t="s">
        <v>156</v>
      </c>
      <c r="E724" t="s">
        <v>18</v>
      </c>
      <c r="F724" t="s">
        <v>19</v>
      </c>
      <c r="G724" t="s">
        <v>106</v>
      </c>
      <c r="H724" s="3">
        <v>98025.25</v>
      </c>
      <c r="I724" s="4">
        <v>1</v>
      </c>
      <c r="J724" s="3">
        <v>11831.04</v>
      </c>
      <c r="K724" t="str">
        <f t="shared" si="22"/>
        <v>June</v>
      </c>
      <c r="L724">
        <f t="shared" si="23"/>
        <v>2024</v>
      </c>
    </row>
    <row r="725" spans="1:12" x14ac:dyDescent="0.3">
      <c r="A725" s="2">
        <v>45457</v>
      </c>
      <c r="B725" t="s">
        <v>71</v>
      </c>
      <c r="C725" t="s">
        <v>46</v>
      </c>
      <c r="D725" t="s">
        <v>156</v>
      </c>
      <c r="E725" t="s">
        <v>13</v>
      </c>
      <c r="F725" t="s">
        <v>23</v>
      </c>
      <c r="G725" t="s">
        <v>79</v>
      </c>
      <c r="H725" s="3">
        <v>129046.64</v>
      </c>
      <c r="I725" s="4">
        <v>2</v>
      </c>
      <c r="J725" s="3">
        <v>17104.59</v>
      </c>
      <c r="K725" t="str">
        <f t="shared" si="22"/>
        <v>June</v>
      </c>
      <c r="L725">
        <f t="shared" si="23"/>
        <v>2024</v>
      </c>
    </row>
    <row r="726" spans="1:12" x14ac:dyDescent="0.3">
      <c r="A726" s="2">
        <v>45458</v>
      </c>
      <c r="B726" t="s">
        <v>32</v>
      </c>
      <c r="C726" t="s">
        <v>17</v>
      </c>
      <c r="D726" t="s">
        <v>156</v>
      </c>
      <c r="E726" t="s">
        <v>18</v>
      </c>
      <c r="F726" t="s">
        <v>19</v>
      </c>
      <c r="G726" t="s">
        <v>20</v>
      </c>
      <c r="H726" s="3">
        <v>60486.95</v>
      </c>
      <c r="I726" s="4">
        <v>1</v>
      </c>
      <c r="J726" s="3">
        <v>6447.45</v>
      </c>
      <c r="K726" t="str">
        <f t="shared" si="22"/>
        <v>June</v>
      </c>
      <c r="L726">
        <f t="shared" si="23"/>
        <v>2024</v>
      </c>
    </row>
    <row r="727" spans="1:12" x14ac:dyDescent="0.3">
      <c r="A727" s="2">
        <v>45459</v>
      </c>
      <c r="B727" t="s">
        <v>116</v>
      </c>
      <c r="C727" t="s">
        <v>69</v>
      </c>
      <c r="D727" t="s">
        <v>156</v>
      </c>
      <c r="E727" t="s">
        <v>42</v>
      </c>
      <c r="F727" t="s">
        <v>90</v>
      </c>
      <c r="G727" t="s">
        <v>120</v>
      </c>
      <c r="H727" s="3">
        <v>15900.78</v>
      </c>
      <c r="I727" s="4">
        <v>3</v>
      </c>
      <c r="J727" s="3">
        <v>-694.17</v>
      </c>
      <c r="K727" t="str">
        <f t="shared" si="22"/>
        <v>June</v>
      </c>
      <c r="L727">
        <f t="shared" si="23"/>
        <v>2024</v>
      </c>
    </row>
    <row r="728" spans="1:12" x14ac:dyDescent="0.3">
      <c r="A728" s="2">
        <v>45460</v>
      </c>
      <c r="B728" t="s">
        <v>25</v>
      </c>
      <c r="C728" t="s">
        <v>39</v>
      </c>
      <c r="D728" t="s">
        <v>156</v>
      </c>
      <c r="E728" t="s">
        <v>35</v>
      </c>
      <c r="F728" t="s">
        <v>36</v>
      </c>
      <c r="G728" t="s">
        <v>84</v>
      </c>
      <c r="H728" s="3">
        <v>26287.279999999999</v>
      </c>
      <c r="I728" s="4">
        <v>1</v>
      </c>
      <c r="J728" s="3">
        <v>4654.62</v>
      </c>
      <c r="K728" t="str">
        <f t="shared" si="22"/>
        <v>June</v>
      </c>
      <c r="L728">
        <f t="shared" si="23"/>
        <v>2024</v>
      </c>
    </row>
    <row r="729" spans="1:12" x14ac:dyDescent="0.3">
      <c r="A729" s="2">
        <v>45460</v>
      </c>
      <c r="B729" t="s">
        <v>45</v>
      </c>
      <c r="C729" t="s">
        <v>66</v>
      </c>
      <c r="D729" t="s">
        <v>156</v>
      </c>
      <c r="E729" t="s">
        <v>18</v>
      </c>
      <c r="F729" t="s">
        <v>19</v>
      </c>
      <c r="G729" t="s">
        <v>33</v>
      </c>
      <c r="H729" s="3">
        <v>104422.97</v>
      </c>
      <c r="I729" s="4">
        <v>2</v>
      </c>
      <c r="J729" s="3">
        <v>13359.4</v>
      </c>
      <c r="K729" t="str">
        <f t="shared" si="22"/>
        <v>June</v>
      </c>
      <c r="L729">
        <f t="shared" si="23"/>
        <v>2024</v>
      </c>
    </row>
    <row r="730" spans="1:12" x14ac:dyDescent="0.3">
      <c r="A730" s="2">
        <v>45460</v>
      </c>
      <c r="B730" t="s">
        <v>78</v>
      </c>
      <c r="C730" t="s">
        <v>17</v>
      </c>
      <c r="D730" t="s">
        <v>156</v>
      </c>
      <c r="E730" t="s">
        <v>18</v>
      </c>
      <c r="F730" t="s">
        <v>19</v>
      </c>
      <c r="G730" t="s">
        <v>33</v>
      </c>
      <c r="H730" s="3">
        <v>174803.76</v>
      </c>
      <c r="I730" s="4">
        <v>3</v>
      </c>
      <c r="J730" s="3">
        <v>25974.1</v>
      </c>
      <c r="K730" t="str">
        <f t="shared" si="22"/>
        <v>June</v>
      </c>
      <c r="L730">
        <f t="shared" si="23"/>
        <v>2024</v>
      </c>
    </row>
    <row r="731" spans="1:12" x14ac:dyDescent="0.3">
      <c r="A731" s="2">
        <v>45463</v>
      </c>
      <c r="B731" t="s">
        <v>32</v>
      </c>
      <c r="C731" t="s">
        <v>69</v>
      </c>
      <c r="D731" t="s">
        <v>156</v>
      </c>
      <c r="E731" t="s">
        <v>35</v>
      </c>
      <c r="F731" t="s">
        <v>50</v>
      </c>
      <c r="G731" t="s">
        <v>51</v>
      </c>
      <c r="H731" s="3">
        <v>7468.19</v>
      </c>
      <c r="I731" s="4">
        <v>1</v>
      </c>
      <c r="J731" s="3">
        <v>1216.74</v>
      </c>
      <c r="K731" t="str">
        <f t="shared" si="22"/>
        <v>June</v>
      </c>
      <c r="L731">
        <f t="shared" si="23"/>
        <v>2024</v>
      </c>
    </row>
    <row r="732" spans="1:12" x14ac:dyDescent="0.3">
      <c r="A732" s="2">
        <v>45463</v>
      </c>
      <c r="B732" t="s">
        <v>95</v>
      </c>
      <c r="C732" t="s">
        <v>68</v>
      </c>
      <c r="D732" t="s">
        <v>156</v>
      </c>
      <c r="E732" t="s">
        <v>18</v>
      </c>
      <c r="F732" t="s">
        <v>19</v>
      </c>
      <c r="G732" t="s">
        <v>33</v>
      </c>
      <c r="H732" s="3">
        <v>52411.53</v>
      </c>
      <c r="I732" s="4">
        <v>1</v>
      </c>
      <c r="J732" s="3">
        <v>8612.1</v>
      </c>
      <c r="K732" t="str">
        <f t="shared" si="22"/>
        <v>June</v>
      </c>
      <c r="L732">
        <f t="shared" si="23"/>
        <v>2024</v>
      </c>
    </row>
    <row r="733" spans="1:12" x14ac:dyDescent="0.3">
      <c r="A733" s="2">
        <v>45463</v>
      </c>
      <c r="B733" t="s">
        <v>92</v>
      </c>
      <c r="C733" t="s">
        <v>12</v>
      </c>
      <c r="D733" t="s">
        <v>156</v>
      </c>
      <c r="E733" t="s">
        <v>35</v>
      </c>
      <c r="F733" t="s">
        <v>36</v>
      </c>
      <c r="G733" t="s">
        <v>84</v>
      </c>
      <c r="H733" s="3">
        <v>26712.73</v>
      </c>
      <c r="I733" s="4">
        <v>1</v>
      </c>
      <c r="J733" s="3">
        <v>3711.57</v>
      </c>
      <c r="K733" t="str">
        <f t="shared" si="22"/>
        <v>June</v>
      </c>
      <c r="L733">
        <f t="shared" si="23"/>
        <v>2024</v>
      </c>
    </row>
    <row r="734" spans="1:12" x14ac:dyDescent="0.3">
      <c r="A734" s="2">
        <v>45463</v>
      </c>
      <c r="B734" t="s">
        <v>83</v>
      </c>
      <c r="C734" t="s">
        <v>30</v>
      </c>
      <c r="D734" t="s">
        <v>156</v>
      </c>
      <c r="E734" t="s">
        <v>13</v>
      </c>
      <c r="F734" t="s">
        <v>23</v>
      </c>
      <c r="G734" t="s">
        <v>108</v>
      </c>
      <c r="H734" s="3">
        <v>100882.07</v>
      </c>
      <c r="I734" s="4">
        <v>2</v>
      </c>
      <c r="J734" s="3">
        <v>9125.24</v>
      </c>
      <c r="K734" t="str">
        <f t="shared" si="22"/>
        <v>June</v>
      </c>
      <c r="L734">
        <f t="shared" si="23"/>
        <v>2024</v>
      </c>
    </row>
    <row r="735" spans="1:12" x14ac:dyDescent="0.3">
      <c r="A735" s="2">
        <v>45465</v>
      </c>
      <c r="B735" t="s">
        <v>101</v>
      </c>
      <c r="C735" t="s">
        <v>17</v>
      </c>
      <c r="D735" t="s">
        <v>156</v>
      </c>
      <c r="E735" t="s">
        <v>26</v>
      </c>
      <c r="F735" t="s">
        <v>27</v>
      </c>
      <c r="G735" t="s">
        <v>31</v>
      </c>
      <c r="H735" s="3">
        <v>9919.14</v>
      </c>
      <c r="I735" s="4">
        <v>1</v>
      </c>
      <c r="J735" s="3">
        <v>1285.8699999999999</v>
      </c>
      <c r="K735" t="str">
        <f t="shared" si="22"/>
        <v>June</v>
      </c>
      <c r="L735">
        <f t="shared" si="23"/>
        <v>2024</v>
      </c>
    </row>
    <row r="736" spans="1:12" x14ac:dyDescent="0.3">
      <c r="A736" s="2">
        <v>45465</v>
      </c>
      <c r="B736" t="s">
        <v>52</v>
      </c>
      <c r="C736" t="s">
        <v>66</v>
      </c>
      <c r="D736" t="s">
        <v>156</v>
      </c>
      <c r="E736" t="s">
        <v>13</v>
      </c>
      <c r="F736" t="s">
        <v>14</v>
      </c>
      <c r="G736" t="s">
        <v>57</v>
      </c>
      <c r="H736" s="3">
        <v>1690.67</v>
      </c>
      <c r="I736" s="4">
        <v>1</v>
      </c>
      <c r="J736" s="3">
        <v>217.8</v>
      </c>
      <c r="K736" t="str">
        <f t="shared" si="22"/>
        <v>June</v>
      </c>
      <c r="L736">
        <f t="shared" si="23"/>
        <v>2024</v>
      </c>
    </row>
    <row r="737" spans="1:12" x14ac:dyDescent="0.3">
      <c r="A737" s="2">
        <v>45465</v>
      </c>
      <c r="B737" t="s">
        <v>92</v>
      </c>
      <c r="C737" t="s">
        <v>49</v>
      </c>
      <c r="D737" t="s">
        <v>156</v>
      </c>
      <c r="E737" t="s">
        <v>26</v>
      </c>
      <c r="F737" t="s">
        <v>53</v>
      </c>
      <c r="G737" t="s">
        <v>98</v>
      </c>
      <c r="H737" s="3">
        <v>81131.399999999994</v>
      </c>
      <c r="I737" s="4">
        <v>3</v>
      </c>
      <c r="J737" s="3">
        <v>9101.98</v>
      </c>
      <c r="K737" t="str">
        <f t="shared" si="22"/>
        <v>June</v>
      </c>
      <c r="L737">
        <f t="shared" si="23"/>
        <v>2024</v>
      </c>
    </row>
    <row r="738" spans="1:12" x14ac:dyDescent="0.3">
      <c r="A738" s="2">
        <v>45466</v>
      </c>
      <c r="B738" t="s">
        <v>80</v>
      </c>
      <c r="C738" t="s">
        <v>49</v>
      </c>
      <c r="D738" t="s">
        <v>156</v>
      </c>
      <c r="E738" t="s">
        <v>26</v>
      </c>
      <c r="F738" t="s">
        <v>53</v>
      </c>
      <c r="G738" t="s">
        <v>104</v>
      </c>
      <c r="H738" s="3">
        <v>231671.02</v>
      </c>
      <c r="I738" s="4">
        <v>3</v>
      </c>
      <c r="J738" s="3">
        <v>23141.88</v>
      </c>
      <c r="K738" t="str">
        <f t="shared" si="22"/>
        <v>June</v>
      </c>
      <c r="L738">
        <f t="shared" si="23"/>
        <v>2024</v>
      </c>
    </row>
    <row r="739" spans="1:12" x14ac:dyDescent="0.3">
      <c r="A739" s="2">
        <v>45467</v>
      </c>
      <c r="B739" t="s">
        <v>65</v>
      </c>
      <c r="C739" t="s">
        <v>61</v>
      </c>
      <c r="D739" t="s">
        <v>156</v>
      </c>
      <c r="E739" t="s">
        <v>35</v>
      </c>
      <c r="F739" t="s">
        <v>75</v>
      </c>
      <c r="G739" t="s">
        <v>110</v>
      </c>
      <c r="H739" s="3">
        <v>221787.64</v>
      </c>
      <c r="I739" s="4">
        <v>5</v>
      </c>
      <c r="J739" s="3">
        <v>18020.02</v>
      </c>
      <c r="K739" t="str">
        <f t="shared" si="22"/>
        <v>June</v>
      </c>
      <c r="L739">
        <f t="shared" si="23"/>
        <v>2024</v>
      </c>
    </row>
    <row r="740" spans="1:12" x14ac:dyDescent="0.3">
      <c r="A740" s="2">
        <v>45468</v>
      </c>
      <c r="B740" t="s">
        <v>34</v>
      </c>
      <c r="C740" t="s">
        <v>58</v>
      </c>
      <c r="D740" t="s">
        <v>156</v>
      </c>
      <c r="E740" t="s">
        <v>26</v>
      </c>
      <c r="F740" t="s">
        <v>53</v>
      </c>
      <c r="G740" t="s">
        <v>104</v>
      </c>
      <c r="H740" s="3">
        <v>163099.88</v>
      </c>
      <c r="I740" s="4">
        <v>2</v>
      </c>
      <c r="J740" s="3">
        <v>28916.15</v>
      </c>
      <c r="K740" t="str">
        <f t="shared" si="22"/>
        <v>June</v>
      </c>
      <c r="L740">
        <f t="shared" si="23"/>
        <v>2024</v>
      </c>
    </row>
    <row r="741" spans="1:12" x14ac:dyDescent="0.3">
      <c r="A741" s="2">
        <v>45470</v>
      </c>
      <c r="B741" t="s">
        <v>45</v>
      </c>
      <c r="C741" t="s">
        <v>12</v>
      </c>
      <c r="D741" t="s">
        <v>156</v>
      </c>
      <c r="E741" t="s">
        <v>18</v>
      </c>
      <c r="F741" t="s">
        <v>19</v>
      </c>
      <c r="G741" t="s">
        <v>72</v>
      </c>
      <c r="H741" s="3">
        <v>58301.32</v>
      </c>
      <c r="I741" s="4">
        <v>1</v>
      </c>
      <c r="J741" s="3">
        <v>8977.56</v>
      </c>
      <c r="K741" t="str">
        <f t="shared" si="22"/>
        <v>June</v>
      </c>
      <c r="L741">
        <f t="shared" si="23"/>
        <v>2024</v>
      </c>
    </row>
    <row r="742" spans="1:12" x14ac:dyDescent="0.3">
      <c r="A742" s="2">
        <v>45470</v>
      </c>
      <c r="B742" t="s">
        <v>52</v>
      </c>
      <c r="C742" t="s">
        <v>30</v>
      </c>
      <c r="D742" t="s">
        <v>156</v>
      </c>
      <c r="E742" t="s">
        <v>18</v>
      </c>
      <c r="F742" t="s">
        <v>19</v>
      </c>
      <c r="G742" t="s">
        <v>20</v>
      </c>
      <c r="H742" s="3">
        <v>185143.08</v>
      </c>
      <c r="I742" s="4">
        <v>3</v>
      </c>
      <c r="J742" s="3">
        <v>24876.83</v>
      </c>
      <c r="K742" t="str">
        <f t="shared" si="22"/>
        <v>June</v>
      </c>
      <c r="L742">
        <f t="shared" si="23"/>
        <v>2024</v>
      </c>
    </row>
    <row r="743" spans="1:12" x14ac:dyDescent="0.3">
      <c r="A743" s="2">
        <v>45471</v>
      </c>
      <c r="B743" t="s">
        <v>83</v>
      </c>
      <c r="C743" t="s">
        <v>58</v>
      </c>
      <c r="D743" t="s">
        <v>156</v>
      </c>
      <c r="E743" t="s">
        <v>35</v>
      </c>
      <c r="F743" t="s">
        <v>75</v>
      </c>
      <c r="G743" t="s">
        <v>107</v>
      </c>
      <c r="H743" s="3">
        <v>36387.760000000002</v>
      </c>
      <c r="I743" s="4">
        <v>1</v>
      </c>
      <c r="J743" s="3">
        <v>6797.9</v>
      </c>
      <c r="K743" t="str">
        <f t="shared" si="22"/>
        <v>June</v>
      </c>
      <c r="L743">
        <f t="shared" si="23"/>
        <v>2024</v>
      </c>
    </row>
    <row r="744" spans="1:12" x14ac:dyDescent="0.3">
      <c r="A744" s="2">
        <v>45471</v>
      </c>
      <c r="B744" t="s">
        <v>38</v>
      </c>
      <c r="C744" t="s">
        <v>68</v>
      </c>
      <c r="D744" t="s">
        <v>156</v>
      </c>
      <c r="E744" t="s">
        <v>35</v>
      </c>
      <c r="F744" t="s">
        <v>50</v>
      </c>
      <c r="G744" t="s">
        <v>121</v>
      </c>
      <c r="H744" s="3">
        <v>4311.18</v>
      </c>
      <c r="I744" s="4">
        <v>1</v>
      </c>
      <c r="J744" s="3">
        <v>801.07</v>
      </c>
      <c r="K744" t="str">
        <f t="shared" si="22"/>
        <v>June</v>
      </c>
      <c r="L744">
        <f t="shared" si="23"/>
        <v>2024</v>
      </c>
    </row>
    <row r="745" spans="1:12" x14ac:dyDescent="0.3">
      <c r="A745" s="2">
        <v>45471</v>
      </c>
      <c r="B745" t="s">
        <v>113</v>
      </c>
      <c r="C745" t="s">
        <v>58</v>
      </c>
      <c r="D745" t="s">
        <v>156</v>
      </c>
      <c r="E745" t="s">
        <v>35</v>
      </c>
      <c r="F745" t="s">
        <v>36</v>
      </c>
      <c r="G745" t="s">
        <v>99</v>
      </c>
      <c r="H745" s="3">
        <v>74742.84</v>
      </c>
      <c r="I745" s="4">
        <v>2</v>
      </c>
      <c r="J745" s="3">
        <v>12955.26</v>
      </c>
      <c r="K745" t="str">
        <f t="shared" si="22"/>
        <v>June</v>
      </c>
      <c r="L745">
        <f t="shared" si="23"/>
        <v>2024</v>
      </c>
    </row>
    <row r="746" spans="1:12" x14ac:dyDescent="0.3">
      <c r="A746" s="2">
        <v>45472</v>
      </c>
      <c r="B746" t="s">
        <v>78</v>
      </c>
      <c r="C746" t="s">
        <v>56</v>
      </c>
      <c r="D746" t="s">
        <v>156</v>
      </c>
      <c r="E746" t="s">
        <v>13</v>
      </c>
      <c r="F746" t="s">
        <v>23</v>
      </c>
      <c r="G746" t="s">
        <v>77</v>
      </c>
      <c r="H746" s="3">
        <v>102773.79</v>
      </c>
      <c r="I746" s="4">
        <v>3</v>
      </c>
      <c r="J746" s="3">
        <v>9448.24</v>
      </c>
      <c r="K746" t="str">
        <f t="shared" si="22"/>
        <v>June</v>
      </c>
      <c r="L746">
        <f t="shared" si="23"/>
        <v>2024</v>
      </c>
    </row>
    <row r="747" spans="1:12" x14ac:dyDescent="0.3">
      <c r="A747" s="2">
        <v>45472</v>
      </c>
      <c r="B747" t="s">
        <v>21</v>
      </c>
      <c r="C747" t="s">
        <v>69</v>
      </c>
      <c r="D747" t="s">
        <v>156</v>
      </c>
      <c r="E747" t="s">
        <v>35</v>
      </c>
      <c r="F747" t="s">
        <v>50</v>
      </c>
      <c r="G747" t="s">
        <v>121</v>
      </c>
      <c r="H747" s="3">
        <v>4813.09</v>
      </c>
      <c r="I747" s="4">
        <v>1</v>
      </c>
      <c r="J747" s="3">
        <v>509.55</v>
      </c>
      <c r="K747" t="str">
        <f t="shared" si="22"/>
        <v>June</v>
      </c>
      <c r="L747">
        <f t="shared" si="23"/>
        <v>2024</v>
      </c>
    </row>
    <row r="748" spans="1:12" x14ac:dyDescent="0.3">
      <c r="A748" s="2">
        <v>45473</v>
      </c>
      <c r="B748" t="s">
        <v>86</v>
      </c>
      <c r="C748" t="s">
        <v>58</v>
      </c>
      <c r="D748" t="s">
        <v>156</v>
      </c>
      <c r="E748" t="s">
        <v>42</v>
      </c>
      <c r="F748" t="s">
        <v>43</v>
      </c>
      <c r="G748" t="s">
        <v>89</v>
      </c>
      <c r="H748" s="3">
        <v>29152.02</v>
      </c>
      <c r="I748" s="4">
        <v>1</v>
      </c>
      <c r="J748" s="3">
        <v>3258.3</v>
      </c>
      <c r="K748" t="str">
        <f t="shared" si="22"/>
        <v>June</v>
      </c>
      <c r="L748">
        <f t="shared" si="23"/>
        <v>2024</v>
      </c>
    </row>
    <row r="749" spans="1:12" x14ac:dyDescent="0.3">
      <c r="A749" s="2">
        <v>45474</v>
      </c>
      <c r="B749" t="s">
        <v>101</v>
      </c>
      <c r="C749" t="s">
        <v>66</v>
      </c>
      <c r="D749" t="s">
        <v>156</v>
      </c>
      <c r="E749" t="s">
        <v>18</v>
      </c>
      <c r="F749" t="s">
        <v>40</v>
      </c>
      <c r="G749" t="s">
        <v>117</v>
      </c>
      <c r="H749" s="3">
        <v>5285.5</v>
      </c>
      <c r="I749" s="4">
        <v>2</v>
      </c>
      <c r="J749" s="3">
        <v>827.32</v>
      </c>
      <c r="K749" t="str">
        <f t="shared" si="22"/>
        <v>July</v>
      </c>
      <c r="L749">
        <f t="shared" si="23"/>
        <v>2024</v>
      </c>
    </row>
    <row r="750" spans="1:12" x14ac:dyDescent="0.3">
      <c r="A750" s="2">
        <v>45475</v>
      </c>
      <c r="B750" t="s">
        <v>83</v>
      </c>
      <c r="C750" t="s">
        <v>39</v>
      </c>
      <c r="D750" t="s">
        <v>156</v>
      </c>
      <c r="E750" t="s">
        <v>42</v>
      </c>
      <c r="F750" t="s">
        <v>43</v>
      </c>
      <c r="G750" t="s">
        <v>44</v>
      </c>
      <c r="H750" s="3">
        <v>29656.85</v>
      </c>
      <c r="I750" s="4">
        <v>2</v>
      </c>
      <c r="J750" s="3">
        <v>3798.77</v>
      </c>
      <c r="K750" t="str">
        <f t="shared" si="22"/>
        <v>July</v>
      </c>
      <c r="L750">
        <f t="shared" si="23"/>
        <v>2024</v>
      </c>
    </row>
    <row r="751" spans="1:12" x14ac:dyDescent="0.3">
      <c r="A751" s="2">
        <v>45475</v>
      </c>
      <c r="B751" t="s">
        <v>71</v>
      </c>
      <c r="C751" t="s">
        <v>58</v>
      </c>
      <c r="D751" t="s">
        <v>156</v>
      </c>
      <c r="E751" t="s">
        <v>26</v>
      </c>
      <c r="F751" t="s">
        <v>53</v>
      </c>
      <c r="G751" t="s">
        <v>104</v>
      </c>
      <c r="H751" s="3">
        <v>150033.46</v>
      </c>
      <c r="I751" s="4">
        <v>2</v>
      </c>
      <c r="J751" s="3">
        <v>19009.900000000001</v>
      </c>
      <c r="K751" t="str">
        <f t="shared" si="22"/>
        <v>July</v>
      </c>
      <c r="L751">
        <f t="shared" si="23"/>
        <v>2024</v>
      </c>
    </row>
    <row r="752" spans="1:12" x14ac:dyDescent="0.3">
      <c r="A752" s="2">
        <v>45476</v>
      </c>
      <c r="B752" t="s">
        <v>48</v>
      </c>
      <c r="C752" t="s">
        <v>39</v>
      </c>
      <c r="D752" t="s">
        <v>156</v>
      </c>
      <c r="E752" t="s">
        <v>42</v>
      </c>
      <c r="F752" t="s">
        <v>90</v>
      </c>
      <c r="G752" t="s">
        <v>91</v>
      </c>
      <c r="H752" s="3">
        <v>1724.93</v>
      </c>
      <c r="I752" s="4">
        <v>1</v>
      </c>
      <c r="J752" s="3">
        <v>347.41</v>
      </c>
      <c r="K752" t="str">
        <f t="shared" si="22"/>
        <v>July</v>
      </c>
      <c r="L752">
        <f t="shared" si="23"/>
        <v>2024</v>
      </c>
    </row>
    <row r="753" spans="1:12" x14ac:dyDescent="0.3">
      <c r="A753" s="2">
        <v>45477</v>
      </c>
      <c r="B753" t="s">
        <v>95</v>
      </c>
      <c r="C753" t="s">
        <v>66</v>
      </c>
      <c r="D753" t="s">
        <v>156</v>
      </c>
      <c r="E753" t="s">
        <v>26</v>
      </c>
      <c r="F753" t="s">
        <v>53</v>
      </c>
      <c r="G753" t="s">
        <v>96</v>
      </c>
      <c r="H753" s="3">
        <v>119616.77</v>
      </c>
      <c r="I753" s="4">
        <v>2</v>
      </c>
      <c r="J753" s="3">
        <v>14521.32</v>
      </c>
      <c r="K753" t="str">
        <f t="shared" si="22"/>
        <v>July</v>
      </c>
      <c r="L753">
        <f t="shared" si="23"/>
        <v>2024</v>
      </c>
    </row>
    <row r="754" spans="1:12" x14ac:dyDescent="0.3">
      <c r="A754" s="2">
        <v>45477</v>
      </c>
      <c r="B754" t="s">
        <v>45</v>
      </c>
      <c r="C754" t="s">
        <v>12</v>
      </c>
      <c r="D754" t="s">
        <v>156</v>
      </c>
      <c r="E754" t="s">
        <v>42</v>
      </c>
      <c r="F754" t="s">
        <v>90</v>
      </c>
      <c r="G754" t="s">
        <v>91</v>
      </c>
      <c r="H754" s="3">
        <v>1761.24</v>
      </c>
      <c r="I754" s="4">
        <v>1</v>
      </c>
      <c r="J754" s="3">
        <v>382.26</v>
      </c>
      <c r="K754" t="str">
        <f t="shared" si="22"/>
        <v>July</v>
      </c>
      <c r="L754">
        <f t="shared" si="23"/>
        <v>2024</v>
      </c>
    </row>
    <row r="755" spans="1:12" x14ac:dyDescent="0.3">
      <c r="A755" s="2">
        <v>45478</v>
      </c>
      <c r="B755" t="s">
        <v>65</v>
      </c>
      <c r="C755" t="s">
        <v>68</v>
      </c>
      <c r="D755" t="s">
        <v>156</v>
      </c>
      <c r="E755" t="s">
        <v>42</v>
      </c>
      <c r="F755" t="s">
        <v>90</v>
      </c>
      <c r="G755" t="s">
        <v>91</v>
      </c>
      <c r="H755" s="3">
        <v>1670.33</v>
      </c>
      <c r="I755" s="4">
        <v>1</v>
      </c>
      <c r="J755" s="3">
        <v>262.25</v>
      </c>
      <c r="K755" t="str">
        <f t="shared" si="22"/>
        <v>July</v>
      </c>
      <c r="L755">
        <f t="shared" si="23"/>
        <v>2024</v>
      </c>
    </row>
    <row r="756" spans="1:12" x14ac:dyDescent="0.3">
      <c r="A756" s="2">
        <v>45479</v>
      </c>
      <c r="B756" t="s">
        <v>103</v>
      </c>
      <c r="C756" t="s">
        <v>62</v>
      </c>
      <c r="D756" t="s">
        <v>156</v>
      </c>
      <c r="E756" t="s">
        <v>26</v>
      </c>
      <c r="F756" t="s">
        <v>53</v>
      </c>
      <c r="G756" t="s">
        <v>98</v>
      </c>
      <c r="H756" s="3">
        <v>29261.919999999998</v>
      </c>
      <c r="I756" s="4">
        <v>1</v>
      </c>
      <c r="J756" s="3">
        <v>4833.05</v>
      </c>
      <c r="K756" t="str">
        <f t="shared" si="22"/>
        <v>July</v>
      </c>
      <c r="L756">
        <f t="shared" si="23"/>
        <v>2024</v>
      </c>
    </row>
    <row r="757" spans="1:12" x14ac:dyDescent="0.3">
      <c r="A757" s="2">
        <v>45479</v>
      </c>
      <c r="B757" t="s">
        <v>93</v>
      </c>
      <c r="C757" t="s">
        <v>30</v>
      </c>
      <c r="D757" t="s">
        <v>156</v>
      </c>
      <c r="E757" t="s">
        <v>13</v>
      </c>
      <c r="F757" t="s">
        <v>23</v>
      </c>
      <c r="G757" t="s">
        <v>77</v>
      </c>
      <c r="H757" s="3">
        <v>69019.92</v>
      </c>
      <c r="I757" s="4">
        <v>2</v>
      </c>
      <c r="J757" s="3">
        <v>-4701.47</v>
      </c>
      <c r="K757" t="str">
        <f t="shared" si="22"/>
        <v>July</v>
      </c>
      <c r="L757">
        <f t="shared" si="23"/>
        <v>2024</v>
      </c>
    </row>
    <row r="758" spans="1:12" x14ac:dyDescent="0.3">
      <c r="A758" s="2">
        <v>45481</v>
      </c>
      <c r="B758" t="s">
        <v>60</v>
      </c>
      <c r="C758" t="s">
        <v>39</v>
      </c>
      <c r="D758" t="s">
        <v>156</v>
      </c>
      <c r="E758" t="s">
        <v>26</v>
      </c>
      <c r="F758" t="s">
        <v>27</v>
      </c>
      <c r="G758" t="s">
        <v>31</v>
      </c>
      <c r="H758" s="3">
        <v>16558.259999999998</v>
      </c>
      <c r="I758" s="4">
        <v>2</v>
      </c>
      <c r="J758" s="3">
        <v>1820.81</v>
      </c>
      <c r="K758" t="str">
        <f t="shared" si="22"/>
        <v>July</v>
      </c>
      <c r="L758">
        <f t="shared" si="23"/>
        <v>2024</v>
      </c>
    </row>
    <row r="759" spans="1:12" x14ac:dyDescent="0.3">
      <c r="A759" s="2">
        <v>45482</v>
      </c>
      <c r="B759" t="s">
        <v>80</v>
      </c>
      <c r="C759" t="s">
        <v>62</v>
      </c>
      <c r="D759" t="s">
        <v>156</v>
      </c>
      <c r="E759" t="s">
        <v>42</v>
      </c>
      <c r="F759" t="s">
        <v>43</v>
      </c>
      <c r="G759" t="s">
        <v>44</v>
      </c>
      <c r="H759" s="3">
        <v>29216.31</v>
      </c>
      <c r="I759" s="4">
        <v>2</v>
      </c>
      <c r="J759" s="3">
        <v>5061.88</v>
      </c>
      <c r="K759" t="str">
        <f t="shared" si="22"/>
        <v>July</v>
      </c>
      <c r="L759">
        <f t="shared" si="23"/>
        <v>2024</v>
      </c>
    </row>
    <row r="760" spans="1:12" x14ac:dyDescent="0.3">
      <c r="A760" s="2">
        <v>45482</v>
      </c>
      <c r="B760" t="s">
        <v>11</v>
      </c>
      <c r="C760" t="s">
        <v>22</v>
      </c>
      <c r="D760" t="s">
        <v>156</v>
      </c>
      <c r="E760" t="s">
        <v>26</v>
      </c>
      <c r="F760" t="s">
        <v>27</v>
      </c>
      <c r="G760" t="s">
        <v>28</v>
      </c>
      <c r="H760" s="3">
        <v>20946.66</v>
      </c>
      <c r="I760" s="4">
        <v>1</v>
      </c>
      <c r="J760" s="3">
        <v>2596.63</v>
      </c>
      <c r="K760" t="str">
        <f t="shared" si="22"/>
        <v>July</v>
      </c>
      <c r="L760">
        <f t="shared" si="23"/>
        <v>2024</v>
      </c>
    </row>
    <row r="761" spans="1:12" x14ac:dyDescent="0.3">
      <c r="A761" s="2">
        <v>45483</v>
      </c>
      <c r="B761" t="s">
        <v>55</v>
      </c>
      <c r="C761" t="s">
        <v>30</v>
      </c>
      <c r="D761" t="s">
        <v>156</v>
      </c>
      <c r="E761" t="s">
        <v>42</v>
      </c>
      <c r="F761" t="s">
        <v>90</v>
      </c>
      <c r="G761" t="s">
        <v>91</v>
      </c>
      <c r="H761" s="3">
        <v>1673.3</v>
      </c>
      <c r="I761" s="4">
        <v>1</v>
      </c>
      <c r="J761" s="3">
        <v>220.2</v>
      </c>
      <c r="K761" t="str">
        <f t="shared" si="22"/>
        <v>July</v>
      </c>
      <c r="L761">
        <f t="shared" si="23"/>
        <v>2024</v>
      </c>
    </row>
    <row r="762" spans="1:12" x14ac:dyDescent="0.3">
      <c r="A762" s="2">
        <v>45483</v>
      </c>
      <c r="B762" t="s">
        <v>21</v>
      </c>
      <c r="C762" t="s">
        <v>39</v>
      </c>
      <c r="D762" t="s">
        <v>156</v>
      </c>
      <c r="E762" t="s">
        <v>42</v>
      </c>
      <c r="F762" t="s">
        <v>43</v>
      </c>
      <c r="G762" t="s">
        <v>89</v>
      </c>
      <c r="H762" s="3">
        <v>34558.800000000003</v>
      </c>
      <c r="I762" s="4">
        <v>1</v>
      </c>
      <c r="J762" s="3">
        <v>4116.8999999999996</v>
      </c>
      <c r="K762" t="str">
        <f t="shared" si="22"/>
        <v>July</v>
      </c>
      <c r="L762">
        <f t="shared" si="23"/>
        <v>2024</v>
      </c>
    </row>
    <row r="763" spans="1:12" x14ac:dyDescent="0.3">
      <c r="A763" s="2">
        <v>45483</v>
      </c>
      <c r="B763" t="s">
        <v>103</v>
      </c>
      <c r="C763" t="s">
        <v>61</v>
      </c>
      <c r="D763" t="s">
        <v>156</v>
      </c>
      <c r="E763" t="s">
        <v>13</v>
      </c>
      <c r="F763" t="s">
        <v>23</v>
      </c>
      <c r="G763" t="s">
        <v>77</v>
      </c>
      <c r="H763" s="3">
        <v>34982.730000000003</v>
      </c>
      <c r="I763" s="4">
        <v>1</v>
      </c>
      <c r="J763" s="3">
        <v>4866.9399999999996</v>
      </c>
      <c r="K763" t="str">
        <f t="shared" si="22"/>
        <v>July</v>
      </c>
      <c r="L763">
        <f t="shared" si="23"/>
        <v>2024</v>
      </c>
    </row>
    <row r="764" spans="1:12" x14ac:dyDescent="0.3">
      <c r="A764" s="2">
        <v>45484</v>
      </c>
      <c r="B764" t="s">
        <v>25</v>
      </c>
      <c r="C764" t="s">
        <v>68</v>
      </c>
      <c r="D764" t="s">
        <v>156</v>
      </c>
      <c r="E764" t="s">
        <v>18</v>
      </c>
      <c r="F764" t="s">
        <v>19</v>
      </c>
      <c r="G764" t="s">
        <v>59</v>
      </c>
      <c r="H764" s="3">
        <v>53322.59</v>
      </c>
      <c r="I764" s="4">
        <v>1</v>
      </c>
      <c r="J764" s="3">
        <v>7517.21</v>
      </c>
      <c r="K764" t="str">
        <f t="shared" si="22"/>
        <v>July</v>
      </c>
      <c r="L764">
        <f t="shared" si="23"/>
        <v>2024</v>
      </c>
    </row>
    <row r="765" spans="1:12" x14ac:dyDescent="0.3">
      <c r="A765" s="2">
        <v>45485</v>
      </c>
      <c r="B765" t="s">
        <v>101</v>
      </c>
      <c r="C765" t="s">
        <v>61</v>
      </c>
      <c r="D765" t="s">
        <v>156</v>
      </c>
      <c r="E765" t="s">
        <v>18</v>
      </c>
      <c r="F765" t="s">
        <v>40</v>
      </c>
      <c r="G765" t="s">
        <v>115</v>
      </c>
      <c r="H765" s="3">
        <v>22517.97</v>
      </c>
      <c r="I765" s="4">
        <v>2</v>
      </c>
      <c r="J765" s="3">
        <v>1835.6</v>
      </c>
      <c r="K765" t="str">
        <f t="shared" si="22"/>
        <v>July</v>
      </c>
      <c r="L765">
        <f t="shared" si="23"/>
        <v>2024</v>
      </c>
    </row>
    <row r="766" spans="1:12" x14ac:dyDescent="0.3">
      <c r="A766" s="2">
        <v>45485</v>
      </c>
      <c r="B766" t="s">
        <v>74</v>
      </c>
      <c r="C766" t="s">
        <v>12</v>
      </c>
      <c r="D766" t="s">
        <v>156</v>
      </c>
      <c r="E766" t="s">
        <v>18</v>
      </c>
      <c r="F766" t="s">
        <v>19</v>
      </c>
      <c r="G766" t="s">
        <v>20</v>
      </c>
      <c r="H766" s="3">
        <v>126405.96</v>
      </c>
      <c r="I766" s="4">
        <v>2</v>
      </c>
      <c r="J766" s="3">
        <v>18621.509999999998</v>
      </c>
      <c r="K766" t="str">
        <f t="shared" si="22"/>
        <v>July</v>
      </c>
      <c r="L766">
        <f t="shared" si="23"/>
        <v>2024</v>
      </c>
    </row>
    <row r="767" spans="1:12" x14ac:dyDescent="0.3">
      <c r="A767" s="2">
        <v>45485</v>
      </c>
      <c r="B767" t="s">
        <v>65</v>
      </c>
      <c r="C767" t="s">
        <v>49</v>
      </c>
      <c r="D767" t="s">
        <v>156</v>
      </c>
      <c r="E767" t="s">
        <v>35</v>
      </c>
      <c r="F767" t="s">
        <v>63</v>
      </c>
      <c r="G767" t="s">
        <v>64</v>
      </c>
      <c r="H767" s="3">
        <v>62475.38</v>
      </c>
      <c r="I767" s="4">
        <v>2</v>
      </c>
      <c r="J767" s="3">
        <v>12332.01</v>
      </c>
      <c r="K767" t="str">
        <f t="shared" si="22"/>
        <v>July</v>
      </c>
      <c r="L767">
        <f t="shared" si="23"/>
        <v>2024</v>
      </c>
    </row>
    <row r="768" spans="1:12" x14ac:dyDescent="0.3">
      <c r="A768" s="2">
        <v>45487</v>
      </c>
      <c r="B768" t="s">
        <v>55</v>
      </c>
      <c r="C768" t="s">
        <v>49</v>
      </c>
      <c r="D768" t="s">
        <v>156</v>
      </c>
      <c r="E768" t="s">
        <v>26</v>
      </c>
      <c r="F768" t="s">
        <v>53</v>
      </c>
      <c r="G768" t="s">
        <v>100</v>
      </c>
      <c r="H768" s="3">
        <v>86267.32</v>
      </c>
      <c r="I768" s="4">
        <v>1</v>
      </c>
      <c r="J768" s="3">
        <v>12180.79</v>
      </c>
      <c r="K768" t="str">
        <f t="shared" si="22"/>
        <v>July</v>
      </c>
      <c r="L768">
        <f t="shared" si="23"/>
        <v>2024</v>
      </c>
    </row>
    <row r="769" spans="1:12" x14ac:dyDescent="0.3">
      <c r="A769" s="2">
        <v>45487</v>
      </c>
      <c r="B769" t="s">
        <v>86</v>
      </c>
      <c r="C769" t="s">
        <v>58</v>
      </c>
      <c r="D769" t="s">
        <v>156</v>
      </c>
      <c r="E769" t="s">
        <v>26</v>
      </c>
      <c r="F769" t="s">
        <v>53</v>
      </c>
      <c r="G769" t="s">
        <v>100</v>
      </c>
      <c r="H769" s="3">
        <v>276193.15999999997</v>
      </c>
      <c r="I769" s="4">
        <v>3</v>
      </c>
      <c r="J769" s="3">
        <v>44509.23</v>
      </c>
      <c r="K769" t="str">
        <f t="shared" si="22"/>
        <v>July</v>
      </c>
      <c r="L769">
        <f t="shared" si="23"/>
        <v>2024</v>
      </c>
    </row>
    <row r="770" spans="1:12" x14ac:dyDescent="0.3">
      <c r="A770" s="2">
        <v>45488</v>
      </c>
      <c r="B770" t="s">
        <v>113</v>
      </c>
      <c r="C770" t="s">
        <v>39</v>
      </c>
      <c r="D770" t="s">
        <v>156</v>
      </c>
      <c r="E770" t="s">
        <v>18</v>
      </c>
      <c r="F770" t="s">
        <v>40</v>
      </c>
      <c r="G770" t="s">
        <v>105</v>
      </c>
      <c r="H770" s="3">
        <v>2092.4499999999998</v>
      </c>
      <c r="I770" s="4">
        <v>1</v>
      </c>
      <c r="J770" s="3">
        <v>181.11</v>
      </c>
      <c r="K770" t="str">
        <f t="shared" si="22"/>
        <v>July</v>
      </c>
      <c r="L770">
        <f t="shared" si="23"/>
        <v>2024</v>
      </c>
    </row>
    <row r="771" spans="1:12" x14ac:dyDescent="0.3">
      <c r="A771" s="2">
        <v>45488</v>
      </c>
      <c r="B771" t="s">
        <v>103</v>
      </c>
      <c r="C771" t="s">
        <v>56</v>
      </c>
      <c r="D771" t="s">
        <v>156</v>
      </c>
      <c r="E771" t="s">
        <v>13</v>
      </c>
      <c r="F771" t="s">
        <v>14</v>
      </c>
      <c r="G771" t="s">
        <v>15</v>
      </c>
      <c r="H771" s="3">
        <v>7494.36</v>
      </c>
      <c r="I771" s="4">
        <v>3</v>
      </c>
      <c r="J771" s="3">
        <v>737.75</v>
      </c>
      <c r="K771" t="str">
        <f t="shared" ref="K771:K834" si="24">TEXT(A771,"mmmm")</f>
        <v>July</v>
      </c>
      <c r="L771">
        <f t="shared" ref="L771:L834" si="25">YEAR(A771)</f>
        <v>2024</v>
      </c>
    </row>
    <row r="772" spans="1:12" x14ac:dyDescent="0.3">
      <c r="A772" s="2">
        <v>45489</v>
      </c>
      <c r="B772" t="s">
        <v>52</v>
      </c>
      <c r="C772" t="s">
        <v>49</v>
      </c>
      <c r="D772" t="s">
        <v>156</v>
      </c>
      <c r="E772" t="s">
        <v>13</v>
      </c>
      <c r="F772" t="s">
        <v>23</v>
      </c>
      <c r="G772" t="s">
        <v>85</v>
      </c>
      <c r="H772" s="3">
        <v>84112.49</v>
      </c>
      <c r="I772" s="4">
        <v>2</v>
      </c>
      <c r="J772" s="3">
        <v>11111.15</v>
      </c>
      <c r="K772" t="str">
        <f t="shared" si="24"/>
        <v>July</v>
      </c>
      <c r="L772">
        <f t="shared" si="25"/>
        <v>2024</v>
      </c>
    </row>
    <row r="773" spans="1:12" x14ac:dyDescent="0.3">
      <c r="A773" s="2">
        <v>45489</v>
      </c>
      <c r="B773" t="s">
        <v>103</v>
      </c>
      <c r="C773" t="s">
        <v>69</v>
      </c>
      <c r="D773" t="s">
        <v>156</v>
      </c>
      <c r="E773" t="s">
        <v>42</v>
      </c>
      <c r="F773" t="s">
        <v>90</v>
      </c>
      <c r="G773" t="s">
        <v>120</v>
      </c>
      <c r="H773" s="3">
        <v>10027.58</v>
      </c>
      <c r="I773" s="4">
        <v>2</v>
      </c>
      <c r="J773" s="3">
        <v>1014.74</v>
      </c>
      <c r="K773" t="str">
        <f t="shared" si="24"/>
        <v>July</v>
      </c>
      <c r="L773">
        <f t="shared" si="25"/>
        <v>2024</v>
      </c>
    </row>
    <row r="774" spans="1:12" x14ac:dyDescent="0.3">
      <c r="A774" s="2">
        <v>45491</v>
      </c>
      <c r="B774" t="s">
        <v>92</v>
      </c>
      <c r="C774" t="s">
        <v>62</v>
      </c>
      <c r="D774" t="s">
        <v>156</v>
      </c>
      <c r="E774" t="s">
        <v>13</v>
      </c>
      <c r="F774" t="s">
        <v>23</v>
      </c>
      <c r="G774" t="s">
        <v>77</v>
      </c>
      <c r="H774" s="3">
        <v>39260.21</v>
      </c>
      <c r="I774" s="4">
        <v>1</v>
      </c>
      <c r="J774" s="3">
        <v>4576.53</v>
      </c>
      <c r="K774" t="str">
        <f t="shared" si="24"/>
        <v>July</v>
      </c>
      <c r="L774">
        <f t="shared" si="25"/>
        <v>2024</v>
      </c>
    </row>
    <row r="775" spans="1:12" x14ac:dyDescent="0.3">
      <c r="A775" s="2">
        <v>45491</v>
      </c>
      <c r="B775" t="s">
        <v>116</v>
      </c>
      <c r="C775" t="s">
        <v>12</v>
      </c>
      <c r="D775" t="s">
        <v>156</v>
      </c>
      <c r="E775" t="s">
        <v>42</v>
      </c>
      <c r="F775" t="s">
        <v>43</v>
      </c>
      <c r="G775" t="s">
        <v>89</v>
      </c>
      <c r="H775" s="3">
        <v>66815.17</v>
      </c>
      <c r="I775" s="4">
        <v>2</v>
      </c>
      <c r="J775" s="3">
        <v>-4003.34</v>
      </c>
      <c r="K775" t="str">
        <f t="shared" si="24"/>
        <v>July</v>
      </c>
      <c r="L775">
        <f t="shared" si="25"/>
        <v>2024</v>
      </c>
    </row>
    <row r="776" spans="1:12" x14ac:dyDescent="0.3">
      <c r="A776" s="2">
        <v>45492</v>
      </c>
      <c r="B776" t="s">
        <v>83</v>
      </c>
      <c r="C776" t="s">
        <v>17</v>
      </c>
      <c r="D776" t="s">
        <v>156</v>
      </c>
      <c r="E776" t="s">
        <v>42</v>
      </c>
      <c r="F776" t="s">
        <v>90</v>
      </c>
      <c r="G776" t="s">
        <v>91</v>
      </c>
      <c r="H776" s="3">
        <v>1871.03</v>
      </c>
      <c r="I776" s="4">
        <v>1</v>
      </c>
      <c r="J776" s="3">
        <v>223.36</v>
      </c>
      <c r="K776" t="str">
        <f t="shared" si="24"/>
        <v>July</v>
      </c>
      <c r="L776">
        <f t="shared" si="25"/>
        <v>2024</v>
      </c>
    </row>
    <row r="777" spans="1:12" x14ac:dyDescent="0.3">
      <c r="A777" s="2">
        <v>45492</v>
      </c>
      <c r="B777" t="s">
        <v>71</v>
      </c>
      <c r="C777" t="s">
        <v>56</v>
      </c>
      <c r="D777" t="s">
        <v>156</v>
      </c>
      <c r="E777" t="s">
        <v>35</v>
      </c>
      <c r="F777" t="s">
        <v>36</v>
      </c>
      <c r="G777" t="s">
        <v>37</v>
      </c>
      <c r="H777" s="3">
        <v>56446.87</v>
      </c>
      <c r="I777" s="4">
        <v>2</v>
      </c>
      <c r="J777" s="3">
        <v>-1016.68</v>
      </c>
      <c r="K777" t="str">
        <f t="shared" si="24"/>
        <v>July</v>
      </c>
      <c r="L777">
        <f t="shared" si="25"/>
        <v>2024</v>
      </c>
    </row>
    <row r="778" spans="1:12" x14ac:dyDescent="0.3">
      <c r="A778" s="2">
        <v>45492</v>
      </c>
      <c r="B778" t="s">
        <v>55</v>
      </c>
      <c r="C778" t="s">
        <v>22</v>
      </c>
      <c r="D778" t="s">
        <v>156</v>
      </c>
      <c r="E778" t="s">
        <v>35</v>
      </c>
      <c r="F778" t="s">
        <v>63</v>
      </c>
      <c r="G778" t="s">
        <v>114</v>
      </c>
      <c r="H778" s="3">
        <v>49784.52</v>
      </c>
      <c r="I778" s="4">
        <v>2</v>
      </c>
      <c r="J778" s="3">
        <v>4889.91</v>
      </c>
      <c r="K778" t="str">
        <f t="shared" si="24"/>
        <v>July</v>
      </c>
      <c r="L778">
        <f t="shared" si="25"/>
        <v>2024</v>
      </c>
    </row>
    <row r="779" spans="1:12" x14ac:dyDescent="0.3">
      <c r="A779" s="2">
        <v>45492</v>
      </c>
      <c r="B779" t="s">
        <v>95</v>
      </c>
      <c r="C779" t="s">
        <v>12</v>
      </c>
      <c r="D779" t="s">
        <v>156</v>
      </c>
      <c r="E779" t="s">
        <v>13</v>
      </c>
      <c r="F779" t="s">
        <v>14</v>
      </c>
      <c r="G779" t="s">
        <v>57</v>
      </c>
      <c r="H779" s="3">
        <v>2987.44</v>
      </c>
      <c r="I779" s="4">
        <v>2</v>
      </c>
      <c r="J779" s="3">
        <v>444.41</v>
      </c>
      <c r="K779" t="str">
        <f t="shared" si="24"/>
        <v>July</v>
      </c>
      <c r="L779">
        <f t="shared" si="25"/>
        <v>2024</v>
      </c>
    </row>
    <row r="780" spans="1:12" x14ac:dyDescent="0.3">
      <c r="A780" s="2">
        <v>45493</v>
      </c>
      <c r="B780" t="s">
        <v>92</v>
      </c>
      <c r="C780" t="s">
        <v>68</v>
      </c>
      <c r="D780" t="s">
        <v>156</v>
      </c>
      <c r="E780" t="s">
        <v>18</v>
      </c>
      <c r="F780" t="s">
        <v>40</v>
      </c>
      <c r="G780" t="s">
        <v>102</v>
      </c>
      <c r="H780" s="3">
        <v>4272.55</v>
      </c>
      <c r="I780" s="4">
        <v>3</v>
      </c>
      <c r="J780" s="3">
        <v>325.73</v>
      </c>
      <c r="K780" t="str">
        <f t="shared" si="24"/>
        <v>July</v>
      </c>
      <c r="L780">
        <f t="shared" si="25"/>
        <v>2024</v>
      </c>
    </row>
    <row r="781" spans="1:12" x14ac:dyDescent="0.3">
      <c r="A781" s="2">
        <v>45494</v>
      </c>
      <c r="B781" t="s">
        <v>60</v>
      </c>
      <c r="C781" t="s">
        <v>30</v>
      </c>
      <c r="D781" t="s">
        <v>156</v>
      </c>
      <c r="E781" t="s">
        <v>42</v>
      </c>
      <c r="F781" t="s">
        <v>43</v>
      </c>
      <c r="G781" t="s">
        <v>44</v>
      </c>
      <c r="H781" s="3">
        <v>27626.799999999999</v>
      </c>
      <c r="I781" s="4">
        <v>2</v>
      </c>
      <c r="J781" s="3">
        <v>3760.22</v>
      </c>
      <c r="K781" t="str">
        <f t="shared" si="24"/>
        <v>July</v>
      </c>
      <c r="L781">
        <f t="shared" si="25"/>
        <v>2024</v>
      </c>
    </row>
    <row r="782" spans="1:12" x14ac:dyDescent="0.3">
      <c r="A782" s="2">
        <v>45495</v>
      </c>
      <c r="B782" t="s">
        <v>113</v>
      </c>
      <c r="C782" t="s">
        <v>12</v>
      </c>
      <c r="D782" t="s">
        <v>156</v>
      </c>
      <c r="E782" t="s">
        <v>13</v>
      </c>
      <c r="F782" t="s">
        <v>23</v>
      </c>
      <c r="G782" t="s">
        <v>47</v>
      </c>
      <c r="H782" s="3">
        <v>139448.39000000001</v>
      </c>
      <c r="I782" s="4">
        <v>2</v>
      </c>
      <c r="J782" s="3">
        <v>16327.52</v>
      </c>
      <c r="K782" t="str">
        <f t="shared" si="24"/>
        <v>July</v>
      </c>
      <c r="L782">
        <f t="shared" si="25"/>
        <v>2024</v>
      </c>
    </row>
    <row r="783" spans="1:12" x14ac:dyDescent="0.3">
      <c r="A783" s="2">
        <v>45495</v>
      </c>
      <c r="B783" t="s">
        <v>95</v>
      </c>
      <c r="C783" t="s">
        <v>62</v>
      </c>
      <c r="D783" t="s">
        <v>156</v>
      </c>
      <c r="E783" t="s">
        <v>18</v>
      </c>
      <c r="F783" t="s">
        <v>19</v>
      </c>
      <c r="G783" t="s">
        <v>106</v>
      </c>
      <c r="H783" s="3">
        <v>266873.65999999997</v>
      </c>
      <c r="I783" s="4">
        <v>3</v>
      </c>
      <c r="J783" s="3">
        <v>32155.85</v>
      </c>
      <c r="K783" t="str">
        <f t="shared" si="24"/>
        <v>July</v>
      </c>
      <c r="L783">
        <f t="shared" si="25"/>
        <v>2024</v>
      </c>
    </row>
    <row r="784" spans="1:12" x14ac:dyDescent="0.3">
      <c r="A784" s="2">
        <v>45496</v>
      </c>
      <c r="B784" t="s">
        <v>25</v>
      </c>
      <c r="C784" t="s">
        <v>17</v>
      </c>
      <c r="D784" t="s">
        <v>156</v>
      </c>
      <c r="E784" t="s">
        <v>26</v>
      </c>
      <c r="F784" t="s">
        <v>27</v>
      </c>
      <c r="G784" t="s">
        <v>31</v>
      </c>
      <c r="H784" s="3">
        <v>29544.74</v>
      </c>
      <c r="I784" s="4">
        <v>3</v>
      </c>
      <c r="J784" s="3">
        <v>3675.92</v>
      </c>
      <c r="K784" t="str">
        <f t="shared" si="24"/>
        <v>July</v>
      </c>
      <c r="L784">
        <f t="shared" si="25"/>
        <v>2024</v>
      </c>
    </row>
    <row r="785" spans="1:12" x14ac:dyDescent="0.3">
      <c r="A785" s="2">
        <v>45496</v>
      </c>
      <c r="B785" t="s">
        <v>16</v>
      </c>
      <c r="C785" t="s">
        <v>46</v>
      </c>
      <c r="D785" t="s">
        <v>156</v>
      </c>
      <c r="E785" t="s">
        <v>13</v>
      </c>
      <c r="F785" t="s">
        <v>14</v>
      </c>
      <c r="G785" t="s">
        <v>57</v>
      </c>
      <c r="H785" s="3">
        <v>1695.34</v>
      </c>
      <c r="I785" s="4">
        <v>1</v>
      </c>
      <c r="J785" s="3">
        <v>131.80000000000001</v>
      </c>
      <c r="K785" t="str">
        <f t="shared" si="24"/>
        <v>July</v>
      </c>
      <c r="L785">
        <f t="shared" si="25"/>
        <v>2024</v>
      </c>
    </row>
    <row r="786" spans="1:12" x14ac:dyDescent="0.3">
      <c r="A786" s="2">
        <v>45496</v>
      </c>
      <c r="B786" t="s">
        <v>109</v>
      </c>
      <c r="C786" t="s">
        <v>61</v>
      </c>
      <c r="D786" t="s">
        <v>156</v>
      </c>
      <c r="E786" t="s">
        <v>18</v>
      </c>
      <c r="F786" t="s">
        <v>19</v>
      </c>
      <c r="G786" t="s">
        <v>33</v>
      </c>
      <c r="H786" s="3">
        <v>57852.01</v>
      </c>
      <c r="I786" s="4">
        <v>1</v>
      </c>
      <c r="J786" s="3">
        <v>-2444.7800000000002</v>
      </c>
      <c r="K786" t="str">
        <f t="shared" si="24"/>
        <v>July</v>
      </c>
      <c r="L786">
        <f t="shared" si="25"/>
        <v>2024</v>
      </c>
    </row>
    <row r="787" spans="1:12" x14ac:dyDescent="0.3">
      <c r="A787" s="2">
        <v>45497</v>
      </c>
      <c r="B787" t="s">
        <v>65</v>
      </c>
      <c r="C787" t="s">
        <v>39</v>
      </c>
      <c r="D787" t="s">
        <v>156</v>
      </c>
      <c r="E787" t="s">
        <v>13</v>
      </c>
      <c r="F787" t="s">
        <v>14</v>
      </c>
      <c r="G787" t="s">
        <v>111</v>
      </c>
      <c r="H787" s="3">
        <v>3837.92</v>
      </c>
      <c r="I787" s="4">
        <v>2</v>
      </c>
      <c r="J787" s="3">
        <v>255.96</v>
      </c>
      <c r="K787" t="str">
        <f t="shared" si="24"/>
        <v>July</v>
      </c>
      <c r="L787">
        <f t="shared" si="25"/>
        <v>2024</v>
      </c>
    </row>
    <row r="788" spans="1:12" x14ac:dyDescent="0.3">
      <c r="A788" s="2">
        <v>45498</v>
      </c>
      <c r="B788" t="s">
        <v>101</v>
      </c>
      <c r="C788" t="s">
        <v>61</v>
      </c>
      <c r="D788" t="s">
        <v>156</v>
      </c>
      <c r="E788" t="s">
        <v>26</v>
      </c>
      <c r="F788" t="s">
        <v>53</v>
      </c>
      <c r="G788" t="s">
        <v>98</v>
      </c>
      <c r="H788" s="3">
        <v>28410.67</v>
      </c>
      <c r="I788" s="4">
        <v>1</v>
      </c>
      <c r="J788" s="3">
        <v>3791.84</v>
      </c>
      <c r="K788" t="str">
        <f t="shared" si="24"/>
        <v>July</v>
      </c>
      <c r="L788">
        <f t="shared" si="25"/>
        <v>2024</v>
      </c>
    </row>
    <row r="789" spans="1:12" x14ac:dyDescent="0.3">
      <c r="A789" s="2">
        <v>45498</v>
      </c>
      <c r="B789" t="s">
        <v>74</v>
      </c>
      <c r="C789" t="s">
        <v>49</v>
      </c>
      <c r="D789" t="s">
        <v>156</v>
      </c>
      <c r="E789" t="s">
        <v>18</v>
      </c>
      <c r="F789" t="s">
        <v>19</v>
      </c>
      <c r="G789" t="s">
        <v>20</v>
      </c>
      <c r="H789" s="3">
        <v>122946.11</v>
      </c>
      <c r="I789" s="4">
        <v>2</v>
      </c>
      <c r="J789" s="3">
        <v>11373.73</v>
      </c>
      <c r="K789" t="str">
        <f t="shared" si="24"/>
        <v>July</v>
      </c>
      <c r="L789">
        <f t="shared" si="25"/>
        <v>2024</v>
      </c>
    </row>
    <row r="790" spans="1:12" x14ac:dyDescent="0.3">
      <c r="A790" s="2">
        <v>45499</v>
      </c>
      <c r="B790" t="s">
        <v>101</v>
      </c>
      <c r="C790" t="s">
        <v>46</v>
      </c>
      <c r="D790" t="s">
        <v>156</v>
      </c>
      <c r="E790" t="s">
        <v>42</v>
      </c>
      <c r="F790" t="s">
        <v>90</v>
      </c>
      <c r="G790" t="s">
        <v>91</v>
      </c>
      <c r="H790" s="3">
        <v>9286.33</v>
      </c>
      <c r="I790" s="4">
        <v>5</v>
      </c>
      <c r="J790" s="3">
        <v>1962.07</v>
      </c>
      <c r="K790" t="str">
        <f t="shared" si="24"/>
        <v>July</v>
      </c>
      <c r="L790">
        <f t="shared" si="25"/>
        <v>2024</v>
      </c>
    </row>
    <row r="791" spans="1:12" x14ac:dyDescent="0.3">
      <c r="A791" s="2">
        <v>45499</v>
      </c>
      <c r="B791" t="s">
        <v>67</v>
      </c>
      <c r="C791" t="s">
        <v>17</v>
      </c>
      <c r="D791" t="s">
        <v>156</v>
      </c>
      <c r="E791" t="s">
        <v>13</v>
      </c>
      <c r="F791" t="s">
        <v>23</v>
      </c>
      <c r="G791" t="s">
        <v>47</v>
      </c>
      <c r="H791" s="3">
        <v>64986.37</v>
      </c>
      <c r="I791" s="4">
        <v>1</v>
      </c>
      <c r="J791" s="3">
        <v>9516.41</v>
      </c>
      <c r="K791" t="str">
        <f t="shared" si="24"/>
        <v>July</v>
      </c>
      <c r="L791">
        <f t="shared" si="25"/>
        <v>2024</v>
      </c>
    </row>
    <row r="792" spans="1:12" x14ac:dyDescent="0.3">
      <c r="A792" s="2">
        <v>45499</v>
      </c>
      <c r="B792" t="s">
        <v>32</v>
      </c>
      <c r="C792" t="s">
        <v>12</v>
      </c>
      <c r="D792" t="s">
        <v>156</v>
      </c>
      <c r="E792" t="s">
        <v>13</v>
      </c>
      <c r="F792" t="s">
        <v>23</v>
      </c>
      <c r="G792" t="s">
        <v>85</v>
      </c>
      <c r="H792" s="3">
        <v>83810.05</v>
      </c>
      <c r="I792" s="4">
        <v>2</v>
      </c>
      <c r="J792" s="3">
        <v>9960.34</v>
      </c>
      <c r="K792" t="str">
        <f t="shared" si="24"/>
        <v>July</v>
      </c>
      <c r="L792">
        <f t="shared" si="25"/>
        <v>2024</v>
      </c>
    </row>
    <row r="793" spans="1:12" x14ac:dyDescent="0.3">
      <c r="A793" s="2">
        <v>45500</v>
      </c>
      <c r="B793" t="s">
        <v>113</v>
      </c>
      <c r="C793" t="s">
        <v>66</v>
      </c>
      <c r="D793" t="s">
        <v>156</v>
      </c>
      <c r="E793" t="s">
        <v>26</v>
      </c>
      <c r="F793" t="s">
        <v>27</v>
      </c>
      <c r="G793" t="s">
        <v>94</v>
      </c>
      <c r="H793" s="3">
        <v>11249.05</v>
      </c>
      <c r="I793" s="4">
        <v>1</v>
      </c>
      <c r="J793" s="3">
        <v>1553.24</v>
      </c>
      <c r="K793" t="str">
        <f t="shared" si="24"/>
        <v>July</v>
      </c>
      <c r="L793">
        <f t="shared" si="25"/>
        <v>2024</v>
      </c>
    </row>
    <row r="794" spans="1:12" x14ac:dyDescent="0.3">
      <c r="A794" s="2">
        <v>45500</v>
      </c>
      <c r="B794" t="s">
        <v>93</v>
      </c>
      <c r="C794" t="s">
        <v>61</v>
      </c>
      <c r="D794" t="s">
        <v>156</v>
      </c>
      <c r="E794" t="s">
        <v>42</v>
      </c>
      <c r="F794" t="s">
        <v>43</v>
      </c>
      <c r="G794" t="s">
        <v>87</v>
      </c>
      <c r="H794" s="3">
        <v>20608.53</v>
      </c>
      <c r="I794" s="4">
        <v>2</v>
      </c>
      <c r="J794" s="3">
        <v>4343.03</v>
      </c>
      <c r="K794" t="str">
        <f t="shared" si="24"/>
        <v>July</v>
      </c>
      <c r="L794">
        <f t="shared" si="25"/>
        <v>2024</v>
      </c>
    </row>
    <row r="795" spans="1:12" x14ac:dyDescent="0.3">
      <c r="A795" s="2">
        <v>45502</v>
      </c>
      <c r="B795" t="s">
        <v>103</v>
      </c>
      <c r="C795" t="s">
        <v>61</v>
      </c>
      <c r="D795" t="s">
        <v>156</v>
      </c>
      <c r="E795" t="s">
        <v>26</v>
      </c>
      <c r="F795" t="s">
        <v>53</v>
      </c>
      <c r="G795" t="s">
        <v>104</v>
      </c>
      <c r="H795" s="3">
        <v>144984.12</v>
      </c>
      <c r="I795" s="4">
        <v>2</v>
      </c>
      <c r="J795" s="3">
        <v>21183.77</v>
      </c>
      <c r="K795" t="str">
        <f t="shared" si="24"/>
        <v>July</v>
      </c>
      <c r="L795">
        <f t="shared" si="25"/>
        <v>2024</v>
      </c>
    </row>
    <row r="796" spans="1:12" x14ac:dyDescent="0.3">
      <c r="A796" s="2">
        <v>45502</v>
      </c>
      <c r="B796" t="s">
        <v>65</v>
      </c>
      <c r="C796" t="s">
        <v>62</v>
      </c>
      <c r="D796" t="s">
        <v>156</v>
      </c>
      <c r="E796" t="s">
        <v>35</v>
      </c>
      <c r="F796" t="s">
        <v>75</v>
      </c>
      <c r="G796" t="s">
        <v>110</v>
      </c>
      <c r="H796" s="3">
        <v>86274.59</v>
      </c>
      <c r="I796" s="4">
        <v>2</v>
      </c>
      <c r="J796" s="3">
        <v>9632.64</v>
      </c>
      <c r="K796" t="str">
        <f t="shared" si="24"/>
        <v>July</v>
      </c>
      <c r="L796">
        <f t="shared" si="25"/>
        <v>2024</v>
      </c>
    </row>
    <row r="797" spans="1:12" x14ac:dyDescent="0.3">
      <c r="A797" s="2">
        <v>45503</v>
      </c>
      <c r="B797" t="s">
        <v>71</v>
      </c>
      <c r="C797" t="s">
        <v>30</v>
      </c>
      <c r="D797" t="s">
        <v>156</v>
      </c>
      <c r="E797" t="s">
        <v>35</v>
      </c>
      <c r="F797" t="s">
        <v>63</v>
      </c>
      <c r="G797" t="s">
        <v>114</v>
      </c>
      <c r="H797" s="3">
        <v>101358.25</v>
      </c>
      <c r="I797" s="4">
        <v>4</v>
      </c>
      <c r="J797" s="3">
        <v>-1925.48</v>
      </c>
      <c r="K797" t="str">
        <f t="shared" si="24"/>
        <v>July</v>
      </c>
      <c r="L797">
        <f t="shared" si="25"/>
        <v>2024</v>
      </c>
    </row>
    <row r="798" spans="1:12" x14ac:dyDescent="0.3">
      <c r="A798" s="2">
        <v>45504</v>
      </c>
      <c r="B798" t="s">
        <v>71</v>
      </c>
      <c r="C798" t="s">
        <v>61</v>
      </c>
      <c r="D798" t="s">
        <v>156</v>
      </c>
      <c r="E798" t="s">
        <v>35</v>
      </c>
      <c r="F798" t="s">
        <v>63</v>
      </c>
      <c r="G798" t="s">
        <v>112</v>
      </c>
      <c r="H798" s="3">
        <v>32902.559999999998</v>
      </c>
      <c r="I798" s="4">
        <v>1</v>
      </c>
      <c r="J798" s="3">
        <v>3489.73</v>
      </c>
      <c r="K798" t="str">
        <f t="shared" si="24"/>
        <v>July</v>
      </c>
      <c r="L798">
        <f t="shared" si="25"/>
        <v>2024</v>
      </c>
    </row>
    <row r="799" spans="1:12" x14ac:dyDescent="0.3">
      <c r="A799" s="2">
        <v>45504</v>
      </c>
      <c r="B799" t="s">
        <v>73</v>
      </c>
      <c r="C799" t="s">
        <v>30</v>
      </c>
      <c r="D799" t="s">
        <v>156</v>
      </c>
      <c r="E799" t="s">
        <v>42</v>
      </c>
      <c r="F799" t="s">
        <v>43</v>
      </c>
      <c r="G799" t="s">
        <v>87</v>
      </c>
      <c r="H799" s="3">
        <v>10001.81</v>
      </c>
      <c r="I799" s="4">
        <v>1</v>
      </c>
      <c r="J799" s="3">
        <v>-205.81</v>
      </c>
      <c r="K799" t="str">
        <f t="shared" si="24"/>
        <v>July</v>
      </c>
      <c r="L799">
        <f t="shared" si="25"/>
        <v>2024</v>
      </c>
    </row>
    <row r="800" spans="1:12" x14ac:dyDescent="0.3">
      <c r="A800" s="2">
        <v>45505</v>
      </c>
      <c r="B800" t="s">
        <v>45</v>
      </c>
      <c r="C800" t="s">
        <v>46</v>
      </c>
      <c r="D800" t="s">
        <v>156</v>
      </c>
      <c r="E800" t="s">
        <v>35</v>
      </c>
      <c r="F800" t="s">
        <v>50</v>
      </c>
      <c r="G800" t="s">
        <v>121</v>
      </c>
      <c r="H800" s="3">
        <v>8895.5300000000007</v>
      </c>
      <c r="I800" s="4">
        <v>2</v>
      </c>
      <c r="J800" s="3">
        <v>1080.07</v>
      </c>
      <c r="K800" t="str">
        <f t="shared" si="24"/>
        <v>August</v>
      </c>
      <c r="L800">
        <f t="shared" si="25"/>
        <v>2024</v>
      </c>
    </row>
    <row r="801" spans="1:12" x14ac:dyDescent="0.3">
      <c r="A801" s="2">
        <v>45506</v>
      </c>
      <c r="B801" t="s">
        <v>101</v>
      </c>
      <c r="C801" t="s">
        <v>39</v>
      </c>
      <c r="D801" t="s">
        <v>156</v>
      </c>
      <c r="E801" t="s">
        <v>35</v>
      </c>
      <c r="F801" t="s">
        <v>50</v>
      </c>
      <c r="G801" t="s">
        <v>51</v>
      </c>
      <c r="H801" s="3">
        <v>7913.92</v>
      </c>
      <c r="I801" s="4">
        <v>1</v>
      </c>
      <c r="J801" s="3">
        <v>-569.73</v>
      </c>
      <c r="K801" t="str">
        <f t="shared" si="24"/>
        <v>August</v>
      </c>
      <c r="L801">
        <f t="shared" si="25"/>
        <v>2024</v>
      </c>
    </row>
    <row r="802" spans="1:12" x14ac:dyDescent="0.3">
      <c r="A802" s="2">
        <v>45507</v>
      </c>
      <c r="B802" t="s">
        <v>34</v>
      </c>
      <c r="C802" t="s">
        <v>22</v>
      </c>
      <c r="D802" t="s">
        <v>156</v>
      </c>
      <c r="E802" t="s">
        <v>42</v>
      </c>
      <c r="F802" t="s">
        <v>43</v>
      </c>
      <c r="G802" t="s">
        <v>89</v>
      </c>
      <c r="H802" s="3">
        <v>30523.64</v>
      </c>
      <c r="I802" s="4">
        <v>1</v>
      </c>
      <c r="J802" s="3">
        <v>6425.81</v>
      </c>
      <c r="K802" t="str">
        <f t="shared" si="24"/>
        <v>August</v>
      </c>
      <c r="L802">
        <f t="shared" si="25"/>
        <v>2024</v>
      </c>
    </row>
    <row r="803" spans="1:12" x14ac:dyDescent="0.3">
      <c r="A803" s="2">
        <v>45507</v>
      </c>
      <c r="B803" t="s">
        <v>103</v>
      </c>
      <c r="C803" t="s">
        <v>61</v>
      </c>
      <c r="D803" t="s">
        <v>156</v>
      </c>
      <c r="E803" t="s">
        <v>35</v>
      </c>
      <c r="F803" t="s">
        <v>63</v>
      </c>
      <c r="G803" t="s">
        <v>112</v>
      </c>
      <c r="H803" s="3">
        <v>65177.58</v>
      </c>
      <c r="I803" s="4">
        <v>2</v>
      </c>
      <c r="J803" s="3">
        <v>5563.68</v>
      </c>
      <c r="K803" t="str">
        <f t="shared" si="24"/>
        <v>August</v>
      </c>
      <c r="L803">
        <f t="shared" si="25"/>
        <v>2024</v>
      </c>
    </row>
    <row r="804" spans="1:12" x14ac:dyDescent="0.3">
      <c r="A804" s="2">
        <v>45507</v>
      </c>
      <c r="B804" t="s">
        <v>16</v>
      </c>
      <c r="C804" t="s">
        <v>46</v>
      </c>
      <c r="D804" t="s">
        <v>156</v>
      </c>
      <c r="E804" t="s">
        <v>13</v>
      </c>
      <c r="F804" t="s">
        <v>23</v>
      </c>
      <c r="G804" t="s">
        <v>79</v>
      </c>
      <c r="H804" s="3">
        <v>69693.320000000007</v>
      </c>
      <c r="I804" s="4">
        <v>1</v>
      </c>
      <c r="J804" s="3">
        <v>10030.59</v>
      </c>
      <c r="K804" t="str">
        <f t="shared" si="24"/>
        <v>August</v>
      </c>
      <c r="L804">
        <f t="shared" si="25"/>
        <v>2024</v>
      </c>
    </row>
    <row r="805" spans="1:12" x14ac:dyDescent="0.3">
      <c r="A805" s="2">
        <v>45507</v>
      </c>
      <c r="B805" t="s">
        <v>29</v>
      </c>
      <c r="C805" t="s">
        <v>56</v>
      </c>
      <c r="D805" t="s">
        <v>156</v>
      </c>
      <c r="E805" t="s">
        <v>42</v>
      </c>
      <c r="F805" t="s">
        <v>90</v>
      </c>
      <c r="G805" t="s">
        <v>91</v>
      </c>
      <c r="H805" s="3">
        <v>3895.35</v>
      </c>
      <c r="I805" s="4">
        <v>2</v>
      </c>
      <c r="J805" s="3">
        <v>789.3</v>
      </c>
      <c r="K805" t="str">
        <f t="shared" si="24"/>
        <v>August</v>
      </c>
      <c r="L805">
        <f t="shared" si="25"/>
        <v>2024</v>
      </c>
    </row>
    <row r="806" spans="1:12" x14ac:dyDescent="0.3">
      <c r="A806" s="2">
        <v>45508</v>
      </c>
      <c r="B806" t="s">
        <v>109</v>
      </c>
      <c r="C806" t="s">
        <v>69</v>
      </c>
      <c r="D806" t="s">
        <v>156</v>
      </c>
      <c r="E806" t="s">
        <v>35</v>
      </c>
      <c r="F806" t="s">
        <v>36</v>
      </c>
      <c r="G806" t="s">
        <v>37</v>
      </c>
      <c r="H806" s="3">
        <v>27576.13</v>
      </c>
      <c r="I806" s="4">
        <v>1</v>
      </c>
      <c r="J806" s="3">
        <v>3696.59</v>
      </c>
      <c r="K806" t="str">
        <f t="shared" si="24"/>
        <v>August</v>
      </c>
      <c r="L806">
        <f t="shared" si="25"/>
        <v>2024</v>
      </c>
    </row>
    <row r="807" spans="1:12" x14ac:dyDescent="0.3">
      <c r="A807" s="2">
        <v>45508</v>
      </c>
      <c r="B807" t="s">
        <v>103</v>
      </c>
      <c r="C807" t="s">
        <v>30</v>
      </c>
      <c r="D807" t="s">
        <v>156</v>
      </c>
      <c r="E807" t="s">
        <v>42</v>
      </c>
      <c r="F807" t="s">
        <v>43</v>
      </c>
      <c r="G807" t="s">
        <v>44</v>
      </c>
      <c r="H807" s="3">
        <v>13274.79</v>
      </c>
      <c r="I807" s="4">
        <v>1</v>
      </c>
      <c r="J807" s="3">
        <v>1371.01</v>
      </c>
      <c r="K807" t="str">
        <f t="shared" si="24"/>
        <v>August</v>
      </c>
      <c r="L807">
        <f t="shared" si="25"/>
        <v>2024</v>
      </c>
    </row>
    <row r="808" spans="1:12" x14ac:dyDescent="0.3">
      <c r="A808" s="2">
        <v>45509</v>
      </c>
      <c r="B808" t="s">
        <v>67</v>
      </c>
      <c r="C808" t="s">
        <v>39</v>
      </c>
      <c r="D808" t="s">
        <v>156</v>
      </c>
      <c r="E808" t="s">
        <v>42</v>
      </c>
      <c r="F808" t="s">
        <v>43</v>
      </c>
      <c r="G808" t="s">
        <v>87</v>
      </c>
      <c r="H808" s="3">
        <v>32964.480000000003</v>
      </c>
      <c r="I808" s="4">
        <v>3</v>
      </c>
      <c r="J808" s="3">
        <v>4186.28</v>
      </c>
      <c r="K808" t="str">
        <f t="shared" si="24"/>
        <v>August</v>
      </c>
      <c r="L808">
        <f t="shared" si="25"/>
        <v>2024</v>
      </c>
    </row>
    <row r="809" spans="1:12" x14ac:dyDescent="0.3">
      <c r="A809" s="2">
        <v>45510</v>
      </c>
      <c r="B809" t="s">
        <v>113</v>
      </c>
      <c r="C809" t="s">
        <v>49</v>
      </c>
      <c r="D809" t="s">
        <v>156</v>
      </c>
      <c r="E809" t="s">
        <v>26</v>
      </c>
      <c r="F809" t="s">
        <v>27</v>
      </c>
      <c r="G809" t="s">
        <v>31</v>
      </c>
      <c r="H809" s="3">
        <v>38900.15</v>
      </c>
      <c r="I809" s="4">
        <v>4</v>
      </c>
      <c r="J809" s="3">
        <v>4813.79</v>
      </c>
      <c r="K809" t="str">
        <f t="shared" si="24"/>
        <v>August</v>
      </c>
      <c r="L809">
        <f t="shared" si="25"/>
        <v>2024</v>
      </c>
    </row>
    <row r="810" spans="1:12" x14ac:dyDescent="0.3">
      <c r="A810" s="2">
        <v>45510</v>
      </c>
      <c r="B810" t="s">
        <v>92</v>
      </c>
      <c r="C810" t="s">
        <v>69</v>
      </c>
      <c r="D810" t="s">
        <v>156</v>
      </c>
      <c r="E810" t="s">
        <v>13</v>
      </c>
      <c r="F810" t="s">
        <v>14</v>
      </c>
      <c r="G810" t="s">
        <v>88</v>
      </c>
      <c r="H810" s="3">
        <v>2723.04</v>
      </c>
      <c r="I810" s="4">
        <v>2</v>
      </c>
      <c r="J810" s="3">
        <v>346.66</v>
      </c>
      <c r="K810" t="str">
        <f t="shared" si="24"/>
        <v>August</v>
      </c>
      <c r="L810">
        <f t="shared" si="25"/>
        <v>2024</v>
      </c>
    </row>
    <row r="811" spans="1:12" x14ac:dyDescent="0.3">
      <c r="A811" s="2">
        <v>45510</v>
      </c>
      <c r="B811" t="s">
        <v>86</v>
      </c>
      <c r="C811" t="s">
        <v>68</v>
      </c>
      <c r="D811" t="s">
        <v>156</v>
      </c>
      <c r="E811" t="s">
        <v>13</v>
      </c>
      <c r="F811" t="s">
        <v>23</v>
      </c>
      <c r="G811" t="s">
        <v>77</v>
      </c>
      <c r="H811" s="3">
        <v>115367.83</v>
      </c>
      <c r="I811" s="4">
        <v>3</v>
      </c>
      <c r="J811" s="3">
        <v>9220.3799999999992</v>
      </c>
      <c r="K811" t="str">
        <f t="shared" si="24"/>
        <v>August</v>
      </c>
      <c r="L811">
        <f t="shared" si="25"/>
        <v>2024</v>
      </c>
    </row>
    <row r="812" spans="1:12" x14ac:dyDescent="0.3">
      <c r="A812" s="2">
        <v>45511</v>
      </c>
      <c r="B812" t="s">
        <v>109</v>
      </c>
      <c r="C812" t="s">
        <v>69</v>
      </c>
      <c r="D812" t="s">
        <v>156</v>
      </c>
      <c r="E812" t="s">
        <v>42</v>
      </c>
      <c r="F812" t="s">
        <v>43</v>
      </c>
      <c r="G812" t="s">
        <v>87</v>
      </c>
      <c r="H812" s="3">
        <v>11528.81</v>
      </c>
      <c r="I812" s="4">
        <v>1</v>
      </c>
      <c r="J812" s="3">
        <v>1247.27</v>
      </c>
      <c r="K812" t="str">
        <f t="shared" si="24"/>
        <v>August</v>
      </c>
      <c r="L812">
        <f t="shared" si="25"/>
        <v>2024</v>
      </c>
    </row>
    <row r="813" spans="1:12" x14ac:dyDescent="0.3">
      <c r="A813" s="2">
        <v>45511</v>
      </c>
      <c r="B813" t="s">
        <v>32</v>
      </c>
      <c r="C813" t="s">
        <v>61</v>
      </c>
      <c r="D813" t="s">
        <v>156</v>
      </c>
      <c r="E813" t="s">
        <v>26</v>
      </c>
      <c r="F813" t="s">
        <v>53</v>
      </c>
      <c r="G813" t="s">
        <v>100</v>
      </c>
      <c r="H813" s="3">
        <v>82103.87</v>
      </c>
      <c r="I813" s="4">
        <v>1</v>
      </c>
      <c r="J813" s="3">
        <v>11285.38</v>
      </c>
      <c r="K813" t="str">
        <f t="shared" si="24"/>
        <v>August</v>
      </c>
      <c r="L813">
        <f t="shared" si="25"/>
        <v>2024</v>
      </c>
    </row>
    <row r="814" spans="1:12" x14ac:dyDescent="0.3">
      <c r="A814" s="2">
        <v>45513</v>
      </c>
      <c r="B814" t="s">
        <v>67</v>
      </c>
      <c r="C814" t="s">
        <v>39</v>
      </c>
      <c r="D814" t="s">
        <v>156</v>
      </c>
      <c r="E814" t="s">
        <v>26</v>
      </c>
      <c r="F814" t="s">
        <v>53</v>
      </c>
      <c r="G814" t="s">
        <v>104</v>
      </c>
      <c r="H814" s="3">
        <v>75622.759999999995</v>
      </c>
      <c r="I814" s="4">
        <v>1</v>
      </c>
      <c r="J814" s="3">
        <v>9110.82</v>
      </c>
      <c r="K814" t="str">
        <f t="shared" si="24"/>
        <v>August</v>
      </c>
      <c r="L814">
        <f t="shared" si="25"/>
        <v>2024</v>
      </c>
    </row>
    <row r="815" spans="1:12" x14ac:dyDescent="0.3">
      <c r="A815" s="2">
        <v>45514</v>
      </c>
      <c r="B815" t="s">
        <v>60</v>
      </c>
      <c r="C815" t="s">
        <v>30</v>
      </c>
      <c r="D815" t="s">
        <v>156</v>
      </c>
      <c r="E815" t="s">
        <v>26</v>
      </c>
      <c r="F815" t="s">
        <v>53</v>
      </c>
      <c r="G815" t="s">
        <v>104</v>
      </c>
      <c r="H815" s="3">
        <v>75569.399999999994</v>
      </c>
      <c r="I815" s="4">
        <v>1</v>
      </c>
      <c r="J815" s="3">
        <v>8125.35</v>
      </c>
      <c r="K815" t="str">
        <f t="shared" si="24"/>
        <v>August</v>
      </c>
      <c r="L815">
        <f t="shared" si="25"/>
        <v>2024</v>
      </c>
    </row>
    <row r="816" spans="1:12" x14ac:dyDescent="0.3">
      <c r="A816" s="2">
        <v>45514</v>
      </c>
      <c r="B816" t="s">
        <v>73</v>
      </c>
      <c r="C816" t="s">
        <v>22</v>
      </c>
      <c r="D816" t="s">
        <v>156</v>
      </c>
      <c r="E816" t="s">
        <v>13</v>
      </c>
      <c r="F816" t="s">
        <v>14</v>
      </c>
      <c r="G816" t="s">
        <v>57</v>
      </c>
      <c r="H816" s="3">
        <v>2993.83</v>
      </c>
      <c r="I816" s="4">
        <v>2</v>
      </c>
      <c r="J816" s="3">
        <v>398.07</v>
      </c>
      <c r="K816" t="str">
        <f t="shared" si="24"/>
        <v>August</v>
      </c>
      <c r="L816">
        <f t="shared" si="25"/>
        <v>2024</v>
      </c>
    </row>
    <row r="817" spans="1:12" x14ac:dyDescent="0.3">
      <c r="A817" s="2">
        <v>45514</v>
      </c>
      <c r="B817" t="s">
        <v>38</v>
      </c>
      <c r="C817" t="s">
        <v>61</v>
      </c>
      <c r="D817" t="s">
        <v>156</v>
      </c>
      <c r="E817" t="s">
        <v>13</v>
      </c>
      <c r="F817" t="s">
        <v>23</v>
      </c>
      <c r="G817" t="s">
        <v>77</v>
      </c>
      <c r="H817" s="3">
        <v>109126.09</v>
      </c>
      <c r="I817" s="4">
        <v>3</v>
      </c>
      <c r="J817" s="3">
        <v>6654.3</v>
      </c>
      <c r="K817" t="str">
        <f t="shared" si="24"/>
        <v>August</v>
      </c>
      <c r="L817">
        <f t="shared" si="25"/>
        <v>2024</v>
      </c>
    </row>
    <row r="818" spans="1:12" x14ac:dyDescent="0.3">
      <c r="A818" s="2">
        <v>45514</v>
      </c>
      <c r="B818" t="s">
        <v>48</v>
      </c>
      <c r="C818" t="s">
        <v>68</v>
      </c>
      <c r="D818" t="s">
        <v>156</v>
      </c>
      <c r="E818" t="s">
        <v>42</v>
      </c>
      <c r="F818" t="s">
        <v>90</v>
      </c>
      <c r="G818" t="s">
        <v>97</v>
      </c>
      <c r="H818" s="3">
        <v>2118.98</v>
      </c>
      <c r="I818" s="4">
        <v>1</v>
      </c>
      <c r="J818" s="3">
        <v>494.33</v>
      </c>
      <c r="K818" t="str">
        <f t="shared" si="24"/>
        <v>August</v>
      </c>
      <c r="L818">
        <f t="shared" si="25"/>
        <v>2024</v>
      </c>
    </row>
    <row r="819" spans="1:12" x14ac:dyDescent="0.3">
      <c r="A819" s="2">
        <v>45515</v>
      </c>
      <c r="B819" t="s">
        <v>109</v>
      </c>
      <c r="C819" t="s">
        <v>46</v>
      </c>
      <c r="D819" t="s">
        <v>156</v>
      </c>
      <c r="E819" t="s">
        <v>18</v>
      </c>
      <c r="F819" t="s">
        <v>40</v>
      </c>
      <c r="G819" t="s">
        <v>117</v>
      </c>
      <c r="H819" s="3">
        <v>5325.12</v>
      </c>
      <c r="I819" s="4">
        <v>2</v>
      </c>
      <c r="J819" s="3">
        <v>866.45</v>
      </c>
      <c r="K819" t="str">
        <f t="shared" si="24"/>
        <v>August</v>
      </c>
      <c r="L819">
        <f t="shared" si="25"/>
        <v>2024</v>
      </c>
    </row>
    <row r="820" spans="1:12" x14ac:dyDescent="0.3">
      <c r="A820" s="2">
        <v>45516</v>
      </c>
      <c r="B820" t="s">
        <v>16</v>
      </c>
      <c r="C820" t="s">
        <v>30</v>
      </c>
      <c r="D820" t="s">
        <v>156</v>
      </c>
      <c r="E820" t="s">
        <v>18</v>
      </c>
      <c r="F820" t="s">
        <v>40</v>
      </c>
      <c r="G820" t="s">
        <v>115</v>
      </c>
      <c r="H820" s="3">
        <v>23056.35</v>
      </c>
      <c r="I820" s="4">
        <v>2</v>
      </c>
      <c r="J820" s="3">
        <v>3522.9</v>
      </c>
      <c r="K820" t="str">
        <f t="shared" si="24"/>
        <v>August</v>
      </c>
      <c r="L820">
        <f t="shared" si="25"/>
        <v>2024</v>
      </c>
    </row>
    <row r="821" spans="1:12" x14ac:dyDescent="0.3">
      <c r="A821" s="2">
        <v>45516</v>
      </c>
      <c r="B821" t="s">
        <v>16</v>
      </c>
      <c r="C821" t="s">
        <v>39</v>
      </c>
      <c r="D821" t="s">
        <v>156</v>
      </c>
      <c r="E821" t="s">
        <v>13</v>
      </c>
      <c r="F821" t="s">
        <v>14</v>
      </c>
      <c r="G821" t="s">
        <v>57</v>
      </c>
      <c r="H821" s="3">
        <v>1543.79</v>
      </c>
      <c r="I821" s="4">
        <v>1</v>
      </c>
      <c r="J821" s="3">
        <v>187.82</v>
      </c>
      <c r="K821" t="str">
        <f t="shared" si="24"/>
        <v>August</v>
      </c>
      <c r="L821">
        <f t="shared" si="25"/>
        <v>2024</v>
      </c>
    </row>
    <row r="822" spans="1:12" x14ac:dyDescent="0.3">
      <c r="A822" s="2">
        <v>45516</v>
      </c>
      <c r="B822" t="s">
        <v>65</v>
      </c>
      <c r="C822" t="s">
        <v>69</v>
      </c>
      <c r="D822" t="s">
        <v>156</v>
      </c>
      <c r="E822" t="s">
        <v>42</v>
      </c>
      <c r="F822" t="s">
        <v>43</v>
      </c>
      <c r="G822" t="s">
        <v>44</v>
      </c>
      <c r="H822" s="3">
        <v>13383.95</v>
      </c>
      <c r="I822" s="4">
        <v>1</v>
      </c>
      <c r="J822" s="3">
        <v>2352.9499999999998</v>
      </c>
      <c r="K822" t="str">
        <f t="shared" si="24"/>
        <v>August</v>
      </c>
      <c r="L822">
        <f t="shared" si="25"/>
        <v>2024</v>
      </c>
    </row>
    <row r="823" spans="1:12" x14ac:dyDescent="0.3">
      <c r="A823" s="2">
        <v>45518</v>
      </c>
      <c r="B823" t="s">
        <v>67</v>
      </c>
      <c r="C823" t="s">
        <v>30</v>
      </c>
      <c r="D823" t="s">
        <v>156</v>
      </c>
      <c r="E823" t="s">
        <v>35</v>
      </c>
      <c r="F823" t="s">
        <v>75</v>
      </c>
      <c r="G823" t="s">
        <v>107</v>
      </c>
      <c r="H823" s="3">
        <v>37079.32</v>
      </c>
      <c r="I823" s="4">
        <v>1</v>
      </c>
      <c r="J823" s="3">
        <v>5369</v>
      </c>
      <c r="K823" t="str">
        <f t="shared" si="24"/>
        <v>August</v>
      </c>
      <c r="L823">
        <f t="shared" si="25"/>
        <v>2024</v>
      </c>
    </row>
    <row r="824" spans="1:12" x14ac:dyDescent="0.3">
      <c r="A824" s="2">
        <v>45518</v>
      </c>
      <c r="B824" t="s">
        <v>16</v>
      </c>
      <c r="C824" t="s">
        <v>81</v>
      </c>
      <c r="D824" t="s">
        <v>156</v>
      </c>
      <c r="E824" t="s">
        <v>35</v>
      </c>
      <c r="F824" t="s">
        <v>75</v>
      </c>
      <c r="G824" t="s">
        <v>110</v>
      </c>
      <c r="H824" s="3">
        <v>41588.379999999997</v>
      </c>
      <c r="I824" s="4">
        <v>1</v>
      </c>
      <c r="J824" s="3">
        <v>7296.62</v>
      </c>
      <c r="K824" t="str">
        <f t="shared" si="24"/>
        <v>August</v>
      </c>
      <c r="L824">
        <f t="shared" si="25"/>
        <v>2024</v>
      </c>
    </row>
    <row r="825" spans="1:12" x14ac:dyDescent="0.3">
      <c r="A825" s="2">
        <v>45519</v>
      </c>
      <c r="B825" t="s">
        <v>74</v>
      </c>
      <c r="C825" t="s">
        <v>30</v>
      </c>
      <c r="D825" t="s">
        <v>156</v>
      </c>
      <c r="E825" t="s">
        <v>13</v>
      </c>
      <c r="F825" t="s">
        <v>14</v>
      </c>
      <c r="G825" t="s">
        <v>57</v>
      </c>
      <c r="H825" s="3">
        <v>1675.88</v>
      </c>
      <c r="I825" s="4">
        <v>1</v>
      </c>
      <c r="J825" s="3">
        <v>206.69</v>
      </c>
      <c r="K825" t="str">
        <f t="shared" si="24"/>
        <v>August</v>
      </c>
      <c r="L825">
        <f t="shared" si="25"/>
        <v>2024</v>
      </c>
    </row>
    <row r="826" spans="1:12" x14ac:dyDescent="0.3">
      <c r="A826" s="2">
        <v>45519</v>
      </c>
      <c r="B826" t="s">
        <v>52</v>
      </c>
      <c r="C826" t="s">
        <v>61</v>
      </c>
      <c r="D826" t="s">
        <v>156</v>
      </c>
      <c r="E826" t="s">
        <v>13</v>
      </c>
      <c r="F826" t="s">
        <v>23</v>
      </c>
      <c r="G826" t="s">
        <v>108</v>
      </c>
      <c r="H826" s="3">
        <v>57289.440000000002</v>
      </c>
      <c r="I826" s="4">
        <v>1</v>
      </c>
      <c r="J826" s="3">
        <v>6943.47</v>
      </c>
      <c r="K826" t="str">
        <f t="shared" si="24"/>
        <v>August</v>
      </c>
      <c r="L826">
        <f t="shared" si="25"/>
        <v>2024</v>
      </c>
    </row>
    <row r="827" spans="1:12" x14ac:dyDescent="0.3">
      <c r="A827" s="2">
        <v>45521</v>
      </c>
      <c r="B827" t="s">
        <v>116</v>
      </c>
      <c r="C827" t="s">
        <v>12</v>
      </c>
      <c r="D827" t="s">
        <v>156</v>
      </c>
      <c r="E827" t="s">
        <v>26</v>
      </c>
      <c r="F827" t="s">
        <v>53</v>
      </c>
      <c r="G827" t="s">
        <v>104</v>
      </c>
      <c r="H827" s="3">
        <v>166266.75</v>
      </c>
      <c r="I827" s="4">
        <v>2</v>
      </c>
      <c r="J827" s="3">
        <v>16642.98</v>
      </c>
      <c r="K827" t="str">
        <f t="shared" si="24"/>
        <v>August</v>
      </c>
      <c r="L827">
        <f t="shared" si="25"/>
        <v>2024</v>
      </c>
    </row>
    <row r="828" spans="1:12" x14ac:dyDescent="0.3">
      <c r="A828" s="2">
        <v>45522</v>
      </c>
      <c r="B828" t="s">
        <v>25</v>
      </c>
      <c r="C828" t="s">
        <v>58</v>
      </c>
      <c r="D828" t="s">
        <v>156</v>
      </c>
      <c r="E828" t="s">
        <v>35</v>
      </c>
      <c r="F828" t="s">
        <v>50</v>
      </c>
      <c r="G828" t="s">
        <v>118</v>
      </c>
      <c r="H828" s="3">
        <v>7417.06</v>
      </c>
      <c r="I828" s="4">
        <v>1</v>
      </c>
      <c r="J828" s="3">
        <v>610.29</v>
      </c>
      <c r="K828" t="str">
        <f t="shared" si="24"/>
        <v>August</v>
      </c>
      <c r="L828">
        <f t="shared" si="25"/>
        <v>2024</v>
      </c>
    </row>
    <row r="829" spans="1:12" x14ac:dyDescent="0.3">
      <c r="A829" s="2">
        <v>45522</v>
      </c>
      <c r="B829" t="s">
        <v>101</v>
      </c>
      <c r="C829" t="s">
        <v>81</v>
      </c>
      <c r="D829" t="s">
        <v>156</v>
      </c>
      <c r="E829" t="s">
        <v>42</v>
      </c>
      <c r="F829" t="s">
        <v>90</v>
      </c>
      <c r="G829" t="s">
        <v>91</v>
      </c>
      <c r="H829" s="3">
        <v>5889.06</v>
      </c>
      <c r="I829" s="4">
        <v>3</v>
      </c>
      <c r="J829" s="3">
        <v>1251.69</v>
      </c>
      <c r="K829" t="str">
        <f t="shared" si="24"/>
        <v>August</v>
      </c>
      <c r="L829">
        <f t="shared" si="25"/>
        <v>2024</v>
      </c>
    </row>
    <row r="830" spans="1:12" x14ac:dyDescent="0.3">
      <c r="A830" s="2">
        <v>45524</v>
      </c>
      <c r="B830" t="s">
        <v>80</v>
      </c>
      <c r="C830" t="s">
        <v>69</v>
      </c>
      <c r="D830" t="s">
        <v>156</v>
      </c>
      <c r="E830" t="s">
        <v>18</v>
      </c>
      <c r="F830" t="s">
        <v>40</v>
      </c>
      <c r="G830" t="s">
        <v>41</v>
      </c>
      <c r="H830" s="3">
        <v>90784.4</v>
      </c>
      <c r="I830" s="4">
        <v>5</v>
      </c>
      <c r="J830" s="3">
        <v>11359.53</v>
      </c>
      <c r="K830" t="str">
        <f t="shared" si="24"/>
        <v>August</v>
      </c>
      <c r="L830">
        <f t="shared" si="25"/>
        <v>2024</v>
      </c>
    </row>
    <row r="831" spans="1:12" x14ac:dyDescent="0.3">
      <c r="A831" s="2">
        <v>45524</v>
      </c>
      <c r="B831" t="s">
        <v>78</v>
      </c>
      <c r="C831" t="s">
        <v>17</v>
      </c>
      <c r="D831" t="s">
        <v>156</v>
      </c>
      <c r="E831" t="s">
        <v>18</v>
      </c>
      <c r="F831" t="s">
        <v>19</v>
      </c>
      <c r="G831" t="s">
        <v>72</v>
      </c>
      <c r="H831" s="3">
        <v>177688.64</v>
      </c>
      <c r="I831" s="4">
        <v>3</v>
      </c>
      <c r="J831" s="3">
        <v>27041.34</v>
      </c>
      <c r="K831" t="str">
        <f t="shared" si="24"/>
        <v>August</v>
      </c>
      <c r="L831">
        <f t="shared" si="25"/>
        <v>2024</v>
      </c>
    </row>
    <row r="832" spans="1:12" x14ac:dyDescent="0.3">
      <c r="A832" s="2">
        <v>45525</v>
      </c>
      <c r="B832" t="s">
        <v>16</v>
      </c>
      <c r="C832" t="s">
        <v>61</v>
      </c>
      <c r="D832" t="s">
        <v>156</v>
      </c>
      <c r="E832" t="s">
        <v>35</v>
      </c>
      <c r="F832" t="s">
        <v>63</v>
      </c>
      <c r="G832" t="s">
        <v>112</v>
      </c>
      <c r="H832" s="3">
        <v>60405.25</v>
      </c>
      <c r="I832" s="4">
        <v>2</v>
      </c>
      <c r="J832" s="3">
        <v>8025.22</v>
      </c>
      <c r="K832" t="str">
        <f t="shared" si="24"/>
        <v>August</v>
      </c>
      <c r="L832">
        <f t="shared" si="25"/>
        <v>2024</v>
      </c>
    </row>
    <row r="833" spans="1:12" x14ac:dyDescent="0.3">
      <c r="A833" s="2">
        <v>45525</v>
      </c>
      <c r="B833" t="s">
        <v>16</v>
      </c>
      <c r="C833" t="s">
        <v>58</v>
      </c>
      <c r="D833" t="s">
        <v>156</v>
      </c>
      <c r="E833" t="s">
        <v>42</v>
      </c>
      <c r="F833" t="s">
        <v>43</v>
      </c>
      <c r="G833" t="s">
        <v>44</v>
      </c>
      <c r="H833" s="3">
        <v>43721.04</v>
      </c>
      <c r="I833" s="4">
        <v>3</v>
      </c>
      <c r="J833" s="3">
        <v>6598.52</v>
      </c>
      <c r="K833" t="str">
        <f t="shared" si="24"/>
        <v>August</v>
      </c>
      <c r="L833">
        <f t="shared" si="25"/>
        <v>2024</v>
      </c>
    </row>
    <row r="834" spans="1:12" x14ac:dyDescent="0.3">
      <c r="A834" s="2">
        <v>45526</v>
      </c>
      <c r="B834" t="s">
        <v>34</v>
      </c>
      <c r="C834" t="s">
        <v>81</v>
      </c>
      <c r="D834" t="s">
        <v>156</v>
      </c>
      <c r="E834" t="s">
        <v>13</v>
      </c>
      <c r="F834" t="s">
        <v>14</v>
      </c>
      <c r="G834" t="s">
        <v>88</v>
      </c>
      <c r="H834" s="3">
        <v>1347.75</v>
      </c>
      <c r="I834" s="4">
        <v>1</v>
      </c>
      <c r="J834" s="3">
        <v>128.75</v>
      </c>
      <c r="K834" t="str">
        <f t="shared" si="24"/>
        <v>August</v>
      </c>
      <c r="L834">
        <f t="shared" si="25"/>
        <v>2024</v>
      </c>
    </row>
    <row r="835" spans="1:12" x14ac:dyDescent="0.3">
      <c r="A835" s="2">
        <v>45526</v>
      </c>
      <c r="B835" t="s">
        <v>52</v>
      </c>
      <c r="C835" t="s">
        <v>68</v>
      </c>
      <c r="D835" t="s">
        <v>156</v>
      </c>
      <c r="E835" t="s">
        <v>35</v>
      </c>
      <c r="F835" t="s">
        <v>50</v>
      </c>
      <c r="G835" t="s">
        <v>118</v>
      </c>
      <c r="H835" s="3">
        <v>7466.83</v>
      </c>
      <c r="I835" s="4">
        <v>1</v>
      </c>
      <c r="J835" s="3">
        <v>690.82</v>
      </c>
      <c r="K835" t="str">
        <f t="shared" ref="K835:K898" si="26">TEXT(A835,"mmmm")</f>
        <v>August</v>
      </c>
      <c r="L835">
        <f t="shared" ref="L835:L898" si="27">YEAR(A835)</f>
        <v>2024</v>
      </c>
    </row>
    <row r="836" spans="1:12" x14ac:dyDescent="0.3">
      <c r="A836" s="2">
        <v>45527</v>
      </c>
      <c r="B836" t="s">
        <v>109</v>
      </c>
      <c r="C836" t="s">
        <v>39</v>
      </c>
      <c r="D836" t="s">
        <v>156</v>
      </c>
      <c r="E836" t="s">
        <v>42</v>
      </c>
      <c r="F836" t="s">
        <v>90</v>
      </c>
      <c r="G836" t="s">
        <v>97</v>
      </c>
      <c r="H836" s="3">
        <v>2299.34</v>
      </c>
      <c r="I836" s="4">
        <v>1</v>
      </c>
      <c r="J836" s="3">
        <v>437.46</v>
      </c>
      <c r="K836" t="str">
        <f t="shared" si="26"/>
        <v>August</v>
      </c>
      <c r="L836">
        <f t="shared" si="27"/>
        <v>2024</v>
      </c>
    </row>
    <row r="837" spans="1:12" x14ac:dyDescent="0.3">
      <c r="A837" s="2">
        <v>45527</v>
      </c>
      <c r="B837" t="s">
        <v>25</v>
      </c>
      <c r="C837" t="s">
        <v>49</v>
      </c>
      <c r="D837" t="s">
        <v>156</v>
      </c>
      <c r="E837" t="s">
        <v>35</v>
      </c>
      <c r="F837" t="s">
        <v>36</v>
      </c>
      <c r="G837" t="s">
        <v>99</v>
      </c>
      <c r="H837" s="3">
        <v>73317.23</v>
      </c>
      <c r="I837" s="4">
        <v>2</v>
      </c>
      <c r="J837" s="3">
        <v>12578.26</v>
      </c>
      <c r="K837" t="str">
        <f t="shared" si="26"/>
        <v>August</v>
      </c>
      <c r="L837">
        <f t="shared" si="27"/>
        <v>2024</v>
      </c>
    </row>
    <row r="838" spans="1:12" x14ac:dyDescent="0.3">
      <c r="A838" s="2">
        <v>45527</v>
      </c>
      <c r="B838" t="s">
        <v>83</v>
      </c>
      <c r="C838" t="s">
        <v>81</v>
      </c>
      <c r="D838" t="s">
        <v>156</v>
      </c>
      <c r="E838" t="s">
        <v>18</v>
      </c>
      <c r="F838" t="s">
        <v>19</v>
      </c>
      <c r="G838" t="s">
        <v>20</v>
      </c>
      <c r="H838" s="3">
        <v>64137.21</v>
      </c>
      <c r="I838" s="4">
        <v>1</v>
      </c>
      <c r="J838" s="3">
        <v>10726.29</v>
      </c>
      <c r="K838" t="str">
        <f t="shared" si="26"/>
        <v>August</v>
      </c>
      <c r="L838">
        <f t="shared" si="27"/>
        <v>2024</v>
      </c>
    </row>
    <row r="839" spans="1:12" x14ac:dyDescent="0.3">
      <c r="A839" s="2">
        <v>45528</v>
      </c>
      <c r="B839" t="s">
        <v>45</v>
      </c>
      <c r="C839" t="s">
        <v>58</v>
      </c>
      <c r="D839" t="s">
        <v>156</v>
      </c>
      <c r="E839" t="s">
        <v>35</v>
      </c>
      <c r="F839" t="s">
        <v>75</v>
      </c>
      <c r="G839" t="s">
        <v>107</v>
      </c>
      <c r="H839" s="3">
        <v>32956.65</v>
      </c>
      <c r="I839" s="4">
        <v>1</v>
      </c>
      <c r="J839" s="3">
        <v>4798.3</v>
      </c>
      <c r="K839" t="str">
        <f t="shared" si="26"/>
        <v>August</v>
      </c>
      <c r="L839">
        <f t="shared" si="27"/>
        <v>2024</v>
      </c>
    </row>
    <row r="840" spans="1:12" x14ac:dyDescent="0.3">
      <c r="A840" s="2">
        <v>45530</v>
      </c>
      <c r="B840" t="s">
        <v>55</v>
      </c>
      <c r="C840" t="s">
        <v>61</v>
      </c>
      <c r="D840" t="s">
        <v>156</v>
      </c>
      <c r="E840" t="s">
        <v>13</v>
      </c>
      <c r="F840" t="s">
        <v>14</v>
      </c>
      <c r="G840" t="s">
        <v>15</v>
      </c>
      <c r="H840" s="3">
        <v>2228.0300000000002</v>
      </c>
      <c r="I840" s="4">
        <v>1</v>
      </c>
      <c r="J840" s="3">
        <v>318.37</v>
      </c>
      <c r="K840" t="str">
        <f t="shared" si="26"/>
        <v>August</v>
      </c>
      <c r="L840">
        <f t="shared" si="27"/>
        <v>2024</v>
      </c>
    </row>
    <row r="841" spans="1:12" x14ac:dyDescent="0.3">
      <c r="A841" s="2">
        <v>45531</v>
      </c>
      <c r="B841" t="s">
        <v>60</v>
      </c>
      <c r="C841" t="s">
        <v>68</v>
      </c>
      <c r="D841" t="s">
        <v>156</v>
      </c>
      <c r="E841" t="s">
        <v>42</v>
      </c>
      <c r="F841" t="s">
        <v>43</v>
      </c>
      <c r="G841" t="s">
        <v>87</v>
      </c>
      <c r="H841" s="3">
        <v>11171.76</v>
      </c>
      <c r="I841" s="4">
        <v>1</v>
      </c>
      <c r="J841" s="3">
        <v>1772.88</v>
      </c>
      <c r="K841" t="str">
        <f t="shared" si="26"/>
        <v>August</v>
      </c>
      <c r="L841">
        <f t="shared" si="27"/>
        <v>2024</v>
      </c>
    </row>
    <row r="842" spans="1:12" x14ac:dyDescent="0.3">
      <c r="A842" s="2">
        <v>45532</v>
      </c>
      <c r="B842" t="s">
        <v>38</v>
      </c>
      <c r="C842" t="s">
        <v>81</v>
      </c>
      <c r="D842" t="s">
        <v>156</v>
      </c>
      <c r="E842" t="s">
        <v>13</v>
      </c>
      <c r="F842" t="s">
        <v>14</v>
      </c>
      <c r="G842" t="s">
        <v>57</v>
      </c>
      <c r="H842" s="3">
        <v>6774.52</v>
      </c>
      <c r="I842" s="4">
        <v>4</v>
      </c>
      <c r="J842" s="3">
        <v>810.35</v>
      </c>
      <c r="K842" t="str">
        <f t="shared" si="26"/>
        <v>August</v>
      </c>
      <c r="L842">
        <f t="shared" si="27"/>
        <v>2024</v>
      </c>
    </row>
    <row r="843" spans="1:12" x14ac:dyDescent="0.3">
      <c r="A843" s="2">
        <v>45534</v>
      </c>
      <c r="B843" t="s">
        <v>101</v>
      </c>
      <c r="C843" t="s">
        <v>81</v>
      </c>
      <c r="D843" t="s">
        <v>156</v>
      </c>
      <c r="E843" t="s">
        <v>35</v>
      </c>
      <c r="F843" t="s">
        <v>50</v>
      </c>
      <c r="G843" t="s">
        <v>121</v>
      </c>
      <c r="H843" s="3">
        <v>9735.49</v>
      </c>
      <c r="I843" s="4">
        <v>2</v>
      </c>
      <c r="J843" s="3">
        <v>1556.14</v>
      </c>
      <c r="K843" t="str">
        <f t="shared" si="26"/>
        <v>August</v>
      </c>
      <c r="L843">
        <f t="shared" si="27"/>
        <v>2024</v>
      </c>
    </row>
    <row r="844" spans="1:12" x14ac:dyDescent="0.3">
      <c r="A844" s="2">
        <v>45534</v>
      </c>
      <c r="B844" t="s">
        <v>11</v>
      </c>
      <c r="C844" t="s">
        <v>66</v>
      </c>
      <c r="D844" t="s">
        <v>156</v>
      </c>
      <c r="E844" t="s">
        <v>42</v>
      </c>
      <c r="F844" t="s">
        <v>43</v>
      </c>
      <c r="G844" t="s">
        <v>89</v>
      </c>
      <c r="H844" s="3">
        <v>31518.27</v>
      </c>
      <c r="I844" s="4">
        <v>1</v>
      </c>
      <c r="J844" s="3">
        <v>5658.54</v>
      </c>
      <c r="K844" t="str">
        <f t="shared" si="26"/>
        <v>August</v>
      </c>
      <c r="L844">
        <f t="shared" si="27"/>
        <v>2024</v>
      </c>
    </row>
    <row r="845" spans="1:12" x14ac:dyDescent="0.3">
      <c r="A845" s="2">
        <v>45534</v>
      </c>
      <c r="B845" t="s">
        <v>34</v>
      </c>
      <c r="C845" t="s">
        <v>68</v>
      </c>
      <c r="D845" t="s">
        <v>156</v>
      </c>
      <c r="E845" t="s">
        <v>42</v>
      </c>
      <c r="F845" t="s">
        <v>43</v>
      </c>
      <c r="G845" t="s">
        <v>87</v>
      </c>
      <c r="H845" s="3">
        <v>10218.299999999999</v>
      </c>
      <c r="I845" s="4">
        <v>1</v>
      </c>
      <c r="J845" s="3">
        <v>2073.9299999999998</v>
      </c>
      <c r="K845" t="str">
        <f t="shared" si="26"/>
        <v>August</v>
      </c>
      <c r="L845">
        <f t="shared" si="27"/>
        <v>2024</v>
      </c>
    </row>
    <row r="846" spans="1:12" x14ac:dyDescent="0.3">
      <c r="A846" s="2">
        <v>45536</v>
      </c>
      <c r="B846" t="s">
        <v>83</v>
      </c>
      <c r="C846" t="s">
        <v>46</v>
      </c>
      <c r="D846" t="s">
        <v>156</v>
      </c>
      <c r="E846" t="s">
        <v>42</v>
      </c>
      <c r="F846" t="s">
        <v>90</v>
      </c>
      <c r="G846" t="s">
        <v>120</v>
      </c>
      <c r="H846" s="3">
        <v>5871.73</v>
      </c>
      <c r="I846" s="4">
        <v>1</v>
      </c>
      <c r="J846" s="3">
        <v>838.21</v>
      </c>
      <c r="K846" t="str">
        <f t="shared" si="26"/>
        <v>September</v>
      </c>
      <c r="L846">
        <f t="shared" si="27"/>
        <v>2024</v>
      </c>
    </row>
    <row r="847" spans="1:12" x14ac:dyDescent="0.3">
      <c r="A847" s="2">
        <v>45537</v>
      </c>
      <c r="B847" t="s">
        <v>45</v>
      </c>
      <c r="C847" t="s">
        <v>22</v>
      </c>
      <c r="D847" t="s">
        <v>156</v>
      </c>
      <c r="E847" t="s">
        <v>18</v>
      </c>
      <c r="F847" t="s">
        <v>19</v>
      </c>
      <c r="G847" t="s">
        <v>106</v>
      </c>
      <c r="H847" s="3">
        <v>292336.57</v>
      </c>
      <c r="I847" s="4">
        <v>3</v>
      </c>
      <c r="J847" s="3">
        <v>21684.74</v>
      </c>
      <c r="K847" t="str">
        <f t="shared" si="26"/>
        <v>September</v>
      </c>
      <c r="L847">
        <f t="shared" si="27"/>
        <v>2024</v>
      </c>
    </row>
    <row r="848" spans="1:12" x14ac:dyDescent="0.3">
      <c r="A848" s="2">
        <v>45538</v>
      </c>
      <c r="B848" t="s">
        <v>67</v>
      </c>
      <c r="C848" t="s">
        <v>39</v>
      </c>
      <c r="D848" t="s">
        <v>156</v>
      </c>
      <c r="E848" t="s">
        <v>42</v>
      </c>
      <c r="F848" t="s">
        <v>43</v>
      </c>
      <c r="G848" t="s">
        <v>44</v>
      </c>
      <c r="H848" s="3">
        <v>14370.32</v>
      </c>
      <c r="I848" s="4">
        <v>1</v>
      </c>
      <c r="J848" s="3">
        <v>2363.7399999999998</v>
      </c>
      <c r="K848" t="str">
        <f t="shared" si="26"/>
        <v>September</v>
      </c>
      <c r="L848">
        <f t="shared" si="27"/>
        <v>2024</v>
      </c>
    </row>
    <row r="849" spans="1:12" x14ac:dyDescent="0.3">
      <c r="A849" s="2">
        <v>45538</v>
      </c>
      <c r="B849" t="s">
        <v>73</v>
      </c>
      <c r="C849" t="s">
        <v>30</v>
      </c>
      <c r="D849" t="s">
        <v>156</v>
      </c>
      <c r="E849" t="s">
        <v>13</v>
      </c>
      <c r="F849" t="s">
        <v>14</v>
      </c>
      <c r="G849" t="s">
        <v>88</v>
      </c>
      <c r="H849" s="3">
        <v>1496.61</v>
      </c>
      <c r="I849" s="4">
        <v>1</v>
      </c>
      <c r="J849" s="3">
        <v>147.82</v>
      </c>
      <c r="K849" t="str">
        <f t="shared" si="26"/>
        <v>September</v>
      </c>
      <c r="L849">
        <f t="shared" si="27"/>
        <v>2024</v>
      </c>
    </row>
    <row r="850" spans="1:12" x14ac:dyDescent="0.3">
      <c r="A850" s="2">
        <v>45539</v>
      </c>
      <c r="B850" t="s">
        <v>95</v>
      </c>
      <c r="C850" t="s">
        <v>62</v>
      </c>
      <c r="D850" t="s">
        <v>156</v>
      </c>
      <c r="E850" t="s">
        <v>42</v>
      </c>
      <c r="F850" t="s">
        <v>43</v>
      </c>
      <c r="G850" t="s">
        <v>44</v>
      </c>
      <c r="H850" s="3">
        <v>27417.29</v>
      </c>
      <c r="I850" s="4">
        <v>2</v>
      </c>
      <c r="J850" s="3">
        <v>2805.59</v>
      </c>
      <c r="K850" t="str">
        <f t="shared" si="26"/>
        <v>September</v>
      </c>
      <c r="L850">
        <f t="shared" si="27"/>
        <v>2024</v>
      </c>
    </row>
    <row r="851" spans="1:12" x14ac:dyDescent="0.3">
      <c r="A851" s="2">
        <v>45539</v>
      </c>
      <c r="B851" t="s">
        <v>16</v>
      </c>
      <c r="C851" t="s">
        <v>68</v>
      </c>
      <c r="D851" t="s">
        <v>156</v>
      </c>
      <c r="E851" t="s">
        <v>13</v>
      </c>
      <c r="F851" t="s">
        <v>14</v>
      </c>
      <c r="G851" t="s">
        <v>57</v>
      </c>
      <c r="H851" s="3">
        <v>1594.09</v>
      </c>
      <c r="I851" s="4">
        <v>1</v>
      </c>
      <c r="J851" s="3">
        <v>201.14</v>
      </c>
      <c r="K851" t="str">
        <f t="shared" si="26"/>
        <v>September</v>
      </c>
      <c r="L851">
        <f t="shared" si="27"/>
        <v>2024</v>
      </c>
    </row>
    <row r="852" spans="1:12" x14ac:dyDescent="0.3">
      <c r="A852" s="2">
        <v>45540</v>
      </c>
      <c r="B852" t="s">
        <v>93</v>
      </c>
      <c r="C852" t="s">
        <v>56</v>
      </c>
      <c r="D852" t="s">
        <v>156</v>
      </c>
      <c r="E852" t="s">
        <v>26</v>
      </c>
      <c r="F852" t="s">
        <v>53</v>
      </c>
      <c r="G852" t="s">
        <v>98</v>
      </c>
      <c r="H852" s="3">
        <v>53606.96</v>
      </c>
      <c r="I852" s="4">
        <v>2</v>
      </c>
      <c r="J852" s="3">
        <v>5775.59</v>
      </c>
      <c r="K852" t="str">
        <f t="shared" si="26"/>
        <v>September</v>
      </c>
      <c r="L852">
        <f t="shared" si="27"/>
        <v>2024</v>
      </c>
    </row>
    <row r="853" spans="1:12" x14ac:dyDescent="0.3">
      <c r="A853" s="2">
        <v>45541</v>
      </c>
      <c r="B853" t="s">
        <v>67</v>
      </c>
      <c r="C853" t="s">
        <v>62</v>
      </c>
      <c r="D853" t="s">
        <v>156</v>
      </c>
      <c r="E853" t="s">
        <v>13</v>
      </c>
      <c r="F853" t="s">
        <v>23</v>
      </c>
      <c r="G853" t="s">
        <v>108</v>
      </c>
      <c r="H853" s="3">
        <v>107837.54</v>
      </c>
      <c r="I853" s="4">
        <v>2</v>
      </c>
      <c r="J853" s="3">
        <v>7440.61</v>
      </c>
      <c r="K853" t="str">
        <f t="shared" si="26"/>
        <v>September</v>
      </c>
      <c r="L853">
        <f t="shared" si="27"/>
        <v>2024</v>
      </c>
    </row>
    <row r="854" spans="1:12" x14ac:dyDescent="0.3">
      <c r="A854" s="2">
        <v>45542</v>
      </c>
      <c r="B854" t="s">
        <v>93</v>
      </c>
      <c r="C854" t="s">
        <v>69</v>
      </c>
      <c r="D854" t="s">
        <v>156</v>
      </c>
      <c r="E854" t="s">
        <v>26</v>
      </c>
      <c r="F854" t="s">
        <v>27</v>
      </c>
      <c r="G854" t="s">
        <v>28</v>
      </c>
      <c r="H854" s="3">
        <v>41273.410000000003</v>
      </c>
      <c r="I854" s="4">
        <v>2</v>
      </c>
      <c r="J854" s="3">
        <v>5601.99</v>
      </c>
      <c r="K854" t="str">
        <f t="shared" si="26"/>
        <v>September</v>
      </c>
      <c r="L854">
        <f t="shared" si="27"/>
        <v>2024</v>
      </c>
    </row>
    <row r="855" spans="1:12" x14ac:dyDescent="0.3">
      <c r="A855" s="2">
        <v>45542</v>
      </c>
      <c r="B855" t="s">
        <v>101</v>
      </c>
      <c r="C855" t="s">
        <v>30</v>
      </c>
      <c r="D855" t="s">
        <v>156</v>
      </c>
      <c r="E855" t="s">
        <v>13</v>
      </c>
      <c r="F855" t="s">
        <v>14</v>
      </c>
      <c r="G855" t="s">
        <v>15</v>
      </c>
      <c r="H855" s="3">
        <v>2490.52</v>
      </c>
      <c r="I855" s="4">
        <v>1</v>
      </c>
      <c r="J855" s="3">
        <v>235.19</v>
      </c>
      <c r="K855" t="str">
        <f t="shared" si="26"/>
        <v>September</v>
      </c>
      <c r="L855">
        <f t="shared" si="27"/>
        <v>2024</v>
      </c>
    </row>
    <row r="856" spans="1:12" x14ac:dyDescent="0.3">
      <c r="A856" s="2">
        <v>45542</v>
      </c>
      <c r="B856" t="s">
        <v>11</v>
      </c>
      <c r="C856" t="s">
        <v>69</v>
      </c>
      <c r="D856" t="s">
        <v>156</v>
      </c>
      <c r="E856" t="s">
        <v>13</v>
      </c>
      <c r="F856" t="s">
        <v>14</v>
      </c>
      <c r="G856" t="s">
        <v>57</v>
      </c>
      <c r="H856" s="3">
        <v>1486.76</v>
      </c>
      <c r="I856" s="4">
        <v>1</v>
      </c>
      <c r="J856" s="3">
        <v>186.84</v>
      </c>
      <c r="K856" t="str">
        <f t="shared" si="26"/>
        <v>September</v>
      </c>
      <c r="L856">
        <f t="shared" si="27"/>
        <v>2024</v>
      </c>
    </row>
    <row r="857" spans="1:12" x14ac:dyDescent="0.3">
      <c r="A857" s="2">
        <v>45543</v>
      </c>
      <c r="B857" t="s">
        <v>60</v>
      </c>
      <c r="C857" t="s">
        <v>49</v>
      </c>
      <c r="D857" t="s">
        <v>156</v>
      </c>
      <c r="E857" t="s">
        <v>42</v>
      </c>
      <c r="F857" t="s">
        <v>43</v>
      </c>
      <c r="G857" t="s">
        <v>87</v>
      </c>
      <c r="H857" s="3">
        <v>33937.449999999997</v>
      </c>
      <c r="I857" s="4">
        <v>3</v>
      </c>
      <c r="J857" s="3">
        <v>4438.84</v>
      </c>
      <c r="K857" t="str">
        <f t="shared" si="26"/>
        <v>September</v>
      </c>
      <c r="L857">
        <f t="shared" si="27"/>
        <v>2024</v>
      </c>
    </row>
    <row r="858" spans="1:12" x14ac:dyDescent="0.3">
      <c r="A858" s="2">
        <v>45543</v>
      </c>
      <c r="B858" t="s">
        <v>113</v>
      </c>
      <c r="C858" t="s">
        <v>22</v>
      </c>
      <c r="D858" t="s">
        <v>156</v>
      </c>
      <c r="E858" t="s">
        <v>26</v>
      </c>
      <c r="F858" t="s">
        <v>27</v>
      </c>
      <c r="G858" t="s">
        <v>82</v>
      </c>
      <c r="H858" s="3">
        <v>101942.57</v>
      </c>
      <c r="I858" s="4">
        <v>3</v>
      </c>
      <c r="J858" s="3">
        <v>12629.11</v>
      </c>
      <c r="K858" t="str">
        <f t="shared" si="26"/>
        <v>September</v>
      </c>
      <c r="L858">
        <f t="shared" si="27"/>
        <v>2024</v>
      </c>
    </row>
    <row r="859" spans="1:12" x14ac:dyDescent="0.3">
      <c r="A859" s="2">
        <v>45544</v>
      </c>
      <c r="B859" t="s">
        <v>113</v>
      </c>
      <c r="C859" t="s">
        <v>66</v>
      </c>
      <c r="D859" t="s">
        <v>156</v>
      </c>
      <c r="E859" t="s">
        <v>42</v>
      </c>
      <c r="F859" t="s">
        <v>43</v>
      </c>
      <c r="G859" t="s">
        <v>89</v>
      </c>
      <c r="H859" s="3">
        <v>60658.01</v>
      </c>
      <c r="I859" s="4">
        <v>2</v>
      </c>
      <c r="J859" s="3">
        <v>7135.86</v>
      </c>
      <c r="K859" t="str">
        <f t="shared" si="26"/>
        <v>September</v>
      </c>
      <c r="L859">
        <f t="shared" si="27"/>
        <v>2024</v>
      </c>
    </row>
    <row r="860" spans="1:12" x14ac:dyDescent="0.3">
      <c r="A860" s="2">
        <v>45545</v>
      </c>
      <c r="B860" t="s">
        <v>116</v>
      </c>
      <c r="C860" t="s">
        <v>61</v>
      </c>
      <c r="D860" t="s">
        <v>156</v>
      </c>
      <c r="E860" t="s">
        <v>42</v>
      </c>
      <c r="F860" t="s">
        <v>90</v>
      </c>
      <c r="G860" t="s">
        <v>97</v>
      </c>
      <c r="H860" s="3">
        <v>2471.58</v>
      </c>
      <c r="I860" s="4">
        <v>1</v>
      </c>
      <c r="J860" s="3">
        <v>575.37</v>
      </c>
      <c r="K860" t="str">
        <f t="shared" si="26"/>
        <v>September</v>
      </c>
      <c r="L860">
        <f t="shared" si="27"/>
        <v>2024</v>
      </c>
    </row>
    <row r="861" spans="1:12" x14ac:dyDescent="0.3">
      <c r="A861" s="2">
        <v>45545</v>
      </c>
      <c r="B861" t="s">
        <v>78</v>
      </c>
      <c r="C861" t="s">
        <v>58</v>
      </c>
      <c r="D861" t="s">
        <v>156</v>
      </c>
      <c r="E861" t="s">
        <v>35</v>
      </c>
      <c r="F861" t="s">
        <v>50</v>
      </c>
      <c r="G861" t="s">
        <v>121</v>
      </c>
      <c r="H861" s="3">
        <v>9011.89</v>
      </c>
      <c r="I861" s="4">
        <v>2</v>
      </c>
      <c r="J861" s="3">
        <v>1774.14</v>
      </c>
      <c r="K861" t="str">
        <f t="shared" si="26"/>
        <v>September</v>
      </c>
      <c r="L861">
        <f t="shared" si="27"/>
        <v>2024</v>
      </c>
    </row>
    <row r="862" spans="1:12" x14ac:dyDescent="0.3">
      <c r="A862" s="2">
        <v>45545</v>
      </c>
      <c r="B862" t="s">
        <v>80</v>
      </c>
      <c r="C862" t="s">
        <v>49</v>
      </c>
      <c r="D862" t="s">
        <v>156</v>
      </c>
      <c r="E862" t="s">
        <v>18</v>
      </c>
      <c r="F862" t="s">
        <v>40</v>
      </c>
      <c r="G862" t="s">
        <v>117</v>
      </c>
      <c r="H862" s="3">
        <v>2775.34</v>
      </c>
      <c r="I862" s="4">
        <v>1</v>
      </c>
      <c r="J862" s="3">
        <v>264.01</v>
      </c>
      <c r="K862" t="str">
        <f t="shared" si="26"/>
        <v>September</v>
      </c>
      <c r="L862">
        <f t="shared" si="27"/>
        <v>2024</v>
      </c>
    </row>
    <row r="863" spans="1:12" x14ac:dyDescent="0.3">
      <c r="A863" s="2">
        <v>45547</v>
      </c>
      <c r="B863" t="s">
        <v>21</v>
      </c>
      <c r="C863" t="s">
        <v>12</v>
      </c>
      <c r="D863" t="s">
        <v>156</v>
      </c>
      <c r="E863" t="s">
        <v>35</v>
      </c>
      <c r="F863" t="s">
        <v>63</v>
      </c>
      <c r="G863" t="s">
        <v>112</v>
      </c>
      <c r="H863" s="3">
        <v>27204.89</v>
      </c>
      <c r="I863" s="4">
        <v>1</v>
      </c>
      <c r="J863" s="3">
        <v>3622.96</v>
      </c>
      <c r="K863" t="str">
        <f t="shared" si="26"/>
        <v>September</v>
      </c>
      <c r="L863">
        <f t="shared" si="27"/>
        <v>2024</v>
      </c>
    </row>
    <row r="864" spans="1:12" x14ac:dyDescent="0.3">
      <c r="A864" s="2">
        <v>45547</v>
      </c>
      <c r="B864" t="s">
        <v>116</v>
      </c>
      <c r="C864" t="s">
        <v>69</v>
      </c>
      <c r="D864" t="s">
        <v>156</v>
      </c>
      <c r="E864" t="s">
        <v>26</v>
      </c>
      <c r="F864" t="s">
        <v>27</v>
      </c>
      <c r="G864" t="s">
        <v>31</v>
      </c>
      <c r="H864" s="3">
        <v>8702.99</v>
      </c>
      <c r="I864" s="4">
        <v>1</v>
      </c>
      <c r="J864" s="3">
        <v>1120.47</v>
      </c>
      <c r="K864" t="str">
        <f t="shared" si="26"/>
        <v>September</v>
      </c>
      <c r="L864">
        <f t="shared" si="27"/>
        <v>2024</v>
      </c>
    </row>
    <row r="865" spans="1:12" x14ac:dyDescent="0.3">
      <c r="A865" s="2">
        <v>45547</v>
      </c>
      <c r="B865" t="s">
        <v>83</v>
      </c>
      <c r="C865" t="s">
        <v>68</v>
      </c>
      <c r="D865" t="s">
        <v>156</v>
      </c>
      <c r="E865" t="s">
        <v>13</v>
      </c>
      <c r="F865" t="s">
        <v>14</v>
      </c>
      <c r="G865" t="s">
        <v>57</v>
      </c>
      <c r="H865" s="3">
        <v>6411.27</v>
      </c>
      <c r="I865" s="4">
        <v>4</v>
      </c>
      <c r="J865" s="3">
        <v>488.75</v>
      </c>
      <c r="K865" t="str">
        <f t="shared" si="26"/>
        <v>September</v>
      </c>
      <c r="L865">
        <f t="shared" si="27"/>
        <v>2024</v>
      </c>
    </row>
    <row r="866" spans="1:12" x14ac:dyDescent="0.3">
      <c r="A866" s="2">
        <v>45549</v>
      </c>
      <c r="B866" t="s">
        <v>113</v>
      </c>
      <c r="C866" t="s">
        <v>81</v>
      </c>
      <c r="D866" t="s">
        <v>156</v>
      </c>
      <c r="E866" t="s">
        <v>13</v>
      </c>
      <c r="F866" t="s">
        <v>14</v>
      </c>
      <c r="G866" t="s">
        <v>15</v>
      </c>
      <c r="H866" s="3">
        <v>4441.6499999999996</v>
      </c>
      <c r="I866" s="4">
        <v>2</v>
      </c>
      <c r="J866" s="3">
        <v>576.58000000000004</v>
      </c>
      <c r="K866" t="str">
        <f t="shared" si="26"/>
        <v>September</v>
      </c>
      <c r="L866">
        <f t="shared" si="27"/>
        <v>2024</v>
      </c>
    </row>
    <row r="867" spans="1:12" x14ac:dyDescent="0.3">
      <c r="A867" s="2">
        <v>45549</v>
      </c>
      <c r="B867" t="s">
        <v>65</v>
      </c>
      <c r="C867" t="s">
        <v>46</v>
      </c>
      <c r="D867" t="s">
        <v>156</v>
      </c>
      <c r="E867" t="s">
        <v>26</v>
      </c>
      <c r="F867" t="s">
        <v>27</v>
      </c>
      <c r="G867" t="s">
        <v>94</v>
      </c>
      <c r="H867" s="3">
        <v>23689.25</v>
      </c>
      <c r="I867" s="4">
        <v>2</v>
      </c>
      <c r="J867" s="3">
        <v>3725.4</v>
      </c>
      <c r="K867" t="str">
        <f t="shared" si="26"/>
        <v>September</v>
      </c>
      <c r="L867">
        <f t="shared" si="27"/>
        <v>2024</v>
      </c>
    </row>
    <row r="868" spans="1:12" x14ac:dyDescent="0.3">
      <c r="A868" s="2">
        <v>45550</v>
      </c>
      <c r="B868" t="s">
        <v>86</v>
      </c>
      <c r="C868" t="s">
        <v>69</v>
      </c>
      <c r="D868" t="s">
        <v>156</v>
      </c>
      <c r="E868" t="s">
        <v>13</v>
      </c>
      <c r="F868" t="s">
        <v>23</v>
      </c>
      <c r="G868" t="s">
        <v>47</v>
      </c>
      <c r="H868" s="3">
        <v>219231.52</v>
      </c>
      <c r="I868" s="4">
        <v>3</v>
      </c>
      <c r="J868" s="3">
        <v>17624.39</v>
      </c>
      <c r="K868" t="str">
        <f t="shared" si="26"/>
        <v>September</v>
      </c>
      <c r="L868">
        <f t="shared" si="27"/>
        <v>2024</v>
      </c>
    </row>
    <row r="869" spans="1:12" x14ac:dyDescent="0.3">
      <c r="A869" s="2">
        <v>45550</v>
      </c>
      <c r="B869" t="s">
        <v>65</v>
      </c>
      <c r="C869" t="s">
        <v>69</v>
      </c>
      <c r="D869" t="s">
        <v>156</v>
      </c>
      <c r="E869" t="s">
        <v>18</v>
      </c>
      <c r="F869" t="s">
        <v>40</v>
      </c>
      <c r="G869" t="s">
        <v>105</v>
      </c>
      <c r="H869" s="3">
        <v>6282.2</v>
      </c>
      <c r="I869" s="4">
        <v>3</v>
      </c>
      <c r="J869" s="3">
        <v>823.22</v>
      </c>
      <c r="K869" t="str">
        <f t="shared" si="26"/>
        <v>September</v>
      </c>
      <c r="L869">
        <f t="shared" si="27"/>
        <v>2024</v>
      </c>
    </row>
    <row r="870" spans="1:12" x14ac:dyDescent="0.3">
      <c r="A870" s="2">
        <v>45550</v>
      </c>
      <c r="B870" t="s">
        <v>38</v>
      </c>
      <c r="C870" t="s">
        <v>30</v>
      </c>
      <c r="D870" t="s">
        <v>156</v>
      </c>
      <c r="E870" t="s">
        <v>13</v>
      </c>
      <c r="F870" t="s">
        <v>23</v>
      </c>
      <c r="G870" t="s">
        <v>24</v>
      </c>
      <c r="H870" s="3">
        <v>55521.73</v>
      </c>
      <c r="I870" s="4">
        <v>1</v>
      </c>
      <c r="J870" s="3">
        <v>7043.7</v>
      </c>
      <c r="K870" t="str">
        <f t="shared" si="26"/>
        <v>September</v>
      </c>
      <c r="L870">
        <f t="shared" si="27"/>
        <v>2024</v>
      </c>
    </row>
    <row r="871" spans="1:12" x14ac:dyDescent="0.3">
      <c r="A871" s="2">
        <v>45551</v>
      </c>
      <c r="B871" t="s">
        <v>73</v>
      </c>
      <c r="C871" t="s">
        <v>12</v>
      </c>
      <c r="D871" t="s">
        <v>156</v>
      </c>
      <c r="E871" t="s">
        <v>18</v>
      </c>
      <c r="F871" t="s">
        <v>40</v>
      </c>
      <c r="G871" t="s">
        <v>105</v>
      </c>
      <c r="H871" s="3">
        <v>7305.19</v>
      </c>
      <c r="I871" s="4">
        <v>3</v>
      </c>
      <c r="J871" s="3">
        <v>-530.34</v>
      </c>
      <c r="K871" t="str">
        <f t="shared" si="26"/>
        <v>September</v>
      </c>
      <c r="L871">
        <f t="shared" si="27"/>
        <v>2024</v>
      </c>
    </row>
    <row r="872" spans="1:12" x14ac:dyDescent="0.3">
      <c r="A872" s="2">
        <v>45551</v>
      </c>
      <c r="B872" t="s">
        <v>60</v>
      </c>
      <c r="C872" t="s">
        <v>69</v>
      </c>
      <c r="D872" t="s">
        <v>156</v>
      </c>
      <c r="E872" t="s">
        <v>35</v>
      </c>
      <c r="F872" t="s">
        <v>75</v>
      </c>
      <c r="G872" t="s">
        <v>76</v>
      </c>
      <c r="H872" s="3">
        <v>78722.17</v>
      </c>
      <c r="I872" s="4">
        <v>2</v>
      </c>
      <c r="J872" s="3">
        <v>7681.96</v>
      </c>
      <c r="K872" t="str">
        <f t="shared" si="26"/>
        <v>September</v>
      </c>
      <c r="L872">
        <f t="shared" si="27"/>
        <v>2024</v>
      </c>
    </row>
    <row r="873" spans="1:12" x14ac:dyDescent="0.3">
      <c r="A873" s="2">
        <v>45552</v>
      </c>
      <c r="B873" t="s">
        <v>65</v>
      </c>
      <c r="C873" t="s">
        <v>69</v>
      </c>
      <c r="D873" t="s">
        <v>156</v>
      </c>
      <c r="E873" t="s">
        <v>26</v>
      </c>
      <c r="F873" t="s">
        <v>27</v>
      </c>
      <c r="G873" t="s">
        <v>28</v>
      </c>
      <c r="H873" s="3">
        <v>49970.23</v>
      </c>
      <c r="I873" s="4">
        <v>2</v>
      </c>
      <c r="J873" s="3">
        <v>6380.23</v>
      </c>
      <c r="K873" t="str">
        <f t="shared" si="26"/>
        <v>September</v>
      </c>
      <c r="L873">
        <f t="shared" si="27"/>
        <v>2024</v>
      </c>
    </row>
    <row r="874" spans="1:12" x14ac:dyDescent="0.3">
      <c r="A874" s="2">
        <v>45554</v>
      </c>
      <c r="B874" t="s">
        <v>16</v>
      </c>
      <c r="C874" t="s">
        <v>39</v>
      </c>
      <c r="D874" t="s">
        <v>156</v>
      </c>
      <c r="E874" t="s">
        <v>26</v>
      </c>
      <c r="F874" t="s">
        <v>53</v>
      </c>
      <c r="G874" t="s">
        <v>104</v>
      </c>
      <c r="H874" s="3">
        <v>84051.46</v>
      </c>
      <c r="I874" s="4">
        <v>1</v>
      </c>
      <c r="J874" s="3">
        <v>-1488.03</v>
      </c>
      <c r="K874" t="str">
        <f t="shared" si="26"/>
        <v>September</v>
      </c>
      <c r="L874">
        <f t="shared" si="27"/>
        <v>2024</v>
      </c>
    </row>
    <row r="875" spans="1:12" x14ac:dyDescent="0.3">
      <c r="A875" s="2">
        <v>45556</v>
      </c>
      <c r="B875" t="s">
        <v>11</v>
      </c>
      <c r="C875" t="s">
        <v>66</v>
      </c>
      <c r="D875" t="s">
        <v>156</v>
      </c>
      <c r="E875" t="s">
        <v>26</v>
      </c>
      <c r="F875" t="s">
        <v>53</v>
      </c>
      <c r="G875" t="s">
        <v>96</v>
      </c>
      <c r="H875" s="3">
        <v>119419.15</v>
      </c>
      <c r="I875" s="4">
        <v>2</v>
      </c>
      <c r="J875" s="3">
        <v>21232.54</v>
      </c>
      <c r="K875" t="str">
        <f t="shared" si="26"/>
        <v>September</v>
      </c>
      <c r="L875">
        <f t="shared" si="27"/>
        <v>2024</v>
      </c>
    </row>
    <row r="876" spans="1:12" x14ac:dyDescent="0.3">
      <c r="A876" s="2">
        <v>45557</v>
      </c>
      <c r="B876" t="s">
        <v>65</v>
      </c>
      <c r="C876" t="s">
        <v>68</v>
      </c>
      <c r="D876" t="s">
        <v>156</v>
      </c>
      <c r="E876" t="s">
        <v>13</v>
      </c>
      <c r="F876" t="s">
        <v>23</v>
      </c>
      <c r="G876" t="s">
        <v>85</v>
      </c>
      <c r="H876" s="3">
        <v>77078.240000000005</v>
      </c>
      <c r="I876" s="4">
        <v>2</v>
      </c>
      <c r="J876" s="3">
        <v>10273.030000000001</v>
      </c>
      <c r="K876" t="str">
        <f t="shared" si="26"/>
        <v>September</v>
      </c>
      <c r="L876">
        <f t="shared" si="27"/>
        <v>2024</v>
      </c>
    </row>
    <row r="877" spans="1:12" x14ac:dyDescent="0.3">
      <c r="A877" s="2">
        <v>45558</v>
      </c>
      <c r="B877" t="s">
        <v>25</v>
      </c>
      <c r="C877" t="s">
        <v>81</v>
      </c>
      <c r="D877" t="s">
        <v>156</v>
      </c>
      <c r="E877" t="s">
        <v>35</v>
      </c>
      <c r="F877" t="s">
        <v>63</v>
      </c>
      <c r="G877" t="s">
        <v>112</v>
      </c>
      <c r="H877" s="3">
        <v>27376.48</v>
      </c>
      <c r="I877" s="4">
        <v>1</v>
      </c>
      <c r="J877" s="3">
        <v>4711</v>
      </c>
      <c r="K877" t="str">
        <f t="shared" si="26"/>
        <v>September</v>
      </c>
      <c r="L877">
        <f t="shared" si="27"/>
        <v>2024</v>
      </c>
    </row>
    <row r="878" spans="1:12" x14ac:dyDescent="0.3">
      <c r="A878" s="2">
        <v>45558</v>
      </c>
      <c r="B878" t="s">
        <v>60</v>
      </c>
      <c r="C878" t="s">
        <v>66</v>
      </c>
      <c r="D878" t="s">
        <v>156</v>
      </c>
      <c r="E878" t="s">
        <v>13</v>
      </c>
      <c r="F878" t="s">
        <v>14</v>
      </c>
      <c r="G878" t="s">
        <v>15</v>
      </c>
      <c r="H878" s="3">
        <v>2390.7199999999998</v>
      </c>
      <c r="I878" s="4">
        <v>1</v>
      </c>
      <c r="J878" s="3">
        <v>-70.989999999999995</v>
      </c>
      <c r="K878" t="str">
        <f t="shared" si="26"/>
        <v>September</v>
      </c>
      <c r="L878">
        <f t="shared" si="27"/>
        <v>2024</v>
      </c>
    </row>
    <row r="879" spans="1:12" x14ac:dyDescent="0.3">
      <c r="A879" s="2">
        <v>45558</v>
      </c>
      <c r="B879" t="s">
        <v>65</v>
      </c>
      <c r="C879" t="s">
        <v>66</v>
      </c>
      <c r="D879" t="s">
        <v>156</v>
      </c>
      <c r="E879" t="s">
        <v>35</v>
      </c>
      <c r="F879" t="s">
        <v>75</v>
      </c>
      <c r="G879" t="s">
        <v>76</v>
      </c>
      <c r="H879" s="3">
        <v>80613.440000000002</v>
      </c>
      <c r="I879" s="4">
        <v>2</v>
      </c>
      <c r="J879" s="3">
        <v>6887.19</v>
      </c>
      <c r="K879" t="str">
        <f t="shared" si="26"/>
        <v>September</v>
      </c>
      <c r="L879">
        <f t="shared" si="27"/>
        <v>2024</v>
      </c>
    </row>
    <row r="880" spans="1:12" x14ac:dyDescent="0.3">
      <c r="A880" s="2">
        <v>45559</v>
      </c>
      <c r="B880" t="s">
        <v>78</v>
      </c>
      <c r="C880" t="s">
        <v>39</v>
      </c>
      <c r="D880" t="s">
        <v>156</v>
      </c>
      <c r="E880" t="s">
        <v>13</v>
      </c>
      <c r="F880" t="s">
        <v>23</v>
      </c>
      <c r="G880" t="s">
        <v>47</v>
      </c>
      <c r="H880" s="3">
        <v>270737.34000000003</v>
      </c>
      <c r="I880" s="4">
        <v>4</v>
      </c>
      <c r="J880" s="3">
        <v>34704.559999999998</v>
      </c>
      <c r="K880" t="str">
        <f t="shared" si="26"/>
        <v>September</v>
      </c>
      <c r="L880">
        <f t="shared" si="27"/>
        <v>2024</v>
      </c>
    </row>
    <row r="881" spans="1:12" x14ac:dyDescent="0.3">
      <c r="A881" s="2">
        <v>45559</v>
      </c>
      <c r="B881" t="s">
        <v>86</v>
      </c>
      <c r="C881" t="s">
        <v>62</v>
      </c>
      <c r="D881" t="s">
        <v>156</v>
      </c>
      <c r="E881" t="s">
        <v>18</v>
      </c>
      <c r="F881" t="s">
        <v>40</v>
      </c>
      <c r="G881" t="s">
        <v>117</v>
      </c>
      <c r="H881" s="3">
        <v>2593.14</v>
      </c>
      <c r="I881" s="4">
        <v>1</v>
      </c>
      <c r="J881" s="3">
        <v>369.7</v>
      </c>
      <c r="K881" t="str">
        <f t="shared" si="26"/>
        <v>September</v>
      </c>
      <c r="L881">
        <f t="shared" si="27"/>
        <v>2024</v>
      </c>
    </row>
    <row r="882" spans="1:12" x14ac:dyDescent="0.3">
      <c r="A882" s="2">
        <v>45560</v>
      </c>
      <c r="B882" t="s">
        <v>48</v>
      </c>
      <c r="C882" t="s">
        <v>69</v>
      </c>
      <c r="D882" t="s">
        <v>156</v>
      </c>
      <c r="E882" t="s">
        <v>35</v>
      </c>
      <c r="F882" t="s">
        <v>50</v>
      </c>
      <c r="G882" t="s">
        <v>118</v>
      </c>
      <c r="H882" s="3">
        <v>22198.35</v>
      </c>
      <c r="I882" s="4">
        <v>3</v>
      </c>
      <c r="J882" s="3">
        <v>4366.1000000000004</v>
      </c>
      <c r="K882" t="str">
        <f t="shared" si="26"/>
        <v>September</v>
      </c>
      <c r="L882">
        <f t="shared" si="27"/>
        <v>2024</v>
      </c>
    </row>
    <row r="883" spans="1:12" x14ac:dyDescent="0.3">
      <c r="A883" s="2">
        <v>45560</v>
      </c>
      <c r="B883" t="s">
        <v>11</v>
      </c>
      <c r="C883" t="s">
        <v>81</v>
      </c>
      <c r="D883" t="s">
        <v>156</v>
      </c>
      <c r="E883" t="s">
        <v>18</v>
      </c>
      <c r="F883" t="s">
        <v>40</v>
      </c>
      <c r="G883" t="s">
        <v>102</v>
      </c>
      <c r="H883" s="3">
        <v>1272.75</v>
      </c>
      <c r="I883" s="4">
        <v>1</v>
      </c>
      <c r="J883" s="3">
        <v>92.73</v>
      </c>
      <c r="K883" t="str">
        <f t="shared" si="26"/>
        <v>September</v>
      </c>
      <c r="L883">
        <f t="shared" si="27"/>
        <v>2024</v>
      </c>
    </row>
    <row r="884" spans="1:12" x14ac:dyDescent="0.3">
      <c r="A884" s="2">
        <v>45560</v>
      </c>
      <c r="B884" t="s">
        <v>103</v>
      </c>
      <c r="C884" t="s">
        <v>66</v>
      </c>
      <c r="D884" t="s">
        <v>156</v>
      </c>
      <c r="E884" t="s">
        <v>42</v>
      </c>
      <c r="F884" t="s">
        <v>43</v>
      </c>
      <c r="G884" t="s">
        <v>44</v>
      </c>
      <c r="H884" s="3">
        <v>12844.03</v>
      </c>
      <c r="I884" s="4">
        <v>1</v>
      </c>
      <c r="J884" s="3">
        <v>2303.36</v>
      </c>
      <c r="K884" t="str">
        <f t="shared" si="26"/>
        <v>September</v>
      </c>
      <c r="L884">
        <f t="shared" si="27"/>
        <v>2024</v>
      </c>
    </row>
    <row r="885" spans="1:12" x14ac:dyDescent="0.3">
      <c r="A885" s="2">
        <v>45561</v>
      </c>
      <c r="B885" t="s">
        <v>95</v>
      </c>
      <c r="C885" t="s">
        <v>58</v>
      </c>
      <c r="D885" t="s">
        <v>156</v>
      </c>
      <c r="E885" t="s">
        <v>18</v>
      </c>
      <c r="F885" t="s">
        <v>40</v>
      </c>
      <c r="G885" t="s">
        <v>41</v>
      </c>
      <c r="H885" s="3">
        <v>48420.91</v>
      </c>
      <c r="I885" s="4">
        <v>3</v>
      </c>
      <c r="J885" s="3">
        <v>4032.54</v>
      </c>
      <c r="K885" t="str">
        <f t="shared" si="26"/>
        <v>September</v>
      </c>
      <c r="L885">
        <f t="shared" si="27"/>
        <v>2024</v>
      </c>
    </row>
    <row r="886" spans="1:12" x14ac:dyDescent="0.3">
      <c r="A886" s="2">
        <v>45563</v>
      </c>
      <c r="B886" t="s">
        <v>16</v>
      </c>
      <c r="C886" t="s">
        <v>30</v>
      </c>
      <c r="D886" t="s">
        <v>156</v>
      </c>
      <c r="E886" t="s">
        <v>18</v>
      </c>
      <c r="F886" t="s">
        <v>40</v>
      </c>
      <c r="G886" t="s">
        <v>117</v>
      </c>
      <c r="H886" s="3">
        <v>2482.1999999999998</v>
      </c>
      <c r="I886" s="4">
        <v>1</v>
      </c>
      <c r="J886" s="3">
        <v>292.45</v>
      </c>
      <c r="K886" t="str">
        <f t="shared" si="26"/>
        <v>September</v>
      </c>
      <c r="L886">
        <f t="shared" si="27"/>
        <v>2024</v>
      </c>
    </row>
    <row r="887" spans="1:12" x14ac:dyDescent="0.3">
      <c r="A887" s="2">
        <v>45565</v>
      </c>
      <c r="B887" t="s">
        <v>16</v>
      </c>
      <c r="C887" t="s">
        <v>81</v>
      </c>
      <c r="D887" t="s">
        <v>156</v>
      </c>
      <c r="E887" t="s">
        <v>26</v>
      </c>
      <c r="F887" t="s">
        <v>53</v>
      </c>
      <c r="G887" t="s">
        <v>98</v>
      </c>
      <c r="H887" s="3">
        <v>29487.56</v>
      </c>
      <c r="I887" s="4">
        <v>1</v>
      </c>
      <c r="J887" s="3">
        <v>4201.8999999999996</v>
      </c>
      <c r="K887" t="str">
        <f t="shared" si="26"/>
        <v>September</v>
      </c>
      <c r="L887">
        <f t="shared" si="27"/>
        <v>2024</v>
      </c>
    </row>
    <row r="888" spans="1:12" x14ac:dyDescent="0.3">
      <c r="A888" s="2">
        <v>45565</v>
      </c>
      <c r="B888" t="s">
        <v>103</v>
      </c>
      <c r="C888" t="s">
        <v>22</v>
      </c>
      <c r="D888" t="s">
        <v>156</v>
      </c>
      <c r="E888" t="s">
        <v>42</v>
      </c>
      <c r="F888" t="s">
        <v>90</v>
      </c>
      <c r="G888" t="s">
        <v>91</v>
      </c>
      <c r="H888" s="3">
        <v>5845.55</v>
      </c>
      <c r="I888" s="4">
        <v>3</v>
      </c>
      <c r="J888" s="3">
        <v>978.14</v>
      </c>
      <c r="K888" t="str">
        <f t="shared" si="26"/>
        <v>September</v>
      </c>
      <c r="L888">
        <f t="shared" si="27"/>
        <v>2024</v>
      </c>
    </row>
    <row r="889" spans="1:12" x14ac:dyDescent="0.3">
      <c r="A889" s="2">
        <v>45566</v>
      </c>
      <c r="B889" t="s">
        <v>86</v>
      </c>
      <c r="C889" t="s">
        <v>46</v>
      </c>
      <c r="D889" t="s">
        <v>156</v>
      </c>
      <c r="E889" t="s">
        <v>18</v>
      </c>
      <c r="F889" t="s">
        <v>19</v>
      </c>
      <c r="G889" t="s">
        <v>20</v>
      </c>
      <c r="H889" s="3">
        <v>64482.93</v>
      </c>
      <c r="I889" s="4">
        <v>1</v>
      </c>
      <c r="J889" s="3">
        <v>7946.08</v>
      </c>
      <c r="K889" t="str">
        <f t="shared" si="26"/>
        <v>October</v>
      </c>
      <c r="L889">
        <f t="shared" si="27"/>
        <v>2024</v>
      </c>
    </row>
    <row r="890" spans="1:12" x14ac:dyDescent="0.3">
      <c r="A890" s="2">
        <v>45566</v>
      </c>
      <c r="B890" t="s">
        <v>34</v>
      </c>
      <c r="C890" t="s">
        <v>66</v>
      </c>
      <c r="D890" t="s">
        <v>156</v>
      </c>
      <c r="E890" t="s">
        <v>18</v>
      </c>
      <c r="F890" t="s">
        <v>19</v>
      </c>
      <c r="G890" t="s">
        <v>59</v>
      </c>
      <c r="H890" s="3">
        <v>46021.69</v>
      </c>
      <c r="I890" s="4">
        <v>1</v>
      </c>
      <c r="J890" s="3">
        <v>5863</v>
      </c>
      <c r="K890" t="str">
        <f t="shared" si="26"/>
        <v>October</v>
      </c>
      <c r="L890">
        <f t="shared" si="27"/>
        <v>2024</v>
      </c>
    </row>
    <row r="891" spans="1:12" x14ac:dyDescent="0.3">
      <c r="A891" s="2">
        <v>45567</v>
      </c>
      <c r="B891" t="s">
        <v>45</v>
      </c>
      <c r="C891" t="s">
        <v>12</v>
      </c>
      <c r="D891" t="s">
        <v>156</v>
      </c>
      <c r="E891" t="s">
        <v>18</v>
      </c>
      <c r="F891" t="s">
        <v>19</v>
      </c>
      <c r="G891" t="s">
        <v>59</v>
      </c>
      <c r="H891" s="3">
        <v>46756.959999999999</v>
      </c>
      <c r="I891" s="4">
        <v>1</v>
      </c>
      <c r="J891" s="3">
        <v>3708.9</v>
      </c>
      <c r="K891" t="str">
        <f t="shared" si="26"/>
        <v>October</v>
      </c>
      <c r="L891">
        <f t="shared" si="27"/>
        <v>2024</v>
      </c>
    </row>
    <row r="892" spans="1:12" x14ac:dyDescent="0.3">
      <c r="A892" s="2">
        <v>45567</v>
      </c>
      <c r="B892" t="s">
        <v>93</v>
      </c>
      <c r="C892" t="s">
        <v>69</v>
      </c>
      <c r="D892" t="s">
        <v>156</v>
      </c>
      <c r="E892" t="s">
        <v>18</v>
      </c>
      <c r="F892" t="s">
        <v>40</v>
      </c>
      <c r="G892" t="s">
        <v>41</v>
      </c>
      <c r="H892" s="3">
        <v>17723.419999999998</v>
      </c>
      <c r="I892" s="4">
        <v>1</v>
      </c>
      <c r="J892" s="3">
        <v>2236.08</v>
      </c>
      <c r="K892" t="str">
        <f t="shared" si="26"/>
        <v>October</v>
      </c>
      <c r="L892">
        <f t="shared" si="27"/>
        <v>2024</v>
      </c>
    </row>
    <row r="893" spans="1:12" x14ac:dyDescent="0.3">
      <c r="A893" s="2">
        <v>45567</v>
      </c>
      <c r="B893" t="s">
        <v>52</v>
      </c>
      <c r="C893" t="s">
        <v>22</v>
      </c>
      <c r="D893" t="s">
        <v>156</v>
      </c>
      <c r="E893" t="s">
        <v>35</v>
      </c>
      <c r="F893" t="s">
        <v>75</v>
      </c>
      <c r="G893" t="s">
        <v>107</v>
      </c>
      <c r="H893" s="3">
        <v>33418.83</v>
      </c>
      <c r="I893" s="4">
        <v>1</v>
      </c>
      <c r="J893" s="3">
        <v>5473.99</v>
      </c>
      <c r="K893" t="str">
        <f t="shared" si="26"/>
        <v>October</v>
      </c>
      <c r="L893">
        <f t="shared" si="27"/>
        <v>2024</v>
      </c>
    </row>
    <row r="894" spans="1:12" x14ac:dyDescent="0.3">
      <c r="A894" s="2">
        <v>45568</v>
      </c>
      <c r="B894" t="s">
        <v>11</v>
      </c>
      <c r="C894" t="s">
        <v>49</v>
      </c>
      <c r="D894" t="s">
        <v>156</v>
      </c>
      <c r="E894" t="s">
        <v>26</v>
      </c>
      <c r="F894" t="s">
        <v>27</v>
      </c>
      <c r="G894" t="s">
        <v>94</v>
      </c>
      <c r="H894" s="3">
        <v>38054.25</v>
      </c>
      <c r="I894" s="4">
        <v>3</v>
      </c>
      <c r="J894" s="3">
        <v>5833.61</v>
      </c>
      <c r="K894" t="str">
        <f t="shared" si="26"/>
        <v>October</v>
      </c>
      <c r="L894">
        <f t="shared" si="27"/>
        <v>2024</v>
      </c>
    </row>
    <row r="895" spans="1:12" x14ac:dyDescent="0.3">
      <c r="A895" s="2">
        <v>45568</v>
      </c>
      <c r="B895" t="s">
        <v>83</v>
      </c>
      <c r="C895" t="s">
        <v>22</v>
      </c>
      <c r="D895" t="s">
        <v>156</v>
      </c>
      <c r="E895" t="s">
        <v>18</v>
      </c>
      <c r="F895" t="s">
        <v>19</v>
      </c>
      <c r="G895" t="s">
        <v>33</v>
      </c>
      <c r="H895" s="3">
        <v>222896.99</v>
      </c>
      <c r="I895" s="4">
        <v>4</v>
      </c>
      <c r="J895" s="3">
        <v>17074.419999999998</v>
      </c>
      <c r="K895" t="str">
        <f t="shared" si="26"/>
        <v>October</v>
      </c>
      <c r="L895">
        <f t="shared" si="27"/>
        <v>2024</v>
      </c>
    </row>
    <row r="896" spans="1:12" x14ac:dyDescent="0.3">
      <c r="A896" s="2">
        <v>45568</v>
      </c>
      <c r="B896" t="s">
        <v>78</v>
      </c>
      <c r="C896" t="s">
        <v>69</v>
      </c>
      <c r="D896" t="s">
        <v>156</v>
      </c>
      <c r="E896" t="s">
        <v>26</v>
      </c>
      <c r="F896" t="s">
        <v>53</v>
      </c>
      <c r="G896" t="s">
        <v>98</v>
      </c>
      <c r="H896" s="3">
        <v>26268.46</v>
      </c>
      <c r="I896" s="4">
        <v>1</v>
      </c>
      <c r="J896" s="3">
        <v>3177.78</v>
      </c>
      <c r="K896" t="str">
        <f t="shared" si="26"/>
        <v>October</v>
      </c>
      <c r="L896">
        <f t="shared" si="27"/>
        <v>2024</v>
      </c>
    </row>
    <row r="897" spans="1:12" x14ac:dyDescent="0.3">
      <c r="A897" s="2">
        <v>45569</v>
      </c>
      <c r="B897" t="s">
        <v>109</v>
      </c>
      <c r="C897" t="s">
        <v>46</v>
      </c>
      <c r="D897" t="s">
        <v>156</v>
      </c>
      <c r="E897" t="s">
        <v>42</v>
      </c>
      <c r="F897" t="s">
        <v>90</v>
      </c>
      <c r="G897" t="s">
        <v>97</v>
      </c>
      <c r="H897" s="3">
        <v>7240.5</v>
      </c>
      <c r="I897" s="4">
        <v>3</v>
      </c>
      <c r="J897" s="3">
        <v>769.04</v>
      </c>
      <c r="K897" t="str">
        <f t="shared" si="26"/>
        <v>October</v>
      </c>
      <c r="L897">
        <f t="shared" si="27"/>
        <v>2024</v>
      </c>
    </row>
    <row r="898" spans="1:12" x14ac:dyDescent="0.3">
      <c r="A898" s="2">
        <v>45569</v>
      </c>
      <c r="B898" t="s">
        <v>93</v>
      </c>
      <c r="C898" t="s">
        <v>62</v>
      </c>
      <c r="D898" t="s">
        <v>156</v>
      </c>
      <c r="E898" t="s">
        <v>35</v>
      </c>
      <c r="F898" t="s">
        <v>36</v>
      </c>
      <c r="G898" t="s">
        <v>37</v>
      </c>
      <c r="H898" s="3">
        <v>27801.91</v>
      </c>
      <c r="I898" s="4">
        <v>1</v>
      </c>
      <c r="J898" s="3">
        <v>3432.55</v>
      </c>
      <c r="K898" t="str">
        <f t="shared" si="26"/>
        <v>October</v>
      </c>
      <c r="L898">
        <f t="shared" si="27"/>
        <v>2024</v>
      </c>
    </row>
    <row r="899" spans="1:12" x14ac:dyDescent="0.3">
      <c r="A899" s="2">
        <v>45569</v>
      </c>
      <c r="B899" t="s">
        <v>38</v>
      </c>
      <c r="C899" t="s">
        <v>49</v>
      </c>
      <c r="D899" t="s">
        <v>156</v>
      </c>
      <c r="E899" t="s">
        <v>42</v>
      </c>
      <c r="F899" t="s">
        <v>90</v>
      </c>
      <c r="G899" t="s">
        <v>120</v>
      </c>
      <c r="H899" s="3">
        <v>5240.8100000000004</v>
      </c>
      <c r="I899" s="4">
        <v>1</v>
      </c>
      <c r="J899" s="3">
        <v>1240.55</v>
      </c>
      <c r="K899" t="str">
        <f t="shared" ref="K899:K962" si="28">TEXT(A899,"mmmm")</f>
        <v>October</v>
      </c>
      <c r="L899">
        <f t="shared" ref="L899:L962" si="29">YEAR(A899)</f>
        <v>2024</v>
      </c>
    </row>
    <row r="900" spans="1:12" x14ac:dyDescent="0.3">
      <c r="A900" s="2">
        <v>45570</v>
      </c>
      <c r="B900" t="s">
        <v>52</v>
      </c>
      <c r="C900" t="s">
        <v>12</v>
      </c>
      <c r="D900" t="s">
        <v>156</v>
      </c>
      <c r="E900" t="s">
        <v>26</v>
      </c>
      <c r="F900" t="s">
        <v>53</v>
      </c>
      <c r="G900" t="s">
        <v>96</v>
      </c>
      <c r="H900" s="3">
        <v>127405.89</v>
      </c>
      <c r="I900" s="4">
        <v>2</v>
      </c>
      <c r="J900" s="3">
        <v>15122.92</v>
      </c>
      <c r="K900" t="str">
        <f t="shared" si="28"/>
        <v>October</v>
      </c>
      <c r="L900">
        <f t="shared" si="29"/>
        <v>2024</v>
      </c>
    </row>
    <row r="901" spans="1:12" x14ac:dyDescent="0.3">
      <c r="A901" s="2">
        <v>45570</v>
      </c>
      <c r="B901" t="s">
        <v>38</v>
      </c>
      <c r="C901" t="s">
        <v>56</v>
      </c>
      <c r="D901" t="s">
        <v>156</v>
      </c>
      <c r="E901" t="s">
        <v>42</v>
      </c>
      <c r="F901" t="s">
        <v>43</v>
      </c>
      <c r="G901" t="s">
        <v>87</v>
      </c>
      <c r="H901" s="3">
        <v>20812.47</v>
      </c>
      <c r="I901" s="4">
        <v>2</v>
      </c>
      <c r="J901" s="3">
        <v>3050.55</v>
      </c>
      <c r="K901" t="str">
        <f t="shared" si="28"/>
        <v>October</v>
      </c>
      <c r="L901">
        <f t="shared" si="29"/>
        <v>2024</v>
      </c>
    </row>
    <row r="902" spans="1:12" x14ac:dyDescent="0.3">
      <c r="A902" s="2">
        <v>45570</v>
      </c>
      <c r="B902" t="s">
        <v>34</v>
      </c>
      <c r="C902" t="s">
        <v>22</v>
      </c>
      <c r="D902" t="s">
        <v>156</v>
      </c>
      <c r="E902" t="s">
        <v>42</v>
      </c>
      <c r="F902" t="s">
        <v>90</v>
      </c>
      <c r="G902" t="s">
        <v>120</v>
      </c>
      <c r="H902" s="3">
        <v>5001.5600000000004</v>
      </c>
      <c r="I902" s="4">
        <v>1</v>
      </c>
      <c r="J902" s="3">
        <v>923.85</v>
      </c>
      <c r="K902" t="str">
        <f t="shared" si="28"/>
        <v>October</v>
      </c>
      <c r="L902">
        <f t="shared" si="29"/>
        <v>2024</v>
      </c>
    </row>
    <row r="903" spans="1:12" x14ac:dyDescent="0.3">
      <c r="A903" s="2">
        <v>45571</v>
      </c>
      <c r="B903" t="s">
        <v>103</v>
      </c>
      <c r="C903" t="s">
        <v>39</v>
      </c>
      <c r="D903" t="s">
        <v>156</v>
      </c>
      <c r="E903" t="s">
        <v>35</v>
      </c>
      <c r="F903" t="s">
        <v>50</v>
      </c>
      <c r="G903" t="s">
        <v>118</v>
      </c>
      <c r="H903" s="3">
        <v>7310.52</v>
      </c>
      <c r="I903" s="4">
        <v>1</v>
      </c>
      <c r="J903" s="3">
        <v>1238.3900000000001</v>
      </c>
      <c r="K903" t="str">
        <f t="shared" si="28"/>
        <v>October</v>
      </c>
      <c r="L903">
        <f t="shared" si="29"/>
        <v>2024</v>
      </c>
    </row>
    <row r="904" spans="1:12" x14ac:dyDescent="0.3">
      <c r="A904" s="2">
        <v>45571</v>
      </c>
      <c r="B904" t="s">
        <v>71</v>
      </c>
      <c r="C904" t="s">
        <v>62</v>
      </c>
      <c r="D904" t="s">
        <v>156</v>
      </c>
      <c r="E904" t="s">
        <v>13</v>
      </c>
      <c r="F904" t="s">
        <v>14</v>
      </c>
      <c r="G904" t="s">
        <v>15</v>
      </c>
      <c r="H904" s="3">
        <v>7495.45</v>
      </c>
      <c r="I904" s="4">
        <v>3</v>
      </c>
      <c r="J904" s="3">
        <v>1036.19</v>
      </c>
      <c r="K904" t="str">
        <f t="shared" si="28"/>
        <v>October</v>
      </c>
      <c r="L904">
        <f t="shared" si="29"/>
        <v>2024</v>
      </c>
    </row>
    <row r="905" spans="1:12" x14ac:dyDescent="0.3">
      <c r="A905" s="2">
        <v>45571</v>
      </c>
      <c r="B905" t="s">
        <v>16</v>
      </c>
      <c r="C905" t="s">
        <v>66</v>
      </c>
      <c r="D905" t="s">
        <v>156</v>
      </c>
      <c r="E905" t="s">
        <v>18</v>
      </c>
      <c r="F905" t="s">
        <v>40</v>
      </c>
      <c r="G905" t="s">
        <v>105</v>
      </c>
      <c r="H905" s="3">
        <v>4784.21</v>
      </c>
      <c r="I905" s="4">
        <v>2</v>
      </c>
      <c r="J905" s="3">
        <v>551.1</v>
      </c>
      <c r="K905" t="str">
        <f t="shared" si="28"/>
        <v>October</v>
      </c>
      <c r="L905">
        <f t="shared" si="29"/>
        <v>2024</v>
      </c>
    </row>
    <row r="906" spans="1:12" x14ac:dyDescent="0.3">
      <c r="A906" s="2">
        <v>45571</v>
      </c>
      <c r="B906" t="s">
        <v>93</v>
      </c>
      <c r="C906" t="s">
        <v>66</v>
      </c>
      <c r="D906" t="s">
        <v>156</v>
      </c>
      <c r="E906" t="s">
        <v>42</v>
      </c>
      <c r="F906" t="s">
        <v>90</v>
      </c>
      <c r="G906" t="s">
        <v>120</v>
      </c>
      <c r="H906" s="3">
        <v>16093.99</v>
      </c>
      <c r="I906" s="4">
        <v>3</v>
      </c>
      <c r="J906" s="3">
        <v>3354.74</v>
      </c>
      <c r="K906" t="str">
        <f t="shared" si="28"/>
        <v>October</v>
      </c>
      <c r="L906">
        <f t="shared" si="29"/>
        <v>2024</v>
      </c>
    </row>
    <row r="907" spans="1:12" x14ac:dyDescent="0.3">
      <c r="A907" s="2">
        <v>45572</v>
      </c>
      <c r="B907" t="s">
        <v>78</v>
      </c>
      <c r="C907" t="s">
        <v>62</v>
      </c>
      <c r="D907" t="s">
        <v>156</v>
      </c>
      <c r="E907" t="s">
        <v>18</v>
      </c>
      <c r="F907" t="s">
        <v>40</v>
      </c>
      <c r="G907" t="s">
        <v>41</v>
      </c>
      <c r="H907" s="3">
        <v>53653.14</v>
      </c>
      <c r="I907" s="4">
        <v>3</v>
      </c>
      <c r="J907" s="3">
        <v>5047.2700000000004</v>
      </c>
      <c r="K907" t="str">
        <f t="shared" si="28"/>
        <v>October</v>
      </c>
      <c r="L907">
        <f t="shared" si="29"/>
        <v>2024</v>
      </c>
    </row>
    <row r="908" spans="1:12" x14ac:dyDescent="0.3">
      <c r="A908" s="2">
        <v>45573</v>
      </c>
      <c r="B908" t="s">
        <v>109</v>
      </c>
      <c r="C908" t="s">
        <v>62</v>
      </c>
      <c r="D908" t="s">
        <v>156</v>
      </c>
      <c r="E908" t="s">
        <v>42</v>
      </c>
      <c r="F908" t="s">
        <v>90</v>
      </c>
      <c r="G908" t="s">
        <v>120</v>
      </c>
      <c r="H908" s="3">
        <v>17192.78</v>
      </c>
      <c r="I908" s="4">
        <v>3</v>
      </c>
      <c r="J908" s="3">
        <v>1943.15</v>
      </c>
      <c r="K908" t="str">
        <f t="shared" si="28"/>
        <v>October</v>
      </c>
      <c r="L908">
        <f t="shared" si="29"/>
        <v>2024</v>
      </c>
    </row>
    <row r="909" spans="1:12" x14ac:dyDescent="0.3">
      <c r="A909" s="2">
        <v>45573</v>
      </c>
      <c r="B909" t="s">
        <v>29</v>
      </c>
      <c r="C909" t="s">
        <v>58</v>
      </c>
      <c r="D909" t="s">
        <v>156</v>
      </c>
      <c r="E909" t="s">
        <v>18</v>
      </c>
      <c r="F909" t="s">
        <v>40</v>
      </c>
      <c r="G909" t="s">
        <v>117</v>
      </c>
      <c r="H909" s="3">
        <v>8919.74</v>
      </c>
      <c r="I909" s="4">
        <v>3</v>
      </c>
      <c r="J909" s="3">
        <v>712.66</v>
      </c>
      <c r="K909" t="str">
        <f t="shared" si="28"/>
        <v>October</v>
      </c>
      <c r="L909">
        <f t="shared" si="29"/>
        <v>2024</v>
      </c>
    </row>
    <row r="910" spans="1:12" x14ac:dyDescent="0.3">
      <c r="A910" s="2">
        <v>45573</v>
      </c>
      <c r="B910" t="s">
        <v>60</v>
      </c>
      <c r="C910" t="s">
        <v>56</v>
      </c>
      <c r="D910" t="s">
        <v>156</v>
      </c>
      <c r="E910" t="s">
        <v>42</v>
      </c>
      <c r="F910" t="s">
        <v>90</v>
      </c>
      <c r="G910" t="s">
        <v>91</v>
      </c>
      <c r="H910" s="3">
        <v>1651.13</v>
      </c>
      <c r="I910" s="4">
        <v>1</v>
      </c>
      <c r="J910" s="3">
        <v>294.72000000000003</v>
      </c>
      <c r="K910" t="str">
        <f t="shared" si="28"/>
        <v>October</v>
      </c>
      <c r="L910">
        <f t="shared" si="29"/>
        <v>2024</v>
      </c>
    </row>
    <row r="911" spans="1:12" x14ac:dyDescent="0.3">
      <c r="A911" s="2">
        <v>45573</v>
      </c>
      <c r="B911" t="s">
        <v>95</v>
      </c>
      <c r="C911" t="s">
        <v>22</v>
      </c>
      <c r="D911" t="s">
        <v>156</v>
      </c>
      <c r="E911" t="s">
        <v>35</v>
      </c>
      <c r="F911" t="s">
        <v>50</v>
      </c>
      <c r="G911" t="s">
        <v>119</v>
      </c>
      <c r="H911" s="3">
        <v>5685.18</v>
      </c>
      <c r="I911" s="4">
        <v>2</v>
      </c>
      <c r="J911" s="3">
        <v>524.05999999999995</v>
      </c>
      <c r="K911" t="str">
        <f t="shared" si="28"/>
        <v>October</v>
      </c>
      <c r="L911">
        <f t="shared" si="29"/>
        <v>2024</v>
      </c>
    </row>
    <row r="912" spans="1:12" x14ac:dyDescent="0.3">
      <c r="A912" s="2">
        <v>45574</v>
      </c>
      <c r="B912" t="s">
        <v>101</v>
      </c>
      <c r="C912" t="s">
        <v>56</v>
      </c>
      <c r="D912" t="s">
        <v>156</v>
      </c>
      <c r="E912" t="s">
        <v>18</v>
      </c>
      <c r="F912" t="s">
        <v>40</v>
      </c>
      <c r="G912" t="s">
        <v>115</v>
      </c>
      <c r="H912" s="3">
        <v>10738.14</v>
      </c>
      <c r="I912" s="4">
        <v>1</v>
      </c>
      <c r="J912" s="3">
        <v>-496.87</v>
      </c>
      <c r="K912" t="str">
        <f t="shared" si="28"/>
        <v>October</v>
      </c>
      <c r="L912">
        <f t="shared" si="29"/>
        <v>2024</v>
      </c>
    </row>
    <row r="913" spans="1:12" x14ac:dyDescent="0.3">
      <c r="A913" s="2">
        <v>45575</v>
      </c>
      <c r="B913" t="s">
        <v>116</v>
      </c>
      <c r="C913" t="s">
        <v>69</v>
      </c>
      <c r="D913" t="s">
        <v>156</v>
      </c>
      <c r="E913" t="s">
        <v>26</v>
      </c>
      <c r="F913" t="s">
        <v>27</v>
      </c>
      <c r="G913" t="s">
        <v>28</v>
      </c>
      <c r="H913" s="3">
        <v>92705.79</v>
      </c>
      <c r="I913" s="4">
        <v>4</v>
      </c>
      <c r="J913" s="3">
        <v>15182.58</v>
      </c>
      <c r="K913" t="str">
        <f t="shared" si="28"/>
        <v>October</v>
      </c>
      <c r="L913">
        <f t="shared" si="29"/>
        <v>2024</v>
      </c>
    </row>
    <row r="914" spans="1:12" x14ac:dyDescent="0.3">
      <c r="A914" s="2">
        <v>45575</v>
      </c>
      <c r="B914" t="s">
        <v>109</v>
      </c>
      <c r="C914" t="s">
        <v>81</v>
      </c>
      <c r="D914" t="s">
        <v>156</v>
      </c>
      <c r="E914" t="s">
        <v>26</v>
      </c>
      <c r="F914" t="s">
        <v>53</v>
      </c>
      <c r="G914" t="s">
        <v>98</v>
      </c>
      <c r="H914" s="3">
        <v>28620.51</v>
      </c>
      <c r="I914" s="4">
        <v>1</v>
      </c>
      <c r="J914" s="3">
        <v>2610.17</v>
      </c>
      <c r="K914" t="str">
        <f t="shared" si="28"/>
        <v>October</v>
      </c>
      <c r="L914">
        <f t="shared" si="29"/>
        <v>2024</v>
      </c>
    </row>
    <row r="915" spans="1:12" x14ac:dyDescent="0.3">
      <c r="A915" s="2">
        <v>45577</v>
      </c>
      <c r="B915" t="s">
        <v>74</v>
      </c>
      <c r="C915" t="s">
        <v>61</v>
      </c>
      <c r="D915" t="s">
        <v>156</v>
      </c>
      <c r="E915" t="s">
        <v>42</v>
      </c>
      <c r="F915" t="s">
        <v>43</v>
      </c>
      <c r="G915" t="s">
        <v>87</v>
      </c>
      <c r="H915" s="3">
        <v>22307.46</v>
      </c>
      <c r="I915" s="4">
        <v>2</v>
      </c>
      <c r="J915" s="3">
        <v>4155.38</v>
      </c>
      <c r="K915" t="str">
        <f t="shared" si="28"/>
        <v>October</v>
      </c>
      <c r="L915">
        <f t="shared" si="29"/>
        <v>2024</v>
      </c>
    </row>
    <row r="916" spans="1:12" x14ac:dyDescent="0.3">
      <c r="A916" s="2">
        <v>45578</v>
      </c>
      <c r="B916" t="s">
        <v>16</v>
      </c>
      <c r="C916" t="s">
        <v>68</v>
      </c>
      <c r="D916" t="s">
        <v>156</v>
      </c>
      <c r="E916" t="s">
        <v>35</v>
      </c>
      <c r="F916" t="s">
        <v>50</v>
      </c>
      <c r="G916" t="s">
        <v>118</v>
      </c>
      <c r="H916" s="3">
        <v>13209.52</v>
      </c>
      <c r="I916" s="4">
        <v>2</v>
      </c>
      <c r="J916" s="3">
        <v>1809.5</v>
      </c>
      <c r="K916" t="str">
        <f t="shared" si="28"/>
        <v>October</v>
      </c>
      <c r="L916">
        <f t="shared" si="29"/>
        <v>2024</v>
      </c>
    </row>
    <row r="917" spans="1:12" x14ac:dyDescent="0.3">
      <c r="A917" s="2">
        <v>45578</v>
      </c>
      <c r="B917" t="s">
        <v>80</v>
      </c>
      <c r="C917" t="s">
        <v>61</v>
      </c>
      <c r="D917" t="s">
        <v>156</v>
      </c>
      <c r="E917" t="s">
        <v>35</v>
      </c>
      <c r="F917" t="s">
        <v>36</v>
      </c>
      <c r="G917" t="s">
        <v>37</v>
      </c>
      <c r="H917" s="3">
        <v>56661.57</v>
      </c>
      <c r="I917" s="4">
        <v>2</v>
      </c>
      <c r="J917" s="3">
        <v>5337.79</v>
      </c>
      <c r="K917" t="str">
        <f t="shared" si="28"/>
        <v>October</v>
      </c>
      <c r="L917">
        <f t="shared" si="29"/>
        <v>2024</v>
      </c>
    </row>
    <row r="918" spans="1:12" x14ac:dyDescent="0.3">
      <c r="A918" s="2">
        <v>45578</v>
      </c>
      <c r="B918" t="s">
        <v>25</v>
      </c>
      <c r="C918" t="s">
        <v>46</v>
      </c>
      <c r="D918" t="s">
        <v>156</v>
      </c>
      <c r="E918" t="s">
        <v>13</v>
      </c>
      <c r="F918" t="s">
        <v>23</v>
      </c>
      <c r="G918" t="s">
        <v>24</v>
      </c>
      <c r="H918" s="3">
        <v>186193.98</v>
      </c>
      <c r="I918" s="4">
        <v>3</v>
      </c>
      <c r="J918" s="3">
        <v>14113.06</v>
      </c>
      <c r="K918" t="str">
        <f t="shared" si="28"/>
        <v>October</v>
      </c>
      <c r="L918">
        <f t="shared" si="29"/>
        <v>2024</v>
      </c>
    </row>
    <row r="919" spans="1:12" x14ac:dyDescent="0.3">
      <c r="A919" s="2">
        <v>45579</v>
      </c>
      <c r="B919" t="s">
        <v>16</v>
      </c>
      <c r="C919" t="s">
        <v>68</v>
      </c>
      <c r="D919" t="s">
        <v>156</v>
      </c>
      <c r="E919" t="s">
        <v>35</v>
      </c>
      <c r="F919" t="s">
        <v>36</v>
      </c>
      <c r="G919" t="s">
        <v>99</v>
      </c>
      <c r="H919" s="3">
        <v>34559.56</v>
      </c>
      <c r="I919" s="4">
        <v>1</v>
      </c>
      <c r="J919" s="3">
        <v>4728.5200000000004</v>
      </c>
      <c r="K919" t="str">
        <f t="shared" si="28"/>
        <v>October</v>
      </c>
      <c r="L919">
        <f t="shared" si="29"/>
        <v>2024</v>
      </c>
    </row>
    <row r="920" spans="1:12" x14ac:dyDescent="0.3">
      <c r="A920" s="2">
        <v>45580</v>
      </c>
      <c r="B920" t="s">
        <v>60</v>
      </c>
      <c r="C920" t="s">
        <v>68</v>
      </c>
      <c r="D920" t="s">
        <v>156</v>
      </c>
      <c r="E920" t="s">
        <v>35</v>
      </c>
      <c r="F920" t="s">
        <v>50</v>
      </c>
      <c r="G920" t="s">
        <v>119</v>
      </c>
      <c r="H920" s="3">
        <v>2489.39</v>
      </c>
      <c r="I920" s="4">
        <v>1</v>
      </c>
      <c r="J920" s="3">
        <v>474.46</v>
      </c>
      <c r="K920" t="str">
        <f t="shared" si="28"/>
        <v>October</v>
      </c>
      <c r="L920">
        <f t="shared" si="29"/>
        <v>2024</v>
      </c>
    </row>
    <row r="921" spans="1:12" x14ac:dyDescent="0.3">
      <c r="A921" s="2">
        <v>45580</v>
      </c>
      <c r="B921" t="s">
        <v>116</v>
      </c>
      <c r="C921" t="s">
        <v>17</v>
      </c>
      <c r="D921" t="s">
        <v>156</v>
      </c>
      <c r="E921" t="s">
        <v>35</v>
      </c>
      <c r="F921" t="s">
        <v>50</v>
      </c>
      <c r="G921" t="s">
        <v>121</v>
      </c>
      <c r="H921" s="3">
        <v>4314.74</v>
      </c>
      <c r="I921" s="4">
        <v>1</v>
      </c>
      <c r="J921" s="3">
        <v>693.63</v>
      </c>
      <c r="K921" t="str">
        <f t="shared" si="28"/>
        <v>October</v>
      </c>
      <c r="L921">
        <f t="shared" si="29"/>
        <v>2024</v>
      </c>
    </row>
    <row r="922" spans="1:12" x14ac:dyDescent="0.3">
      <c r="A922" s="2">
        <v>45582</v>
      </c>
      <c r="B922" t="s">
        <v>92</v>
      </c>
      <c r="C922" t="s">
        <v>17</v>
      </c>
      <c r="D922" t="s">
        <v>156</v>
      </c>
      <c r="E922" t="s">
        <v>35</v>
      </c>
      <c r="F922" t="s">
        <v>63</v>
      </c>
      <c r="G922" t="s">
        <v>114</v>
      </c>
      <c r="H922" s="3">
        <v>26699.65</v>
      </c>
      <c r="I922" s="4">
        <v>1</v>
      </c>
      <c r="J922" s="3">
        <v>3965.46</v>
      </c>
      <c r="K922" t="str">
        <f t="shared" si="28"/>
        <v>October</v>
      </c>
      <c r="L922">
        <f t="shared" si="29"/>
        <v>2024</v>
      </c>
    </row>
    <row r="923" spans="1:12" x14ac:dyDescent="0.3">
      <c r="A923" s="2">
        <v>45585</v>
      </c>
      <c r="B923" t="s">
        <v>103</v>
      </c>
      <c r="C923" t="s">
        <v>12</v>
      </c>
      <c r="D923" t="s">
        <v>156</v>
      </c>
      <c r="E923" t="s">
        <v>35</v>
      </c>
      <c r="F923" t="s">
        <v>75</v>
      </c>
      <c r="G923" t="s">
        <v>107</v>
      </c>
      <c r="H923" s="3">
        <v>37692.76</v>
      </c>
      <c r="I923" s="4">
        <v>1</v>
      </c>
      <c r="J923" s="3">
        <v>7304.83</v>
      </c>
      <c r="K923" t="str">
        <f t="shared" si="28"/>
        <v>October</v>
      </c>
      <c r="L923">
        <f t="shared" si="29"/>
        <v>2024</v>
      </c>
    </row>
    <row r="924" spans="1:12" x14ac:dyDescent="0.3">
      <c r="A924" s="2">
        <v>45586</v>
      </c>
      <c r="B924" t="s">
        <v>67</v>
      </c>
      <c r="C924" t="s">
        <v>58</v>
      </c>
      <c r="D924" t="s">
        <v>156</v>
      </c>
      <c r="E924" t="s">
        <v>35</v>
      </c>
      <c r="F924" t="s">
        <v>36</v>
      </c>
      <c r="G924" t="s">
        <v>84</v>
      </c>
      <c r="H924" s="3">
        <v>26800.82</v>
      </c>
      <c r="I924" s="4">
        <v>1</v>
      </c>
      <c r="J924" s="3">
        <v>4704.16</v>
      </c>
      <c r="K924" t="str">
        <f t="shared" si="28"/>
        <v>October</v>
      </c>
      <c r="L924">
        <f t="shared" si="29"/>
        <v>2024</v>
      </c>
    </row>
    <row r="925" spans="1:12" x14ac:dyDescent="0.3">
      <c r="A925" s="2">
        <v>45586</v>
      </c>
      <c r="B925" t="s">
        <v>86</v>
      </c>
      <c r="C925" t="s">
        <v>39</v>
      </c>
      <c r="D925" t="s">
        <v>156</v>
      </c>
      <c r="E925" t="s">
        <v>18</v>
      </c>
      <c r="F925" t="s">
        <v>19</v>
      </c>
      <c r="G925" t="s">
        <v>20</v>
      </c>
      <c r="H925" s="3">
        <v>130263.33</v>
      </c>
      <c r="I925" s="4">
        <v>2</v>
      </c>
      <c r="J925" s="3">
        <v>15430.16</v>
      </c>
      <c r="K925" t="str">
        <f t="shared" si="28"/>
        <v>October</v>
      </c>
      <c r="L925">
        <f t="shared" si="29"/>
        <v>2024</v>
      </c>
    </row>
    <row r="926" spans="1:12" x14ac:dyDescent="0.3">
      <c r="A926" s="2">
        <v>45586</v>
      </c>
      <c r="B926" t="s">
        <v>67</v>
      </c>
      <c r="C926" t="s">
        <v>69</v>
      </c>
      <c r="D926" t="s">
        <v>156</v>
      </c>
      <c r="E926" t="s">
        <v>35</v>
      </c>
      <c r="F926" t="s">
        <v>63</v>
      </c>
      <c r="G926" t="s">
        <v>112</v>
      </c>
      <c r="H926" s="3">
        <v>32529.759999999998</v>
      </c>
      <c r="I926" s="4">
        <v>1</v>
      </c>
      <c r="J926" s="3">
        <v>-1509.24</v>
      </c>
      <c r="K926" t="str">
        <f t="shared" si="28"/>
        <v>October</v>
      </c>
      <c r="L926">
        <f t="shared" si="29"/>
        <v>2024</v>
      </c>
    </row>
    <row r="927" spans="1:12" x14ac:dyDescent="0.3">
      <c r="A927" s="2">
        <v>45586</v>
      </c>
      <c r="B927" t="s">
        <v>29</v>
      </c>
      <c r="C927" t="s">
        <v>39</v>
      </c>
      <c r="D927" t="s">
        <v>156</v>
      </c>
      <c r="E927" t="s">
        <v>42</v>
      </c>
      <c r="F927" t="s">
        <v>90</v>
      </c>
      <c r="G927" t="s">
        <v>120</v>
      </c>
      <c r="H927" s="3">
        <v>11486.13</v>
      </c>
      <c r="I927" s="4">
        <v>2</v>
      </c>
      <c r="J927" s="3">
        <v>2466.67</v>
      </c>
      <c r="K927" t="str">
        <f t="shared" si="28"/>
        <v>October</v>
      </c>
      <c r="L927">
        <f t="shared" si="29"/>
        <v>2024</v>
      </c>
    </row>
    <row r="928" spans="1:12" x14ac:dyDescent="0.3">
      <c r="A928" s="2">
        <v>45587</v>
      </c>
      <c r="B928" t="s">
        <v>109</v>
      </c>
      <c r="C928" t="s">
        <v>39</v>
      </c>
      <c r="D928" t="s">
        <v>156</v>
      </c>
      <c r="E928" t="s">
        <v>18</v>
      </c>
      <c r="F928" t="s">
        <v>19</v>
      </c>
      <c r="G928" t="s">
        <v>72</v>
      </c>
      <c r="H928" s="3">
        <v>128419.93</v>
      </c>
      <c r="I928" s="4">
        <v>2</v>
      </c>
      <c r="J928" s="3">
        <v>19714.939999999999</v>
      </c>
      <c r="K928" t="str">
        <f t="shared" si="28"/>
        <v>October</v>
      </c>
      <c r="L928">
        <f t="shared" si="29"/>
        <v>2024</v>
      </c>
    </row>
    <row r="929" spans="1:12" x14ac:dyDescent="0.3">
      <c r="A929" s="2">
        <v>45588</v>
      </c>
      <c r="B929" t="s">
        <v>93</v>
      </c>
      <c r="C929" t="s">
        <v>39</v>
      </c>
      <c r="D929" t="s">
        <v>156</v>
      </c>
      <c r="E929" t="s">
        <v>18</v>
      </c>
      <c r="F929" t="s">
        <v>19</v>
      </c>
      <c r="G929" t="s">
        <v>59</v>
      </c>
      <c r="H929" s="3">
        <v>50612.94</v>
      </c>
      <c r="I929" s="4">
        <v>1</v>
      </c>
      <c r="J929" s="3">
        <v>5075.57</v>
      </c>
      <c r="K929" t="str">
        <f t="shared" si="28"/>
        <v>October</v>
      </c>
      <c r="L929">
        <f t="shared" si="29"/>
        <v>2024</v>
      </c>
    </row>
    <row r="930" spans="1:12" x14ac:dyDescent="0.3">
      <c r="A930" s="2">
        <v>45588</v>
      </c>
      <c r="B930" t="s">
        <v>71</v>
      </c>
      <c r="C930" t="s">
        <v>39</v>
      </c>
      <c r="D930" t="s">
        <v>156</v>
      </c>
      <c r="E930" t="s">
        <v>18</v>
      </c>
      <c r="F930" t="s">
        <v>40</v>
      </c>
      <c r="G930" t="s">
        <v>41</v>
      </c>
      <c r="H930" s="3">
        <v>52609.75</v>
      </c>
      <c r="I930" s="4">
        <v>3</v>
      </c>
      <c r="J930" s="3">
        <v>-2314.06</v>
      </c>
      <c r="K930" t="str">
        <f t="shared" si="28"/>
        <v>October</v>
      </c>
      <c r="L930">
        <f t="shared" si="29"/>
        <v>2024</v>
      </c>
    </row>
    <row r="931" spans="1:12" x14ac:dyDescent="0.3">
      <c r="A931" s="2">
        <v>45588</v>
      </c>
      <c r="B931" t="s">
        <v>86</v>
      </c>
      <c r="C931" t="s">
        <v>30</v>
      </c>
      <c r="D931" t="s">
        <v>156</v>
      </c>
      <c r="E931" t="s">
        <v>26</v>
      </c>
      <c r="F931" t="s">
        <v>27</v>
      </c>
      <c r="G931" t="s">
        <v>94</v>
      </c>
      <c r="H931" s="3">
        <v>35218.75</v>
      </c>
      <c r="I931" s="4">
        <v>3</v>
      </c>
      <c r="J931" s="3">
        <v>4219.1000000000004</v>
      </c>
      <c r="K931" t="str">
        <f t="shared" si="28"/>
        <v>October</v>
      </c>
      <c r="L931">
        <f t="shared" si="29"/>
        <v>2024</v>
      </c>
    </row>
    <row r="932" spans="1:12" x14ac:dyDescent="0.3">
      <c r="A932" s="2">
        <v>45589</v>
      </c>
      <c r="B932" t="s">
        <v>83</v>
      </c>
      <c r="C932" t="s">
        <v>81</v>
      </c>
      <c r="D932" t="s">
        <v>156</v>
      </c>
      <c r="E932" t="s">
        <v>13</v>
      </c>
      <c r="F932" t="s">
        <v>14</v>
      </c>
      <c r="G932" t="s">
        <v>57</v>
      </c>
      <c r="H932" s="3">
        <v>1554.92</v>
      </c>
      <c r="I932" s="4">
        <v>1</v>
      </c>
      <c r="J932" s="3">
        <v>226.81</v>
      </c>
      <c r="K932" t="str">
        <f t="shared" si="28"/>
        <v>October</v>
      </c>
      <c r="L932">
        <f t="shared" si="29"/>
        <v>2024</v>
      </c>
    </row>
    <row r="933" spans="1:12" x14ac:dyDescent="0.3">
      <c r="A933" s="2">
        <v>45590</v>
      </c>
      <c r="B933" t="s">
        <v>38</v>
      </c>
      <c r="C933" t="s">
        <v>69</v>
      </c>
      <c r="D933" t="s">
        <v>156</v>
      </c>
      <c r="E933" t="s">
        <v>42</v>
      </c>
      <c r="F933" t="s">
        <v>43</v>
      </c>
      <c r="G933" t="s">
        <v>44</v>
      </c>
      <c r="H933" s="3">
        <v>13521.23</v>
      </c>
      <c r="I933" s="4">
        <v>1</v>
      </c>
      <c r="J933" s="3">
        <v>1681.22</v>
      </c>
      <c r="K933" t="str">
        <f t="shared" si="28"/>
        <v>October</v>
      </c>
      <c r="L933">
        <f t="shared" si="29"/>
        <v>2024</v>
      </c>
    </row>
    <row r="934" spans="1:12" x14ac:dyDescent="0.3">
      <c r="A934" s="2">
        <v>45590</v>
      </c>
      <c r="B934" t="s">
        <v>71</v>
      </c>
      <c r="C934" t="s">
        <v>68</v>
      </c>
      <c r="D934" t="s">
        <v>156</v>
      </c>
      <c r="E934" t="s">
        <v>13</v>
      </c>
      <c r="F934" t="s">
        <v>23</v>
      </c>
      <c r="G934" t="s">
        <v>47</v>
      </c>
      <c r="H934" s="3">
        <v>66939.55</v>
      </c>
      <c r="I934" s="4">
        <v>1</v>
      </c>
      <c r="J934" s="3">
        <v>5441.13</v>
      </c>
      <c r="K934" t="str">
        <f t="shared" si="28"/>
        <v>October</v>
      </c>
      <c r="L934">
        <f t="shared" si="29"/>
        <v>2024</v>
      </c>
    </row>
    <row r="935" spans="1:12" x14ac:dyDescent="0.3">
      <c r="A935" s="2">
        <v>45591</v>
      </c>
      <c r="B935" t="s">
        <v>83</v>
      </c>
      <c r="C935" t="s">
        <v>49</v>
      </c>
      <c r="D935" t="s">
        <v>156</v>
      </c>
      <c r="E935" t="s">
        <v>35</v>
      </c>
      <c r="F935" t="s">
        <v>50</v>
      </c>
      <c r="G935" t="s">
        <v>118</v>
      </c>
      <c r="H935" s="3">
        <v>7307.21</v>
      </c>
      <c r="I935" s="4">
        <v>1</v>
      </c>
      <c r="J935" s="3">
        <v>1242.71</v>
      </c>
      <c r="K935" t="str">
        <f t="shared" si="28"/>
        <v>October</v>
      </c>
      <c r="L935">
        <f t="shared" si="29"/>
        <v>2024</v>
      </c>
    </row>
    <row r="936" spans="1:12" x14ac:dyDescent="0.3">
      <c r="A936" s="2">
        <v>45592</v>
      </c>
      <c r="B936" t="s">
        <v>48</v>
      </c>
      <c r="C936" t="s">
        <v>46</v>
      </c>
      <c r="D936" t="s">
        <v>156</v>
      </c>
      <c r="E936" t="s">
        <v>42</v>
      </c>
      <c r="F936" t="s">
        <v>43</v>
      </c>
      <c r="G936" t="s">
        <v>89</v>
      </c>
      <c r="H936" s="3">
        <v>64561.04</v>
      </c>
      <c r="I936" s="4">
        <v>2</v>
      </c>
      <c r="J936" s="3">
        <v>13624.54</v>
      </c>
      <c r="K936" t="str">
        <f t="shared" si="28"/>
        <v>October</v>
      </c>
      <c r="L936">
        <f t="shared" si="29"/>
        <v>2024</v>
      </c>
    </row>
    <row r="937" spans="1:12" x14ac:dyDescent="0.3">
      <c r="A937" s="2">
        <v>45592</v>
      </c>
      <c r="B937" t="s">
        <v>93</v>
      </c>
      <c r="C937" t="s">
        <v>12</v>
      </c>
      <c r="D937" t="s">
        <v>156</v>
      </c>
      <c r="E937" t="s">
        <v>18</v>
      </c>
      <c r="F937" t="s">
        <v>40</v>
      </c>
      <c r="G937" t="s">
        <v>102</v>
      </c>
      <c r="H937" s="3">
        <v>1292.46</v>
      </c>
      <c r="I937" s="4">
        <v>1</v>
      </c>
      <c r="J937" s="3">
        <v>206.75</v>
      </c>
      <c r="K937" t="str">
        <f t="shared" si="28"/>
        <v>October</v>
      </c>
      <c r="L937">
        <f t="shared" si="29"/>
        <v>2024</v>
      </c>
    </row>
    <row r="938" spans="1:12" x14ac:dyDescent="0.3">
      <c r="A938" s="2">
        <v>45592</v>
      </c>
      <c r="B938" t="s">
        <v>67</v>
      </c>
      <c r="C938" t="s">
        <v>58</v>
      </c>
      <c r="D938" t="s">
        <v>156</v>
      </c>
      <c r="E938" t="s">
        <v>13</v>
      </c>
      <c r="F938" t="s">
        <v>23</v>
      </c>
      <c r="G938" t="s">
        <v>108</v>
      </c>
      <c r="H938" s="3">
        <v>54829.64</v>
      </c>
      <c r="I938" s="4">
        <v>1</v>
      </c>
      <c r="J938" s="3">
        <v>7463.35</v>
      </c>
      <c r="K938" t="str">
        <f t="shared" si="28"/>
        <v>October</v>
      </c>
      <c r="L938">
        <f t="shared" si="29"/>
        <v>2024</v>
      </c>
    </row>
    <row r="939" spans="1:12" x14ac:dyDescent="0.3">
      <c r="A939" s="2">
        <v>45593</v>
      </c>
      <c r="B939" t="s">
        <v>93</v>
      </c>
      <c r="C939" t="s">
        <v>58</v>
      </c>
      <c r="D939" t="s">
        <v>156</v>
      </c>
      <c r="E939" t="s">
        <v>35</v>
      </c>
      <c r="F939" t="s">
        <v>75</v>
      </c>
      <c r="G939" t="s">
        <v>107</v>
      </c>
      <c r="H939" s="3">
        <v>32185.56</v>
      </c>
      <c r="I939" s="4">
        <v>1</v>
      </c>
      <c r="J939" s="3">
        <v>5269.25</v>
      </c>
      <c r="K939" t="str">
        <f t="shared" si="28"/>
        <v>October</v>
      </c>
      <c r="L939">
        <f t="shared" si="29"/>
        <v>2024</v>
      </c>
    </row>
    <row r="940" spans="1:12" x14ac:dyDescent="0.3">
      <c r="A940" s="2">
        <v>45593</v>
      </c>
      <c r="B940" t="s">
        <v>113</v>
      </c>
      <c r="C940" t="s">
        <v>69</v>
      </c>
      <c r="D940" t="s">
        <v>156</v>
      </c>
      <c r="E940" t="s">
        <v>42</v>
      </c>
      <c r="F940" t="s">
        <v>90</v>
      </c>
      <c r="G940" t="s">
        <v>97</v>
      </c>
      <c r="H940" s="3">
        <v>7470.35</v>
      </c>
      <c r="I940" s="4">
        <v>3</v>
      </c>
      <c r="J940" s="3">
        <v>1328.59</v>
      </c>
      <c r="K940" t="str">
        <f t="shared" si="28"/>
        <v>October</v>
      </c>
      <c r="L940">
        <f t="shared" si="29"/>
        <v>2024</v>
      </c>
    </row>
    <row r="941" spans="1:12" x14ac:dyDescent="0.3">
      <c r="A941" s="2">
        <v>45596</v>
      </c>
      <c r="B941" t="s">
        <v>65</v>
      </c>
      <c r="C941" t="s">
        <v>68</v>
      </c>
      <c r="D941" t="s">
        <v>156</v>
      </c>
      <c r="E941" t="s">
        <v>26</v>
      </c>
      <c r="F941" t="s">
        <v>53</v>
      </c>
      <c r="G941" t="s">
        <v>100</v>
      </c>
      <c r="H941" s="3">
        <v>252645.86</v>
      </c>
      <c r="I941" s="4">
        <v>3</v>
      </c>
      <c r="J941" s="3">
        <v>29454.91</v>
      </c>
      <c r="K941" t="str">
        <f t="shared" si="28"/>
        <v>October</v>
      </c>
      <c r="L941">
        <f t="shared" si="29"/>
        <v>2024</v>
      </c>
    </row>
    <row r="942" spans="1:12" x14ac:dyDescent="0.3">
      <c r="A942" s="2">
        <v>45596</v>
      </c>
      <c r="B942" t="s">
        <v>29</v>
      </c>
      <c r="C942" t="s">
        <v>17</v>
      </c>
      <c r="D942" t="s">
        <v>156</v>
      </c>
      <c r="E942" t="s">
        <v>35</v>
      </c>
      <c r="F942" t="s">
        <v>75</v>
      </c>
      <c r="G942" t="s">
        <v>107</v>
      </c>
      <c r="H942" s="3">
        <v>38519.01</v>
      </c>
      <c r="I942" s="4">
        <v>1</v>
      </c>
      <c r="J942" s="3">
        <v>3430.75</v>
      </c>
      <c r="K942" t="str">
        <f t="shared" si="28"/>
        <v>October</v>
      </c>
      <c r="L942">
        <f t="shared" si="29"/>
        <v>2024</v>
      </c>
    </row>
    <row r="943" spans="1:12" x14ac:dyDescent="0.3">
      <c r="A943" s="2">
        <v>45597</v>
      </c>
      <c r="B943" t="s">
        <v>55</v>
      </c>
      <c r="C943" t="s">
        <v>49</v>
      </c>
      <c r="D943" t="s">
        <v>156</v>
      </c>
      <c r="E943" t="s">
        <v>13</v>
      </c>
      <c r="F943" t="s">
        <v>23</v>
      </c>
      <c r="G943" t="s">
        <v>47</v>
      </c>
      <c r="H943" s="3">
        <v>137595.22</v>
      </c>
      <c r="I943" s="4">
        <v>2</v>
      </c>
      <c r="J943" s="3">
        <v>17093.59</v>
      </c>
      <c r="K943" t="str">
        <f t="shared" si="28"/>
        <v>November</v>
      </c>
      <c r="L943">
        <f t="shared" si="29"/>
        <v>2024</v>
      </c>
    </row>
    <row r="944" spans="1:12" x14ac:dyDescent="0.3">
      <c r="A944" s="2">
        <v>45597</v>
      </c>
      <c r="B944" t="s">
        <v>32</v>
      </c>
      <c r="C944" t="s">
        <v>69</v>
      </c>
      <c r="D944" t="s">
        <v>156</v>
      </c>
      <c r="E944" t="s">
        <v>18</v>
      </c>
      <c r="F944" t="s">
        <v>40</v>
      </c>
      <c r="G944" t="s">
        <v>115</v>
      </c>
      <c r="H944" s="3">
        <v>22751.1</v>
      </c>
      <c r="I944" s="4">
        <v>2</v>
      </c>
      <c r="J944" s="3">
        <v>2889.64</v>
      </c>
      <c r="K944" t="str">
        <f t="shared" si="28"/>
        <v>November</v>
      </c>
      <c r="L944">
        <f t="shared" si="29"/>
        <v>2024</v>
      </c>
    </row>
    <row r="945" spans="1:12" x14ac:dyDescent="0.3">
      <c r="A945" s="2">
        <v>45599</v>
      </c>
      <c r="B945" t="s">
        <v>34</v>
      </c>
      <c r="C945" t="s">
        <v>39</v>
      </c>
      <c r="D945" t="s">
        <v>156</v>
      </c>
      <c r="E945" t="s">
        <v>18</v>
      </c>
      <c r="F945" t="s">
        <v>19</v>
      </c>
      <c r="G945" t="s">
        <v>106</v>
      </c>
      <c r="H945" s="3">
        <v>170905.72</v>
      </c>
      <c r="I945" s="4">
        <v>2</v>
      </c>
      <c r="J945" s="3">
        <v>28347.43</v>
      </c>
      <c r="K945" t="str">
        <f t="shared" si="28"/>
        <v>November</v>
      </c>
      <c r="L945">
        <f t="shared" si="29"/>
        <v>2024</v>
      </c>
    </row>
    <row r="946" spans="1:12" x14ac:dyDescent="0.3">
      <c r="A946" s="2">
        <v>45599</v>
      </c>
      <c r="B946" t="s">
        <v>86</v>
      </c>
      <c r="C946" t="s">
        <v>22</v>
      </c>
      <c r="D946" t="s">
        <v>156</v>
      </c>
      <c r="E946" t="s">
        <v>26</v>
      </c>
      <c r="F946" t="s">
        <v>53</v>
      </c>
      <c r="G946" t="s">
        <v>98</v>
      </c>
      <c r="H946" s="3">
        <v>25131.360000000001</v>
      </c>
      <c r="I946" s="4">
        <v>1</v>
      </c>
      <c r="J946" s="3">
        <v>3701.11</v>
      </c>
      <c r="K946" t="str">
        <f t="shared" si="28"/>
        <v>November</v>
      </c>
      <c r="L946">
        <f t="shared" si="29"/>
        <v>2024</v>
      </c>
    </row>
    <row r="947" spans="1:12" x14ac:dyDescent="0.3">
      <c r="A947" s="2">
        <v>45599</v>
      </c>
      <c r="B947" t="s">
        <v>95</v>
      </c>
      <c r="C947" t="s">
        <v>81</v>
      </c>
      <c r="D947" t="s">
        <v>156</v>
      </c>
      <c r="E947" t="s">
        <v>13</v>
      </c>
      <c r="F947" t="s">
        <v>23</v>
      </c>
      <c r="G947" t="s">
        <v>79</v>
      </c>
      <c r="H947" s="3">
        <v>138100.31</v>
      </c>
      <c r="I947" s="4">
        <v>2</v>
      </c>
      <c r="J947" s="3">
        <v>18097.7</v>
      </c>
      <c r="K947" t="str">
        <f t="shared" si="28"/>
        <v>November</v>
      </c>
      <c r="L947">
        <f t="shared" si="29"/>
        <v>2024</v>
      </c>
    </row>
    <row r="948" spans="1:12" x14ac:dyDescent="0.3">
      <c r="A948" s="2">
        <v>45600</v>
      </c>
      <c r="B948" t="s">
        <v>86</v>
      </c>
      <c r="C948" t="s">
        <v>12</v>
      </c>
      <c r="D948" t="s">
        <v>156</v>
      </c>
      <c r="E948" t="s">
        <v>13</v>
      </c>
      <c r="F948" t="s">
        <v>14</v>
      </c>
      <c r="G948" t="s">
        <v>70</v>
      </c>
      <c r="H948" s="3">
        <v>4971.03</v>
      </c>
      <c r="I948" s="4">
        <v>2</v>
      </c>
      <c r="J948" s="3">
        <v>672.72</v>
      </c>
      <c r="K948" t="str">
        <f t="shared" si="28"/>
        <v>November</v>
      </c>
      <c r="L948">
        <f t="shared" si="29"/>
        <v>2024</v>
      </c>
    </row>
    <row r="949" spans="1:12" x14ac:dyDescent="0.3">
      <c r="A949" s="2">
        <v>45600</v>
      </c>
      <c r="B949" t="s">
        <v>32</v>
      </c>
      <c r="C949" t="s">
        <v>30</v>
      </c>
      <c r="D949" t="s">
        <v>156</v>
      </c>
      <c r="E949" t="s">
        <v>35</v>
      </c>
      <c r="F949" t="s">
        <v>63</v>
      </c>
      <c r="G949" t="s">
        <v>64</v>
      </c>
      <c r="H949" s="3">
        <v>31968.71</v>
      </c>
      <c r="I949" s="4">
        <v>1</v>
      </c>
      <c r="J949" s="3">
        <v>3413.08</v>
      </c>
      <c r="K949" t="str">
        <f t="shared" si="28"/>
        <v>November</v>
      </c>
      <c r="L949">
        <f t="shared" si="29"/>
        <v>2024</v>
      </c>
    </row>
    <row r="950" spans="1:12" x14ac:dyDescent="0.3">
      <c r="A950" s="2">
        <v>45600</v>
      </c>
      <c r="B950" t="s">
        <v>16</v>
      </c>
      <c r="C950" t="s">
        <v>58</v>
      </c>
      <c r="D950" t="s">
        <v>156</v>
      </c>
      <c r="E950" t="s">
        <v>42</v>
      </c>
      <c r="F950" t="s">
        <v>43</v>
      </c>
      <c r="G950" t="s">
        <v>87</v>
      </c>
      <c r="H950" s="3">
        <v>11189.56</v>
      </c>
      <c r="I950" s="4">
        <v>1</v>
      </c>
      <c r="J950" s="3">
        <v>1346.45</v>
      </c>
      <c r="K950" t="str">
        <f t="shared" si="28"/>
        <v>November</v>
      </c>
      <c r="L950">
        <f t="shared" si="29"/>
        <v>2024</v>
      </c>
    </row>
    <row r="951" spans="1:12" x14ac:dyDescent="0.3">
      <c r="A951" s="2">
        <v>45601</v>
      </c>
      <c r="B951" t="s">
        <v>67</v>
      </c>
      <c r="C951" t="s">
        <v>62</v>
      </c>
      <c r="D951" t="s">
        <v>156</v>
      </c>
      <c r="E951" t="s">
        <v>35</v>
      </c>
      <c r="F951" t="s">
        <v>36</v>
      </c>
      <c r="G951" t="s">
        <v>99</v>
      </c>
      <c r="H951" s="3">
        <v>33171.300000000003</v>
      </c>
      <c r="I951" s="4">
        <v>1</v>
      </c>
      <c r="J951" s="3">
        <v>3453.2</v>
      </c>
      <c r="K951" t="str">
        <f t="shared" si="28"/>
        <v>November</v>
      </c>
      <c r="L951">
        <f t="shared" si="29"/>
        <v>2024</v>
      </c>
    </row>
    <row r="952" spans="1:12" x14ac:dyDescent="0.3">
      <c r="A952" s="2">
        <v>45602</v>
      </c>
      <c r="B952" t="s">
        <v>109</v>
      </c>
      <c r="C952" t="s">
        <v>69</v>
      </c>
      <c r="D952" t="s">
        <v>156</v>
      </c>
      <c r="E952" t="s">
        <v>35</v>
      </c>
      <c r="F952" t="s">
        <v>75</v>
      </c>
      <c r="G952" t="s">
        <v>107</v>
      </c>
      <c r="H952" s="3">
        <v>133120.92000000001</v>
      </c>
      <c r="I952" s="4">
        <v>4</v>
      </c>
      <c r="J952" s="3">
        <v>19437.2</v>
      </c>
      <c r="K952" t="str">
        <f t="shared" si="28"/>
        <v>November</v>
      </c>
      <c r="L952">
        <f t="shared" si="29"/>
        <v>2024</v>
      </c>
    </row>
    <row r="953" spans="1:12" x14ac:dyDescent="0.3">
      <c r="A953" s="2">
        <v>45602</v>
      </c>
      <c r="B953" t="s">
        <v>83</v>
      </c>
      <c r="C953" t="s">
        <v>49</v>
      </c>
      <c r="D953" t="s">
        <v>156</v>
      </c>
      <c r="E953" t="s">
        <v>13</v>
      </c>
      <c r="F953" t="s">
        <v>23</v>
      </c>
      <c r="G953" t="s">
        <v>108</v>
      </c>
      <c r="H953" s="3">
        <v>49760.800000000003</v>
      </c>
      <c r="I953" s="4">
        <v>1</v>
      </c>
      <c r="J953" s="3">
        <v>7035.64</v>
      </c>
      <c r="K953" t="str">
        <f t="shared" si="28"/>
        <v>November</v>
      </c>
      <c r="L953">
        <f t="shared" si="29"/>
        <v>2024</v>
      </c>
    </row>
    <row r="954" spans="1:12" x14ac:dyDescent="0.3">
      <c r="A954" s="2">
        <v>45603</v>
      </c>
      <c r="B954" t="s">
        <v>113</v>
      </c>
      <c r="C954" t="s">
        <v>17</v>
      </c>
      <c r="D954" t="s">
        <v>156</v>
      </c>
      <c r="E954" t="s">
        <v>26</v>
      </c>
      <c r="F954" t="s">
        <v>27</v>
      </c>
      <c r="G954" t="s">
        <v>31</v>
      </c>
      <c r="H954" s="3">
        <v>9752.08</v>
      </c>
      <c r="I954" s="4">
        <v>1</v>
      </c>
      <c r="J954" s="3">
        <v>1692.49</v>
      </c>
      <c r="K954" t="str">
        <f t="shared" si="28"/>
        <v>November</v>
      </c>
      <c r="L954">
        <f t="shared" si="29"/>
        <v>2024</v>
      </c>
    </row>
    <row r="955" spans="1:12" x14ac:dyDescent="0.3">
      <c r="A955" s="2">
        <v>45603</v>
      </c>
      <c r="B955" t="s">
        <v>65</v>
      </c>
      <c r="C955" t="s">
        <v>30</v>
      </c>
      <c r="D955" t="s">
        <v>156</v>
      </c>
      <c r="E955" t="s">
        <v>35</v>
      </c>
      <c r="F955" t="s">
        <v>50</v>
      </c>
      <c r="G955" t="s">
        <v>118</v>
      </c>
      <c r="H955" s="3">
        <v>7281.35</v>
      </c>
      <c r="I955" s="4">
        <v>1</v>
      </c>
      <c r="J955" s="3">
        <v>-94.8</v>
      </c>
      <c r="K955" t="str">
        <f t="shared" si="28"/>
        <v>November</v>
      </c>
      <c r="L955">
        <f t="shared" si="29"/>
        <v>2024</v>
      </c>
    </row>
    <row r="956" spans="1:12" x14ac:dyDescent="0.3">
      <c r="A956" s="2">
        <v>45603</v>
      </c>
      <c r="B956" t="s">
        <v>101</v>
      </c>
      <c r="C956" t="s">
        <v>62</v>
      </c>
      <c r="D956" t="s">
        <v>156</v>
      </c>
      <c r="E956" t="s">
        <v>35</v>
      </c>
      <c r="F956" t="s">
        <v>50</v>
      </c>
      <c r="G956" t="s">
        <v>51</v>
      </c>
      <c r="H956" s="3">
        <v>16438.13</v>
      </c>
      <c r="I956" s="4">
        <v>2</v>
      </c>
      <c r="J956" s="3">
        <v>2552.25</v>
      </c>
      <c r="K956" t="str">
        <f t="shared" si="28"/>
        <v>November</v>
      </c>
      <c r="L956">
        <f t="shared" si="29"/>
        <v>2024</v>
      </c>
    </row>
    <row r="957" spans="1:12" x14ac:dyDescent="0.3">
      <c r="A957" s="2">
        <v>45604</v>
      </c>
      <c r="B957" t="s">
        <v>29</v>
      </c>
      <c r="C957" t="s">
        <v>39</v>
      </c>
      <c r="D957" t="s">
        <v>156</v>
      </c>
      <c r="E957" t="s">
        <v>13</v>
      </c>
      <c r="F957" t="s">
        <v>23</v>
      </c>
      <c r="G957" t="s">
        <v>79</v>
      </c>
      <c r="H957" s="3">
        <v>134779.25</v>
      </c>
      <c r="I957" s="4">
        <v>2</v>
      </c>
      <c r="J957" s="3">
        <v>17136.61</v>
      </c>
      <c r="K957" t="str">
        <f t="shared" si="28"/>
        <v>November</v>
      </c>
      <c r="L957">
        <f t="shared" si="29"/>
        <v>2024</v>
      </c>
    </row>
    <row r="958" spans="1:12" x14ac:dyDescent="0.3">
      <c r="A958" s="2">
        <v>45605</v>
      </c>
      <c r="B958" t="s">
        <v>73</v>
      </c>
      <c r="C958" t="s">
        <v>12</v>
      </c>
      <c r="D958" t="s">
        <v>156</v>
      </c>
      <c r="E958" t="s">
        <v>42</v>
      </c>
      <c r="F958" t="s">
        <v>43</v>
      </c>
      <c r="G958" t="s">
        <v>89</v>
      </c>
      <c r="H958" s="3">
        <v>96079.4</v>
      </c>
      <c r="I958" s="4">
        <v>3</v>
      </c>
      <c r="J958" s="3">
        <v>21261.9</v>
      </c>
      <c r="K958" t="str">
        <f t="shared" si="28"/>
        <v>November</v>
      </c>
      <c r="L958">
        <f t="shared" si="29"/>
        <v>2024</v>
      </c>
    </row>
    <row r="959" spans="1:12" x14ac:dyDescent="0.3">
      <c r="A959" s="2">
        <v>45606</v>
      </c>
      <c r="B959" t="s">
        <v>60</v>
      </c>
      <c r="C959" t="s">
        <v>61</v>
      </c>
      <c r="D959" t="s">
        <v>156</v>
      </c>
      <c r="E959" t="s">
        <v>26</v>
      </c>
      <c r="F959" t="s">
        <v>53</v>
      </c>
      <c r="G959" t="s">
        <v>98</v>
      </c>
      <c r="H959" s="3">
        <v>53221.38</v>
      </c>
      <c r="I959" s="4">
        <v>2</v>
      </c>
      <c r="J959" s="3">
        <v>4912.74</v>
      </c>
      <c r="K959" t="str">
        <f t="shared" si="28"/>
        <v>November</v>
      </c>
      <c r="L959">
        <f t="shared" si="29"/>
        <v>2024</v>
      </c>
    </row>
    <row r="960" spans="1:12" x14ac:dyDescent="0.3">
      <c r="A960" s="2">
        <v>45607</v>
      </c>
      <c r="B960" t="s">
        <v>55</v>
      </c>
      <c r="C960" t="s">
        <v>66</v>
      </c>
      <c r="D960" t="s">
        <v>156</v>
      </c>
      <c r="E960" t="s">
        <v>18</v>
      </c>
      <c r="F960" t="s">
        <v>40</v>
      </c>
      <c r="G960" t="s">
        <v>102</v>
      </c>
      <c r="H960" s="3">
        <v>3942.78</v>
      </c>
      <c r="I960" s="4">
        <v>3</v>
      </c>
      <c r="J960" s="3">
        <v>662.71</v>
      </c>
      <c r="K960" t="str">
        <f t="shared" si="28"/>
        <v>November</v>
      </c>
      <c r="L960">
        <f t="shared" si="29"/>
        <v>2024</v>
      </c>
    </row>
    <row r="961" spans="1:12" x14ac:dyDescent="0.3">
      <c r="A961" s="2">
        <v>45609</v>
      </c>
      <c r="B961" t="s">
        <v>83</v>
      </c>
      <c r="C961" t="s">
        <v>62</v>
      </c>
      <c r="D961" t="s">
        <v>156</v>
      </c>
      <c r="E961" t="s">
        <v>42</v>
      </c>
      <c r="F961" t="s">
        <v>90</v>
      </c>
      <c r="G961" t="s">
        <v>120</v>
      </c>
      <c r="H961" s="3">
        <v>5771.74</v>
      </c>
      <c r="I961" s="4">
        <v>1</v>
      </c>
      <c r="J961" s="3">
        <v>1009.86</v>
      </c>
      <c r="K961" t="str">
        <f t="shared" si="28"/>
        <v>November</v>
      </c>
      <c r="L961">
        <f t="shared" si="29"/>
        <v>2024</v>
      </c>
    </row>
    <row r="962" spans="1:12" x14ac:dyDescent="0.3">
      <c r="A962" s="2">
        <v>45610</v>
      </c>
      <c r="B962" t="s">
        <v>92</v>
      </c>
      <c r="C962" t="s">
        <v>12</v>
      </c>
      <c r="D962" t="s">
        <v>156</v>
      </c>
      <c r="E962" t="s">
        <v>26</v>
      </c>
      <c r="F962" t="s">
        <v>53</v>
      </c>
      <c r="G962" t="s">
        <v>104</v>
      </c>
      <c r="H962" s="3">
        <v>79220.19</v>
      </c>
      <c r="I962" s="4">
        <v>1</v>
      </c>
      <c r="J962" s="3">
        <v>14012.26</v>
      </c>
      <c r="K962" t="str">
        <f t="shared" si="28"/>
        <v>November</v>
      </c>
      <c r="L962">
        <f t="shared" si="29"/>
        <v>2024</v>
      </c>
    </row>
    <row r="963" spans="1:12" x14ac:dyDescent="0.3">
      <c r="A963" s="2">
        <v>45610</v>
      </c>
      <c r="B963" t="s">
        <v>116</v>
      </c>
      <c r="C963" t="s">
        <v>17</v>
      </c>
      <c r="D963" t="s">
        <v>156</v>
      </c>
      <c r="E963" t="s">
        <v>42</v>
      </c>
      <c r="F963" t="s">
        <v>43</v>
      </c>
      <c r="G963" t="s">
        <v>87</v>
      </c>
      <c r="H963" s="3">
        <v>10877.39</v>
      </c>
      <c r="I963" s="4">
        <v>1</v>
      </c>
      <c r="J963" s="3">
        <v>2062.0500000000002</v>
      </c>
      <c r="K963" t="str">
        <f t="shared" ref="K963:K1026" si="30">TEXT(A963,"mmmm")</f>
        <v>November</v>
      </c>
      <c r="L963">
        <f t="shared" ref="L963:L1026" si="31">YEAR(A963)</f>
        <v>2024</v>
      </c>
    </row>
    <row r="964" spans="1:12" x14ac:dyDescent="0.3">
      <c r="A964" s="2">
        <v>45610</v>
      </c>
      <c r="B964" t="s">
        <v>65</v>
      </c>
      <c r="C964" t="s">
        <v>62</v>
      </c>
      <c r="D964" t="s">
        <v>156</v>
      </c>
      <c r="E964" t="s">
        <v>18</v>
      </c>
      <c r="F964" t="s">
        <v>40</v>
      </c>
      <c r="G964" t="s">
        <v>115</v>
      </c>
      <c r="H964" s="3">
        <v>11140.66</v>
      </c>
      <c r="I964" s="4">
        <v>1</v>
      </c>
      <c r="J964" s="3">
        <v>1244.55</v>
      </c>
      <c r="K964" t="str">
        <f t="shared" si="30"/>
        <v>November</v>
      </c>
      <c r="L964">
        <f t="shared" si="31"/>
        <v>2024</v>
      </c>
    </row>
    <row r="965" spans="1:12" x14ac:dyDescent="0.3">
      <c r="A965" s="2">
        <v>45611</v>
      </c>
      <c r="B965" t="s">
        <v>101</v>
      </c>
      <c r="C965" t="s">
        <v>12</v>
      </c>
      <c r="D965" t="s">
        <v>156</v>
      </c>
      <c r="E965" t="s">
        <v>26</v>
      </c>
      <c r="F965" t="s">
        <v>53</v>
      </c>
      <c r="G965" t="s">
        <v>54</v>
      </c>
      <c r="H965" s="3">
        <v>40352.81</v>
      </c>
      <c r="I965" s="4">
        <v>1</v>
      </c>
      <c r="J965" s="3">
        <v>3447.88</v>
      </c>
      <c r="K965" t="str">
        <f t="shared" si="30"/>
        <v>November</v>
      </c>
      <c r="L965">
        <f t="shared" si="31"/>
        <v>2024</v>
      </c>
    </row>
    <row r="966" spans="1:12" x14ac:dyDescent="0.3">
      <c r="A966" s="2">
        <v>45612</v>
      </c>
      <c r="B966" t="s">
        <v>113</v>
      </c>
      <c r="C966" t="s">
        <v>62</v>
      </c>
      <c r="D966" t="s">
        <v>156</v>
      </c>
      <c r="E966" t="s">
        <v>13</v>
      </c>
      <c r="F966" t="s">
        <v>14</v>
      </c>
      <c r="G966" t="s">
        <v>70</v>
      </c>
      <c r="H966" s="3">
        <v>2539.31</v>
      </c>
      <c r="I966" s="4">
        <v>1</v>
      </c>
      <c r="J966" s="3">
        <v>372.76</v>
      </c>
      <c r="K966" t="str">
        <f t="shared" si="30"/>
        <v>November</v>
      </c>
      <c r="L966">
        <f t="shared" si="31"/>
        <v>2024</v>
      </c>
    </row>
    <row r="967" spans="1:12" x14ac:dyDescent="0.3">
      <c r="A967" s="2">
        <v>45612</v>
      </c>
      <c r="B967" t="s">
        <v>113</v>
      </c>
      <c r="C967" t="s">
        <v>22</v>
      </c>
      <c r="D967" t="s">
        <v>156</v>
      </c>
      <c r="E967" t="s">
        <v>42</v>
      </c>
      <c r="F967" t="s">
        <v>90</v>
      </c>
      <c r="G967" t="s">
        <v>120</v>
      </c>
      <c r="H967" s="3">
        <v>5254.41</v>
      </c>
      <c r="I967" s="4">
        <v>1</v>
      </c>
      <c r="J967" s="3">
        <v>1230</v>
      </c>
      <c r="K967" t="str">
        <f t="shared" si="30"/>
        <v>November</v>
      </c>
      <c r="L967">
        <f t="shared" si="31"/>
        <v>2024</v>
      </c>
    </row>
    <row r="968" spans="1:12" x14ac:dyDescent="0.3">
      <c r="A968" s="2">
        <v>45613</v>
      </c>
      <c r="B968" t="s">
        <v>67</v>
      </c>
      <c r="C968" t="s">
        <v>49</v>
      </c>
      <c r="D968" t="s">
        <v>156</v>
      </c>
      <c r="E968" t="s">
        <v>35</v>
      </c>
      <c r="F968" t="s">
        <v>63</v>
      </c>
      <c r="G968" t="s">
        <v>114</v>
      </c>
      <c r="H968" s="3">
        <v>26076.5</v>
      </c>
      <c r="I968" s="4">
        <v>1</v>
      </c>
      <c r="J968" s="3">
        <v>3073.39</v>
      </c>
      <c r="K968" t="str">
        <f t="shared" si="30"/>
        <v>November</v>
      </c>
      <c r="L968">
        <f t="shared" si="31"/>
        <v>2024</v>
      </c>
    </row>
    <row r="969" spans="1:12" x14ac:dyDescent="0.3">
      <c r="A969" s="2">
        <v>45613</v>
      </c>
      <c r="B969" t="s">
        <v>71</v>
      </c>
      <c r="C969" t="s">
        <v>58</v>
      </c>
      <c r="D969" t="s">
        <v>156</v>
      </c>
      <c r="E969" t="s">
        <v>42</v>
      </c>
      <c r="F969" t="s">
        <v>90</v>
      </c>
      <c r="G969" t="s">
        <v>120</v>
      </c>
      <c r="H969" s="3">
        <v>10071.01</v>
      </c>
      <c r="I969" s="4">
        <v>2</v>
      </c>
      <c r="J969" s="3">
        <v>1061.18</v>
      </c>
      <c r="K969" t="str">
        <f t="shared" si="30"/>
        <v>November</v>
      </c>
      <c r="L969">
        <f t="shared" si="31"/>
        <v>2024</v>
      </c>
    </row>
    <row r="970" spans="1:12" x14ac:dyDescent="0.3">
      <c r="A970" s="2">
        <v>45615</v>
      </c>
      <c r="B970" t="s">
        <v>109</v>
      </c>
      <c r="C970" t="s">
        <v>58</v>
      </c>
      <c r="D970" t="s">
        <v>156</v>
      </c>
      <c r="E970" t="s">
        <v>35</v>
      </c>
      <c r="F970" t="s">
        <v>50</v>
      </c>
      <c r="G970" t="s">
        <v>118</v>
      </c>
      <c r="H970" s="3">
        <v>6827.41</v>
      </c>
      <c r="I970" s="4">
        <v>1</v>
      </c>
      <c r="J970" s="3">
        <v>-279.37</v>
      </c>
      <c r="K970" t="str">
        <f t="shared" si="30"/>
        <v>November</v>
      </c>
      <c r="L970">
        <f t="shared" si="31"/>
        <v>2024</v>
      </c>
    </row>
    <row r="971" spans="1:12" x14ac:dyDescent="0.3">
      <c r="A971" s="2">
        <v>45615</v>
      </c>
      <c r="B971" t="s">
        <v>83</v>
      </c>
      <c r="C971" t="s">
        <v>56</v>
      </c>
      <c r="D971" t="s">
        <v>156</v>
      </c>
      <c r="E971" t="s">
        <v>18</v>
      </c>
      <c r="F971" t="s">
        <v>19</v>
      </c>
      <c r="G971" t="s">
        <v>72</v>
      </c>
      <c r="H971" s="3">
        <v>55289.39</v>
      </c>
      <c r="I971" s="4">
        <v>1</v>
      </c>
      <c r="J971" s="3">
        <v>6270.24</v>
      </c>
      <c r="K971" t="str">
        <f t="shared" si="30"/>
        <v>November</v>
      </c>
      <c r="L971">
        <f t="shared" si="31"/>
        <v>2024</v>
      </c>
    </row>
    <row r="972" spans="1:12" x14ac:dyDescent="0.3">
      <c r="A972" s="2">
        <v>45616</v>
      </c>
      <c r="B972" t="s">
        <v>95</v>
      </c>
      <c r="C972" t="s">
        <v>46</v>
      </c>
      <c r="D972" t="s">
        <v>156</v>
      </c>
      <c r="E972" t="s">
        <v>42</v>
      </c>
      <c r="F972" t="s">
        <v>90</v>
      </c>
      <c r="G972" t="s">
        <v>120</v>
      </c>
      <c r="H972" s="3">
        <v>5201.28</v>
      </c>
      <c r="I972" s="4">
        <v>1</v>
      </c>
      <c r="J972" s="3">
        <v>778.6</v>
      </c>
      <c r="K972" t="str">
        <f t="shared" si="30"/>
        <v>November</v>
      </c>
      <c r="L972">
        <f t="shared" si="31"/>
        <v>2024</v>
      </c>
    </row>
    <row r="973" spans="1:12" x14ac:dyDescent="0.3">
      <c r="A973" s="2">
        <v>45617</v>
      </c>
      <c r="B973" t="s">
        <v>74</v>
      </c>
      <c r="C973" t="s">
        <v>22</v>
      </c>
      <c r="D973" t="s">
        <v>156</v>
      </c>
      <c r="E973" t="s">
        <v>26</v>
      </c>
      <c r="F973" t="s">
        <v>27</v>
      </c>
      <c r="G973" t="s">
        <v>94</v>
      </c>
      <c r="H973" s="3">
        <v>35576.03</v>
      </c>
      <c r="I973" s="4">
        <v>3</v>
      </c>
      <c r="J973" s="3">
        <v>4798.8500000000004</v>
      </c>
      <c r="K973" t="str">
        <f t="shared" si="30"/>
        <v>November</v>
      </c>
      <c r="L973">
        <f t="shared" si="31"/>
        <v>2024</v>
      </c>
    </row>
    <row r="974" spans="1:12" x14ac:dyDescent="0.3">
      <c r="A974" s="2">
        <v>45620</v>
      </c>
      <c r="B974" t="s">
        <v>93</v>
      </c>
      <c r="C974" t="s">
        <v>69</v>
      </c>
      <c r="D974" t="s">
        <v>156</v>
      </c>
      <c r="E974" t="s">
        <v>13</v>
      </c>
      <c r="F974" t="s">
        <v>23</v>
      </c>
      <c r="G974" t="s">
        <v>47</v>
      </c>
      <c r="H974" s="3">
        <v>134801.22</v>
      </c>
      <c r="I974" s="4">
        <v>2</v>
      </c>
      <c r="J974" s="3">
        <v>13478.69</v>
      </c>
      <c r="K974" t="str">
        <f t="shared" si="30"/>
        <v>November</v>
      </c>
      <c r="L974">
        <f t="shared" si="31"/>
        <v>2024</v>
      </c>
    </row>
    <row r="975" spans="1:12" x14ac:dyDescent="0.3">
      <c r="A975" s="2">
        <v>45622</v>
      </c>
      <c r="B975" t="s">
        <v>32</v>
      </c>
      <c r="C975" t="s">
        <v>46</v>
      </c>
      <c r="D975" t="s">
        <v>156</v>
      </c>
      <c r="E975" t="s">
        <v>18</v>
      </c>
      <c r="F975" t="s">
        <v>40</v>
      </c>
      <c r="G975" t="s">
        <v>41</v>
      </c>
      <c r="H975" s="3">
        <v>16817.919999999998</v>
      </c>
      <c r="I975" s="4">
        <v>1</v>
      </c>
      <c r="J975" s="3">
        <v>2815.5</v>
      </c>
      <c r="K975" t="str">
        <f t="shared" si="30"/>
        <v>November</v>
      </c>
      <c r="L975">
        <f t="shared" si="31"/>
        <v>2024</v>
      </c>
    </row>
    <row r="976" spans="1:12" x14ac:dyDescent="0.3">
      <c r="A976" s="2">
        <v>45622</v>
      </c>
      <c r="B976" t="s">
        <v>11</v>
      </c>
      <c r="C976" t="s">
        <v>68</v>
      </c>
      <c r="D976" t="s">
        <v>156</v>
      </c>
      <c r="E976" t="s">
        <v>35</v>
      </c>
      <c r="F976" t="s">
        <v>50</v>
      </c>
      <c r="G976" t="s">
        <v>119</v>
      </c>
      <c r="H976" s="3">
        <v>2986.45</v>
      </c>
      <c r="I976" s="4">
        <v>1</v>
      </c>
      <c r="J976" s="3">
        <v>520.37</v>
      </c>
      <c r="K976" t="str">
        <f t="shared" si="30"/>
        <v>November</v>
      </c>
      <c r="L976">
        <f t="shared" si="31"/>
        <v>2024</v>
      </c>
    </row>
    <row r="977" spans="1:12" x14ac:dyDescent="0.3">
      <c r="A977" s="2">
        <v>45623</v>
      </c>
      <c r="B977" t="s">
        <v>113</v>
      </c>
      <c r="C977" t="s">
        <v>56</v>
      </c>
      <c r="D977" t="s">
        <v>156</v>
      </c>
      <c r="E977" t="s">
        <v>35</v>
      </c>
      <c r="F977" t="s">
        <v>75</v>
      </c>
      <c r="G977" t="s">
        <v>107</v>
      </c>
      <c r="H977" s="3">
        <v>35098.58</v>
      </c>
      <c r="I977" s="4">
        <v>1</v>
      </c>
      <c r="J977" s="3">
        <v>6882.89</v>
      </c>
      <c r="K977" t="str">
        <f t="shared" si="30"/>
        <v>November</v>
      </c>
      <c r="L977">
        <f t="shared" si="31"/>
        <v>2024</v>
      </c>
    </row>
    <row r="978" spans="1:12" x14ac:dyDescent="0.3">
      <c r="A978" s="2">
        <v>45624</v>
      </c>
      <c r="B978" t="s">
        <v>103</v>
      </c>
      <c r="C978" t="s">
        <v>56</v>
      </c>
      <c r="D978" t="s">
        <v>156</v>
      </c>
      <c r="E978" t="s">
        <v>42</v>
      </c>
      <c r="F978" t="s">
        <v>43</v>
      </c>
      <c r="G978" t="s">
        <v>89</v>
      </c>
      <c r="H978" s="3">
        <v>65669.5</v>
      </c>
      <c r="I978" s="4">
        <v>2</v>
      </c>
      <c r="J978" s="3">
        <v>12948.62</v>
      </c>
      <c r="K978" t="str">
        <f t="shared" si="30"/>
        <v>November</v>
      </c>
      <c r="L978">
        <f t="shared" si="31"/>
        <v>2024</v>
      </c>
    </row>
    <row r="979" spans="1:12" x14ac:dyDescent="0.3">
      <c r="A979" s="2">
        <v>45626</v>
      </c>
      <c r="B979" t="s">
        <v>83</v>
      </c>
      <c r="C979" t="s">
        <v>56</v>
      </c>
      <c r="D979" t="s">
        <v>156</v>
      </c>
      <c r="E979" t="s">
        <v>26</v>
      </c>
      <c r="F979" t="s">
        <v>53</v>
      </c>
      <c r="G979" t="s">
        <v>100</v>
      </c>
      <c r="H979" s="3">
        <v>82312.42</v>
      </c>
      <c r="I979" s="4">
        <v>1</v>
      </c>
      <c r="J979" s="3">
        <v>8719.5</v>
      </c>
      <c r="K979" t="str">
        <f t="shared" si="30"/>
        <v>November</v>
      </c>
      <c r="L979">
        <f t="shared" si="31"/>
        <v>2024</v>
      </c>
    </row>
    <row r="980" spans="1:12" x14ac:dyDescent="0.3">
      <c r="A980" s="2">
        <v>45627</v>
      </c>
      <c r="B980" t="s">
        <v>113</v>
      </c>
      <c r="C980" t="s">
        <v>17</v>
      </c>
      <c r="D980" t="s">
        <v>156</v>
      </c>
      <c r="E980" t="s">
        <v>26</v>
      </c>
      <c r="F980" t="s">
        <v>27</v>
      </c>
      <c r="G980" t="s">
        <v>94</v>
      </c>
      <c r="H980" s="3">
        <v>10906.46</v>
      </c>
      <c r="I980" s="4">
        <v>1</v>
      </c>
      <c r="J980" s="3">
        <v>1165.98</v>
      </c>
      <c r="K980" t="str">
        <f t="shared" si="30"/>
        <v>December</v>
      </c>
      <c r="L980">
        <f t="shared" si="31"/>
        <v>2024</v>
      </c>
    </row>
    <row r="981" spans="1:12" x14ac:dyDescent="0.3">
      <c r="A981" s="2">
        <v>45627</v>
      </c>
      <c r="B981" t="s">
        <v>86</v>
      </c>
      <c r="C981" t="s">
        <v>46</v>
      </c>
      <c r="D981" t="s">
        <v>156</v>
      </c>
      <c r="E981" t="s">
        <v>26</v>
      </c>
      <c r="F981" t="s">
        <v>27</v>
      </c>
      <c r="G981" t="s">
        <v>31</v>
      </c>
      <c r="H981" s="3">
        <v>19617.45</v>
      </c>
      <c r="I981" s="4">
        <v>2</v>
      </c>
      <c r="J981" s="3">
        <v>1689.17</v>
      </c>
      <c r="K981" t="str">
        <f t="shared" si="30"/>
        <v>December</v>
      </c>
      <c r="L981">
        <f t="shared" si="31"/>
        <v>2024</v>
      </c>
    </row>
    <row r="982" spans="1:12" x14ac:dyDescent="0.3">
      <c r="A982" s="2">
        <v>45627</v>
      </c>
      <c r="B982" t="s">
        <v>109</v>
      </c>
      <c r="C982" t="s">
        <v>46</v>
      </c>
      <c r="D982" t="s">
        <v>156</v>
      </c>
      <c r="E982" t="s">
        <v>13</v>
      </c>
      <c r="F982" t="s">
        <v>14</v>
      </c>
      <c r="G982" t="s">
        <v>57</v>
      </c>
      <c r="H982" s="3">
        <v>1641.65</v>
      </c>
      <c r="I982" s="4">
        <v>1</v>
      </c>
      <c r="J982" s="3">
        <v>210.92</v>
      </c>
      <c r="K982" t="str">
        <f t="shared" si="30"/>
        <v>December</v>
      </c>
      <c r="L982">
        <f t="shared" si="31"/>
        <v>2024</v>
      </c>
    </row>
    <row r="983" spans="1:12" x14ac:dyDescent="0.3">
      <c r="A983" s="2">
        <v>45627</v>
      </c>
      <c r="B983" t="s">
        <v>16</v>
      </c>
      <c r="C983" t="s">
        <v>17</v>
      </c>
      <c r="D983" t="s">
        <v>156</v>
      </c>
      <c r="E983" t="s">
        <v>42</v>
      </c>
      <c r="F983" t="s">
        <v>43</v>
      </c>
      <c r="G983" t="s">
        <v>87</v>
      </c>
      <c r="H983" s="3">
        <v>23087.759999999998</v>
      </c>
      <c r="I983" s="4">
        <v>2</v>
      </c>
      <c r="J983" s="3">
        <v>3014.24</v>
      </c>
      <c r="K983" t="str">
        <f t="shared" si="30"/>
        <v>December</v>
      </c>
      <c r="L983">
        <f t="shared" si="31"/>
        <v>2024</v>
      </c>
    </row>
    <row r="984" spans="1:12" x14ac:dyDescent="0.3">
      <c r="A984" s="2">
        <v>45628</v>
      </c>
      <c r="B984" t="s">
        <v>83</v>
      </c>
      <c r="C984" t="s">
        <v>58</v>
      </c>
      <c r="D984" t="s">
        <v>156</v>
      </c>
      <c r="E984" t="s">
        <v>42</v>
      </c>
      <c r="F984" t="s">
        <v>90</v>
      </c>
      <c r="G984" t="s">
        <v>91</v>
      </c>
      <c r="H984" s="3">
        <v>1951.43</v>
      </c>
      <c r="I984" s="4">
        <v>1</v>
      </c>
      <c r="J984" s="3">
        <v>199.67</v>
      </c>
      <c r="K984" t="str">
        <f t="shared" si="30"/>
        <v>December</v>
      </c>
      <c r="L984">
        <f t="shared" si="31"/>
        <v>2024</v>
      </c>
    </row>
    <row r="985" spans="1:12" x14ac:dyDescent="0.3">
      <c r="A985" s="2">
        <v>45628</v>
      </c>
      <c r="B985" t="s">
        <v>52</v>
      </c>
      <c r="C985" t="s">
        <v>12</v>
      </c>
      <c r="D985" t="s">
        <v>156</v>
      </c>
      <c r="E985" t="s">
        <v>35</v>
      </c>
      <c r="F985" t="s">
        <v>75</v>
      </c>
      <c r="G985" t="s">
        <v>76</v>
      </c>
      <c r="H985" s="3">
        <v>84770.62</v>
      </c>
      <c r="I985" s="4">
        <v>2</v>
      </c>
      <c r="J985" s="3">
        <v>8924.2199999999993</v>
      </c>
      <c r="K985" t="str">
        <f t="shared" si="30"/>
        <v>December</v>
      </c>
      <c r="L985">
        <f t="shared" si="31"/>
        <v>2024</v>
      </c>
    </row>
    <row r="986" spans="1:12" x14ac:dyDescent="0.3">
      <c r="A986" s="2">
        <v>45628</v>
      </c>
      <c r="B986" t="s">
        <v>21</v>
      </c>
      <c r="C986" t="s">
        <v>69</v>
      </c>
      <c r="D986" t="s">
        <v>156</v>
      </c>
      <c r="E986" t="s">
        <v>35</v>
      </c>
      <c r="F986" t="s">
        <v>75</v>
      </c>
      <c r="G986" t="s">
        <v>110</v>
      </c>
      <c r="H986" s="3">
        <v>89753.88</v>
      </c>
      <c r="I986" s="4">
        <v>2</v>
      </c>
      <c r="J986" s="3">
        <v>13582.58</v>
      </c>
      <c r="K986" t="str">
        <f t="shared" si="30"/>
        <v>December</v>
      </c>
      <c r="L986">
        <f t="shared" si="31"/>
        <v>2024</v>
      </c>
    </row>
    <row r="987" spans="1:12" x14ac:dyDescent="0.3">
      <c r="A987" s="2">
        <v>45628</v>
      </c>
      <c r="B987" t="s">
        <v>71</v>
      </c>
      <c r="C987" t="s">
        <v>17</v>
      </c>
      <c r="D987" t="s">
        <v>156</v>
      </c>
      <c r="E987" t="s">
        <v>18</v>
      </c>
      <c r="F987" t="s">
        <v>40</v>
      </c>
      <c r="G987" t="s">
        <v>115</v>
      </c>
      <c r="H987" s="3">
        <v>11700.19</v>
      </c>
      <c r="I987" s="4">
        <v>1</v>
      </c>
      <c r="J987" s="3">
        <v>1696.32</v>
      </c>
      <c r="K987" t="str">
        <f t="shared" si="30"/>
        <v>December</v>
      </c>
      <c r="L987">
        <f t="shared" si="31"/>
        <v>2024</v>
      </c>
    </row>
    <row r="988" spans="1:12" x14ac:dyDescent="0.3">
      <c r="A988" s="2">
        <v>45628</v>
      </c>
      <c r="B988" t="s">
        <v>92</v>
      </c>
      <c r="C988" t="s">
        <v>17</v>
      </c>
      <c r="D988" t="s">
        <v>156</v>
      </c>
      <c r="E988" t="s">
        <v>18</v>
      </c>
      <c r="F988" t="s">
        <v>19</v>
      </c>
      <c r="G988" t="s">
        <v>20</v>
      </c>
      <c r="H988" s="3">
        <v>67678.98</v>
      </c>
      <c r="I988" s="4">
        <v>1</v>
      </c>
      <c r="J988" s="3">
        <v>8414.65</v>
      </c>
      <c r="K988" t="str">
        <f t="shared" si="30"/>
        <v>December</v>
      </c>
      <c r="L988">
        <f t="shared" si="31"/>
        <v>2024</v>
      </c>
    </row>
    <row r="989" spans="1:12" x14ac:dyDescent="0.3">
      <c r="A989" s="2">
        <v>45630</v>
      </c>
      <c r="B989" t="s">
        <v>65</v>
      </c>
      <c r="C989" t="s">
        <v>68</v>
      </c>
      <c r="D989" t="s">
        <v>156</v>
      </c>
      <c r="E989" t="s">
        <v>26</v>
      </c>
      <c r="F989" t="s">
        <v>27</v>
      </c>
      <c r="G989" t="s">
        <v>28</v>
      </c>
      <c r="H989" s="3">
        <v>24474.13</v>
      </c>
      <c r="I989" s="4">
        <v>1</v>
      </c>
      <c r="J989" s="3">
        <v>4202.54</v>
      </c>
      <c r="K989" t="str">
        <f t="shared" si="30"/>
        <v>December</v>
      </c>
      <c r="L989">
        <f t="shared" si="31"/>
        <v>2024</v>
      </c>
    </row>
    <row r="990" spans="1:12" x14ac:dyDescent="0.3">
      <c r="A990" s="2">
        <v>45631</v>
      </c>
      <c r="B990" t="s">
        <v>116</v>
      </c>
      <c r="C990" t="s">
        <v>62</v>
      </c>
      <c r="D990" t="s">
        <v>156</v>
      </c>
      <c r="E990" t="s">
        <v>13</v>
      </c>
      <c r="F990" t="s">
        <v>14</v>
      </c>
      <c r="G990" t="s">
        <v>111</v>
      </c>
      <c r="H990" s="3">
        <v>1774.46</v>
      </c>
      <c r="I990" s="4">
        <v>1</v>
      </c>
      <c r="J990" s="3">
        <v>214.65</v>
      </c>
      <c r="K990" t="str">
        <f t="shared" si="30"/>
        <v>December</v>
      </c>
      <c r="L990">
        <f t="shared" si="31"/>
        <v>2024</v>
      </c>
    </row>
    <row r="991" spans="1:12" x14ac:dyDescent="0.3">
      <c r="A991" s="2">
        <v>45632</v>
      </c>
      <c r="B991" t="s">
        <v>92</v>
      </c>
      <c r="C991" t="s">
        <v>69</v>
      </c>
      <c r="D991" t="s">
        <v>156</v>
      </c>
      <c r="E991" t="s">
        <v>35</v>
      </c>
      <c r="F991" t="s">
        <v>36</v>
      </c>
      <c r="G991" t="s">
        <v>84</v>
      </c>
      <c r="H991" s="3">
        <v>30666.93</v>
      </c>
      <c r="I991" s="4">
        <v>1</v>
      </c>
      <c r="J991" s="3">
        <v>5335.22</v>
      </c>
      <c r="K991" t="str">
        <f t="shared" si="30"/>
        <v>December</v>
      </c>
      <c r="L991">
        <f t="shared" si="31"/>
        <v>2024</v>
      </c>
    </row>
    <row r="992" spans="1:12" x14ac:dyDescent="0.3">
      <c r="A992" s="2">
        <v>45632</v>
      </c>
      <c r="B992" t="s">
        <v>113</v>
      </c>
      <c r="C992" t="s">
        <v>46</v>
      </c>
      <c r="D992" t="s">
        <v>156</v>
      </c>
      <c r="E992" t="s">
        <v>13</v>
      </c>
      <c r="F992" t="s">
        <v>14</v>
      </c>
      <c r="G992" t="s">
        <v>88</v>
      </c>
      <c r="H992" s="3">
        <v>4446.4799999999996</v>
      </c>
      <c r="I992" s="4">
        <v>3</v>
      </c>
      <c r="J992" s="3">
        <v>627.38</v>
      </c>
      <c r="K992" t="str">
        <f t="shared" si="30"/>
        <v>December</v>
      </c>
      <c r="L992">
        <f t="shared" si="31"/>
        <v>2024</v>
      </c>
    </row>
    <row r="993" spans="1:12" x14ac:dyDescent="0.3">
      <c r="A993" s="2">
        <v>45633</v>
      </c>
      <c r="B993" t="s">
        <v>60</v>
      </c>
      <c r="C993" t="s">
        <v>49</v>
      </c>
      <c r="D993" t="s">
        <v>156</v>
      </c>
      <c r="E993" t="s">
        <v>35</v>
      </c>
      <c r="F993" t="s">
        <v>63</v>
      </c>
      <c r="G993" t="s">
        <v>114</v>
      </c>
      <c r="H993" s="3">
        <v>82846.02</v>
      </c>
      <c r="I993" s="4">
        <v>3</v>
      </c>
      <c r="J993" s="3">
        <v>8914.14</v>
      </c>
      <c r="K993" t="str">
        <f t="shared" si="30"/>
        <v>December</v>
      </c>
      <c r="L993">
        <f t="shared" si="31"/>
        <v>2024</v>
      </c>
    </row>
    <row r="994" spans="1:12" x14ac:dyDescent="0.3">
      <c r="A994" s="2">
        <v>45633</v>
      </c>
      <c r="B994" t="s">
        <v>25</v>
      </c>
      <c r="C994" t="s">
        <v>39</v>
      </c>
      <c r="D994" t="s">
        <v>156</v>
      </c>
      <c r="E994" t="s">
        <v>18</v>
      </c>
      <c r="F994" t="s">
        <v>19</v>
      </c>
      <c r="G994" t="s">
        <v>72</v>
      </c>
      <c r="H994" s="3">
        <v>60325.4</v>
      </c>
      <c r="I994" s="4">
        <v>1</v>
      </c>
      <c r="J994" s="3">
        <v>6040.79</v>
      </c>
      <c r="K994" t="str">
        <f t="shared" si="30"/>
        <v>December</v>
      </c>
      <c r="L994">
        <f t="shared" si="31"/>
        <v>2024</v>
      </c>
    </row>
    <row r="995" spans="1:12" x14ac:dyDescent="0.3">
      <c r="A995" s="2">
        <v>45634</v>
      </c>
      <c r="B995" t="s">
        <v>113</v>
      </c>
      <c r="C995" t="s">
        <v>81</v>
      </c>
      <c r="D995" t="s">
        <v>156</v>
      </c>
      <c r="E995" t="s">
        <v>42</v>
      </c>
      <c r="F995" t="s">
        <v>43</v>
      </c>
      <c r="G995" t="s">
        <v>89</v>
      </c>
      <c r="H995" s="3">
        <v>33003.94</v>
      </c>
      <c r="I995" s="4">
        <v>1</v>
      </c>
      <c r="J995" s="3">
        <v>-1773.64</v>
      </c>
      <c r="K995" t="str">
        <f t="shared" si="30"/>
        <v>December</v>
      </c>
      <c r="L995">
        <f t="shared" si="31"/>
        <v>2024</v>
      </c>
    </row>
    <row r="996" spans="1:12" x14ac:dyDescent="0.3">
      <c r="A996" s="2">
        <v>45635</v>
      </c>
      <c r="B996" t="s">
        <v>80</v>
      </c>
      <c r="C996" t="s">
        <v>22</v>
      </c>
      <c r="D996" t="s">
        <v>156</v>
      </c>
      <c r="E996" t="s">
        <v>18</v>
      </c>
      <c r="F996" t="s">
        <v>19</v>
      </c>
      <c r="G996" t="s">
        <v>20</v>
      </c>
      <c r="H996" s="3">
        <v>56285.98</v>
      </c>
      <c r="I996" s="4">
        <v>1</v>
      </c>
      <c r="J996" s="3">
        <v>5484.79</v>
      </c>
      <c r="K996" t="str">
        <f t="shared" si="30"/>
        <v>December</v>
      </c>
      <c r="L996">
        <f t="shared" si="31"/>
        <v>2024</v>
      </c>
    </row>
    <row r="997" spans="1:12" x14ac:dyDescent="0.3">
      <c r="A997" s="2">
        <v>45635</v>
      </c>
      <c r="B997" t="s">
        <v>48</v>
      </c>
      <c r="C997" t="s">
        <v>30</v>
      </c>
      <c r="D997" t="s">
        <v>156</v>
      </c>
      <c r="E997" t="s">
        <v>42</v>
      </c>
      <c r="F997" t="s">
        <v>43</v>
      </c>
      <c r="G997" t="s">
        <v>89</v>
      </c>
      <c r="H997" s="3">
        <v>65025.49</v>
      </c>
      <c r="I997" s="4">
        <v>2</v>
      </c>
      <c r="J997" s="3">
        <v>12842.79</v>
      </c>
      <c r="K997" t="str">
        <f t="shared" si="30"/>
        <v>December</v>
      </c>
      <c r="L997">
        <f t="shared" si="31"/>
        <v>2024</v>
      </c>
    </row>
    <row r="998" spans="1:12" x14ac:dyDescent="0.3">
      <c r="A998" s="2">
        <v>45636</v>
      </c>
      <c r="B998" t="s">
        <v>29</v>
      </c>
      <c r="C998" t="s">
        <v>68</v>
      </c>
      <c r="D998" t="s">
        <v>156</v>
      </c>
      <c r="E998" t="s">
        <v>35</v>
      </c>
      <c r="F998" t="s">
        <v>63</v>
      </c>
      <c r="G998" t="s">
        <v>64</v>
      </c>
      <c r="H998" s="3">
        <v>52587.12</v>
      </c>
      <c r="I998" s="4">
        <v>2</v>
      </c>
      <c r="J998" s="3">
        <v>10211.299999999999</v>
      </c>
      <c r="K998" t="str">
        <f t="shared" si="30"/>
        <v>December</v>
      </c>
      <c r="L998">
        <f t="shared" si="31"/>
        <v>2024</v>
      </c>
    </row>
    <row r="999" spans="1:12" x14ac:dyDescent="0.3">
      <c r="A999" s="2">
        <v>45637</v>
      </c>
      <c r="B999" t="s">
        <v>21</v>
      </c>
      <c r="C999" t="s">
        <v>30</v>
      </c>
      <c r="D999" t="s">
        <v>156</v>
      </c>
      <c r="E999" t="s">
        <v>13</v>
      </c>
      <c r="F999" t="s">
        <v>14</v>
      </c>
      <c r="G999" t="s">
        <v>88</v>
      </c>
      <c r="H999" s="3">
        <v>1458.47</v>
      </c>
      <c r="I999" s="4">
        <v>1</v>
      </c>
      <c r="J999" s="3">
        <v>214.4</v>
      </c>
      <c r="K999" t="str">
        <f t="shared" si="30"/>
        <v>December</v>
      </c>
      <c r="L999">
        <f t="shared" si="31"/>
        <v>2024</v>
      </c>
    </row>
    <row r="1000" spans="1:12" x14ac:dyDescent="0.3">
      <c r="A1000" s="2">
        <v>45638</v>
      </c>
      <c r="B1000" t="s">
        <v>29</v>
      </c>
      <c r="C1000" t="s">
        <v>22</v>
      </c>
      <c r="D1000" t="s">
        <v>156</v>
      </c>
      <c r="E1000" t="s">
        <v>35</v>
      </c>
      <c r="F1000" t="s">
        <v>36</v>
      </c>
      <c r="G1000" t="s">
        <v>37</v>
      </c>
      <c r="H1000" s="3">
        <v>54242.02</v>
      </c>
      <c r="I1000" s="4">
        <v>2</v>
      </c>
      <c r="J1000" s="3">
        <v>5216.34</v>
      </c>
      <c r="K1000" t="str">
        <f t="shared" si="30"/>
        <v>December</v>
      </c>
      <c r="L1000">
        <f t="shared" si="31"/>
        <v>2024</v>
      </c>
    </row>
    <row r="1001" spans="1:12" x14ac:dyDescent="0.3">
      <c r="A1001" s="2">
        <v>45638</v>
      </c>
      <c r="B1001" t="s">
        <v>116</v>
      </c>
      <c r="C1001" t="s">
        <v>62</v>
      </c>
      <c r="D1001" t="s">
        <v>156</v>
      </c>
      <c r="E1001" t="s">
        <v>35</v>
      </c>
      <c r="F1001" t="s">
        <v>63</v>
      </c>
      <c r="G1001" t="s">
        <v>64</v>
      </c>
      <c r="H1001" s="3">
        <v>29577.29</v>
      </c>
      <c r="I1001" s="4">
        <v>1</v>
      </c>
      <c r="J1001" s="3">
        <v>5671.74</v>
      </c>
      <c r="K1001" t="str">
        <f t="shared" si="30"/>
        <v>December</v>
      </c>
      <c r="L1001">
        <f t="shared" si="31"/>
        <v>2024</v>
      </c>
    </row>
    <row r="1002" spans="1:12" x14ac:dyDescent="0.3">
      <c r="A1002" s="2">
        <v>45639</v>
      </c>
      <c r="B1002" t="s">
        <v>38</v>
      </c>
      <c r="C1002" t="s">
        <v>61</v>
      </c>
      <c r="D1002" t="s">
        <v>156</v>
      </c>
      <c r="E1002" t="s">
        <v>42</v>
      </c>
      <c r="F1002" t="s">
        <v>43</v>
      </c>
      <c r="G1002" t="s">
        <v>44</v>
      </c>
      <c r="H1002" s="3">
        <v>12349.21</v>
      </c>
      <c r="I1002" s="4">
        <v>1</v>
      </c>
      <c r="J1002" s="3">
        <v>2678.24</v>
      </c>
      <c r="K1002" t="str">
        <f t="shared" si="30"/>
        <v>December</v>
      </c>
      <c r="L1002">
        <f t="shared" si="31"/>
        <v>2024</v>
      </c>
    </row>
    <row r="1003" spans="1:12" x14ac:dyDescent="0.3">
      <c r="A1003" s="2">
        <v>45639</v>
      </c>
      <c r="B1003" t="s">
        <v>73</v>
      </c>
      <c r="C1003" t="s">
        <v>56</v>
      </c>
      <c r="D1003" t="s">
        <v>156</v>
      </c>
      <c r="E1003" t="s">
        <v>18</v>
      </c>
      <c r="F1003" t="s">
        <v>19</v>
      </c>
      <c r="G1003" t="s">
        <v>106</v>
      </c>
      <c r="H1003" s="3">
        <v>367220.63</v>
      </c>
      <c r="I1003" s="4">
        <v>4</v>
      </c>
      <c r="J1003" s="3">
        <v>-8171.55</v>
      </c>
      <c r="K1003" t="str">
        <f t="shared" si="30"/>
        <v>December</v>
      </c>
      <c r="L1003">
        <f t="shared" si="31"/>
        <v>2024</v>
      </c>
    </row>
    <row r="1004" spans="1:12" x14ac:dyDescent="0.3">
      <c r="A1004" s="2">
        <v>45639</v>
      </c>
      <c r="B1004" t="s">
        <v>109</v>
      </c>
      <c r="C1004" t="s">
        <v>66</v>
      </c>
      <c r="D1004" t="s">
        <v>156</v>
      </c>
      <c r="E1004" t="s">
        <v>42</v>
      </c>
      <c r="F1004" t="s">
        <v>90</v>
      </c>
      <c r="G1004" t="s">
        <v>91</v>
      </c>
      <c r="H1004" s="3">
        <v>1808.22</v>
      </c>
      <c r="I1004" s="4">
        <v>1</v>
      </c>
      <c r="J1004" s="3">
        <v>205.04</v>
      </c>
      <c r="K1004" t="str">
        <f t="shared" si="30"/>
        <v>December</v>
      </c>
      <c r="L1004">
        <f t="shared" si="31"/>
        <v>2024</v>
      </c>
    </row>
    <row r="1005" spans="1:12" x14ac:dyDescent="0.3">
      <c r="A1005" s="2">
        <v>45640</v>
      </c>
      <c r="B1005" t="s">
        <v>34</v>
      </c>
      <c r="C1005" t="s">
        <v>46</v>
      </c>
      <c r="D1005" t="s">
        <v>156</v>
      </c>
      <c r="E1005" t="s">
        <v>26</v>
      </c>
      <c r="F1005" t="s">
        <v>53</v>
      </c>
      <c r="G1005" t="s">
        <v>54</v>
      </c>
      <c r="H1005" s="3">
        <v>110473.59</v>
      </c>
      <c r="I1005" s="4">
        <v>3</v>
      </c>
      <c r="J1005" s="3">
        <v>12437.89</v>
      </c>
      <c r="K1005" t="str">
        <f t="shared" si="30"/>
        <v>December</v>
      </c>
      <c r="L1005">
        <f t="shared" si="31"/>
        <v>2024</v>
      </c>
    </row>
    <row r="1006" spans="1:12" x14ac:dyDescent="0.3">
      <c r="A1006" s="2">
        <v>45640</v>
      </c>
      <c r="B1006" t="s">
        <v>80</v>
      </c>
      <c r="C1006" t="s">
        <v>69</v>
      </c>
      <c r="D1006" t="s">
        <v>156</v>
      </c>
      <c r="E1006" t="s">
        <v>35</v>
      </c>
      <c r="F1006" t="s">
        <v>75</v>
      </c>
      <c r="G1006" t="s">
        <v>107</v>
      </c>
      <c r="H1006" s="3">
        <v>36285.65</v>
      </c>
      <c r="I1006" s="4">
        <v>1</v>
      </c>
      <c r="J1006" s="3">
        <v>4749.24</v>
      </c>
      <c r="K1006" t="str">
        <f t="shared" si="30"/>
        <v>December</v>
      </c>
      <c r="L1006">
        <f t="shared" si="31"/>
        <v>2024</v>
      </c>
    </row>
    <row r="1007" spans="1:12" x14ac:dyDescent="0.3">
      <c r="A1007" s="2">
        <v>45640</v>
      </c>
      <c r="B1007" t="s">
        <v>92</v>
      </c>
      <c r="C1007" t="s">
        <v>56</v>
      </c>
      <c r="D1007" t="s">
        <v>156</v>
      </c>
      <c r="E1007" t="s">
        <v>26</v>
      </c>
      <c r="F1007" t="s">
        <v>27</v>
      </c>
      <c r="G1007" t="s">
        <v>28</v>
      </c>
      <c r="H1007" s="3">
        <v>22217.3</v>
      </c>
      <c r="I1007" s="4">
        <v>1</v>
      </c>
      <c r="J1007" s="3">
        <v>3421.15</v>
      </c>
      <c r="K1007" t="str">
        <f t="shared" si="30"/>
        <v>December</v>
      </c>
      <c r="L1007">
        <f t="shared" si="31"/>
        <v>2024</v>
      </c>
    </row>
    <row r="1008" spans="1:12" x14ac:dyDescent="0.3">
      <c r="A1008" s="2">
        <v>45641</v>
      </c>
      <c r="B1008" t="s">
        <v>67</v>
      </c>
      <c r="C1008" t="s">
        <v>12</v>
      </c>
      <c r="D1008" t="s">
        <v>156</v>
      </c>
      <c r="E1008" t="s">
        <v>26</v>
      </c>
      <c r="F1008" t="s">
        <v>27</v>
      </c>
      <c r="G1008" t="s">
        <v>94</v>
      </c>
      <c r="H1008" s="3">
        <v>22140.52</v>
      </c>
      <c r="I1008" s="4">
        <v>2</v>
      </c>
      <c r="J1008" s="3">
        <v>2650.56</v>
      </c>
      <c r="K1008" t="str">
        <f t="shared" si="30"/>
        <v>December</v>
      </c>
      <c r="L1008">
        <f t="shared" si="31"/>
        <v>2024</v>
      </c>
    </row>
    <row r="1009" spans="1:12" x14ac:dyDescent="0.3">
      <c r="A1009" s="2">
        <v>45644</v>
      </c>
      <c r="B1009" t="s">
        <v>95</v>
      </c>
      <c r="C1009" t="s">
        <v>49</v>
      </c>
      <c r="D1009" t="s">
        <v>156</v>
      </c>
      <c r="E1009" t="s">
        <v>42</v>
      </c>
      <c r="F1009" t="s">
        <v>90</v>
      </c>
      <c r="G1009" t="s">
        <v>97</v>
      </c>
      <c r="H1009" s="3">
        <v>2284.37</v>
      </c>
      <c r="I1009" s="4">
        <v>1</v>
      </c>
      <c r="J1009" s="3">
        <v>302.8</v>
      </c>
      <c r="K1009" t="str">
        <f t="shared" si="30"/>
        <v>December</v>
      </c>
      <c r="L1009">
        <f t="shared" si="31"/>
        <v>2024</v>
      </c>
    </row>
    <row r="1010" spans="1:12" x14ac:dyDescent="0.3">
      <c r="A1010" s="2">
        <v>45644</v>
      </c>
      <c r="B1010" t="s">
        <v>78</v>
      </c>
      <c r="C1010" t="s">
        <v>62</v>
      </c>
      <c r="D1010" t="s">
        <v>156</v>
      </c>
      <c r="E1010" t="s">
        <v>18</v>
      </c>
      <c r="F1010" t="s">
        <v>19</v>
      </c>
      <c r="G1010" t="s">
        <v>20</v>
      </c>
      <c r="H1010" s="3">
        <v>131787.81</v>
      </c>
      <c r="I1010" s="4">
        <v>2</v>
      </c>
      <c r="J1010" s="3">
        <v>13328.72</v>
      </c>
      <c r="K1010" t="str">
        <f t="shared" si="30"/>
        <v>December</v>
      </c>
      <c r="L1010">
        <f t="shared" si="31"/>
        <v>2024</v>
      </c>
    </row>
    <row r="1011" spans="1:12" x14ac:dyDescent="0.3">
      <c r="A1011" s="2">
        <v>45645</v>
      </c>
      <c r="B1011" t="s">
        <v>93</v>
      </c>
      <c r="C1011" t="s">
        <v>69</v>
      </c>
      <c r="D1011" t="s">
        <v>156</v>
      </c>
      <c r="E1011" t="s">
        <v>42</v>
      </c>
      <c r="F1011" t="s">
        <v>43</v>
      </c>
      <c r="G1011" t="s">
        <v>87</v>
      </c>
      <c r="H1011" s="3">
        <v>20607.73</v>
      </c>
      <c r="I1011" s="4">
        <v>2</v>
      </c>
      <c r="J1011" s="3">
        <v>4407.87</v>
      </c>
      <c r="K1011" t="str">
        <f t="shared" si="30"/>
        <v>December</v>
      </c>
      <c r="L1011">
        <f t="shared" si="31"/>
        <v>2024</v>
      </c>
    </row>
    <row r="1012" spans="1:12" x14ac:dyDescent="0.3">
      <c r="A1012" s="2">
        <v>45645</v>
      </c>
      <c r="B1012" t="s">
        <v>78</v>
      </c>
      <c r="C1012" t="s">
        <v>12</v>
      </c>
      <c r="D1012" t="s">
        <v>156</v>
      </c>
      <c r="E1012" t="s">
        <v>42</v>
      </c>
      <c r="F1012" t="s">
        <v>90</v>
      </c>
      <c r="G1012" t="s">
        <v>97</v>
      </c>
      <c r="H1012" s="3">
        <v>11836.84</v>
      </c>
      <c r="I1012" s="4">
        <v>5</v>
      </c>
      <c r="J1012" s="3">
        <v>2132.8000000000002</v>
      </c>
      <c r="K1012" t="str">
        <f t="shared" si="30"/>
        <v>December</v>
      </c>
      <c r="L1012">
        <f t="shared" si="31"/>
        <v>2024</v>
      </c>
    </row>
    <row r="1013" spans="1:12" x14ac:dyDescent="0.3">
      <c r="A1013" s="2">
        <v>45647</v>
      </c>
      <c r="B1013" t="s">
        <v>16</v>
      </c>
      <c r="C1013" t="s">
        <v>58</v>
      </c>
      <c r="D1013" t="s">
        <v>156</v>
      </c>
      <c r="E1013" t="s">
        <v>18</v>
      </c>
      <c r="F1013" t="s">
        <v>40</v>
      </c>
      <c r="G1013" t="s">
        <v>115</v>
      </c>
      <c r="H1013" s="3">
        <v>10433.32</v>
      </c>
      <c r="I1013" s="4">
        <v>1</v>
      </c>
      <c r="J1013" s="3">
        <v>1059.55</v>
      </c>
      <c r="K1013" t="str">
        <f t="shared" si="30"/>
        <v>December</v>
      </c>
      <c r="L1013">
        <f t="shared" si="31"/>
        <v>2024</v>
      </c>
    </row>
    <row r="1014" spans="1:12" x14ac:dyDescent="0.3">
      <c r="A1014" s="2">
        <v>45648</v>
      </c>
      <c r="B1014" t="s">
        <v>32</v>
      </c>
      <c r="C1014" t="s">
        <v>61</v>
      </c>
      <c r="D1014" t="s">
        <v>156</v>
      </c>
      <c r="E1014" t="s">
        <v>42</v>
      </c>
      <c r="F1014" t="s">
        <v>43</v>
      </c>
      <c r="G1014" t="s">
        <v>87</v>
      </c>
      <c r="H1014" s="3">
        <v>43312.33</v>
      </c>
      <c r="I1014" s="4">
        <v>4</v>
      </c>
      <c r="J1014" s="3">
        <v>-535.66999999999996</v>
      </c>
      <c r="K1014" t="str">
        <f t="shared" si="30"/>
        <v>December</v>
      </c>
      <c r="L1014">
        <f t="shared" si="31"/>
        <v>2024</v>
      </c>
    </row>
    <row r="1015" spans="1:12" x14ac:dyDescent="0.3">
      <c r="A1015" s="2">
        <v>45648</v>
      </c>
      <c r="B1015" t="s">
        <v>34</v>
      </c>
      <c r="C1015" t="s">
        <v>17</v>
      </c>
      <c r="D1015" t="s">
        <v>156</v>
      </c>
      <c r="E1015" t="s">
        <v>42</v>
      </c>
      <c r="F1015" t="s">
        <v>90</v>
      </c>
      <c r="G1015" t="s">
        <v>120</v>
      </c>
      <c r="H1015" s="3">
        <v>5113.8</v>
      </c>
      <c r="I1015" s="4">
        <v>1</v>
      </c>
      <c r="J1015" s="3">
        <v>681.13</v>
      </c>
      <c r="K1015" t="str">
        <f t="shared" si="30"/>
        <v>December</v>
      </c>
      <c r="L1015">
        <f t="shared" si="31"/>
        <v>2024</v>
      </c>
    </row>
    <row r="1016" spans="1:12" x14ac:dyDescent="0.3">
      <c r="A1016" s="2">
        <v>45649</v>
      </c>
      <c r="B1016" t="s">
        <v>11</v>
      </c>
      <c r="C1016" t="s">
        <v>46</v>
      </c>
      <c r="D1016" t="s">
        <v>156</v>
      </c>
      <c r="E1016" t="s">
        <v>35</v>
      </c>
      <c r="F1016" t="s">
        <v>36</v>
      </c>
      <c r="G1016" t="s">
        <v>84</v>
      </c>
      <c r="H1016" s="3">
        <v>57951.34</v>
      </c>
      <c r="I1016" s="4">
        <v>2</v>
      </c>
      <c r="J1016" s="3">
        <v>7143.8</v>
      </c>
      <c r="K1016" t="str">
        <f t="shared" si="30"/>
        <v>December</v>
      </c>
      <c r="L1016">
        <f t="shared" si="31"/>
        <v>2024</v>
      </c>
    </row>
    <row r="1017" spans="1:12" x14ac:dyDescent="0.3">
      <c r="A1017" s="2">
        <v>45649</v>
      </c>
      <c r="B1017" t="s">
        <v>29</v>
      </c>
      <c r="C1017" t="s">
        <v>12</v>
      </c>
      <c r="D1017" t="s">
        <v>156</v>
      </c>
      <c r="E1017" t="s">
        <v>18</v>
      </c>
      <c r="F1017" t="s">
        <v>19</v>
      </c>
      <c r="G1017" t="s">
        <v>72</v>
      </c>
      <c r="H1017" s="3">
        <v>115997.46</v>
      </c>
      <c r="I1017" s="4">
        <v>2</v>
      </c>
      <c r="J1017" s="3">
        <v>11646.97</v>
      </c>
      <c r="K1017" t="str">
        <f t="shared" si="30"/>
        <v>December</v>
      </c>
      <c r="L1017">
        <f t="shared" si="31"/>
        <v>2024</v>
      </c>
    </row>
    <row r="1018" spans="1:12" x14ac:dyDescent="0.3">
      <c r="A1018" s="2">
        <v>45650</v>
      </c>
      <c r="B1018" t="s">
        <v>52</v>
      </c>
      <c r="C1018" t="s">
        <v>12</v>
      </c>
      <c r="D1018" t="s">
        <v>156</v>
      </c>
      <c r="E1018" t="s">
        <v>26</v>
      </c>
      <c r="F1018" t="s">
        <v>27</v>
      </c>
      <c r="G1018" t="s">
        <v>28</v>
      </c>
      <c r="H1018" s="3">
        <v>41066.65</v>
      </c>
      <c r="I1018" s="4">
        <v>2</v>
      </c>
      <c r="J1018" s="3">
        <v>4207.37</v>
      </c>
      <c r="K1018" t="str">
        <f t="shared" si="30"/>
        <v>December</v>
      </c>
      <c r="L1018">
        <f t="shared" si="31"/>
        <v>2024</v>
      </c>
    </row>
    <row r="1019" spans="1:12" x14ac:dyDescent="0.3">
      <c r="A1019" s="2">
        <v>45651</v>
      </c>
      <c r="B1019" t="s">
        <v>80</v>
      </c>
      <c r="C1019" t="s">
        <v>46</v>
      </c>
      <c r="D1019" t="s">
        <v>156</v>
      </c>
      <c r="E1019" t="s">
        <v>26</v>
      </c>
      <c r="F1019" t="s">
        <v>53</v>
      </c>
      <c r="G1019" t="s">
        <v>98</v>
      </c>
      <c r="H1019" s="3">
        <v>28754.75</v>
      </c>
      <c r="I1019" s="4">
        <v>1</v>
      </c>
      <c r="J1019" s="3">
        <v>5023.92</v>
      </c>
      <c r="K1019" t="str">
        <f t="shared" si="30"/>
        <v>December</v>
      </c>
      <c r="L1019">
        <f t="shared" si="31"/>
        <v>2024</v>
      </c>
    </row>
    <row r="1020" spans="1:12" x14ac:dyDescent="0.3">
      <c r="A1020" s="2">
        <v>45652</v>
      </c>
      <c r="B1020" t="s">
        <v>113</v>
      </c>
      <c r="C1020" t="s">
        <v>68</v>
      </c>
      <c r="D1020" t="s">
        <v>156</v>
      </c>
      <c r="E1020" t="s">
        <v>13</v>
      </c>
      <c r="F1020" t="s">
        <v>14</v>
      </c>
      <c r="G1020" t="s">
        <v>111</v>
      </c>
      <c r="H1020" s="3">
        <v>1970.98</v>
      </c>
      <c r="I1020" s="4">
        <v>1</v>
      </c>
      <c r="J1020" s="3">
        <v>173.79</v>
      </c>
      <c r="K1020" t="str">
        <f t="shared" si="30"/>
        <v>December</v>
      </c>
      <c r="L1020">
        <f t="shared" si="31"/>
        <v>2024</v>
      </c>
    </row>
    <row r="1021" spans="1:12" x14ac:dyDescent="0.3">
      <c r="A1021" s="2">
        <v>45652</v>
      </c>
      <c r="B1021" t="s">
        <v>34</v>
      </c>
      <c r="C1021" t="s">
        <v>39</v>
      </c>
      <c r="D1021" t="s">
        <v>156</v>
      </c>
      <c r="E1021" t="s">
        <v>42</v>
      </c>
      <c r="F1021" t="s">
        <v>90</v>
      </c>
      <c r="G1021" t="s">
        <v>91</v>
      </c>
      <c r="H1021" s="3">
        <v>1776.03</v>
      </c>
      <c r="I1021" s="4">
        <v>1</v>
      </c>
      <c r="J1021" s="3">
        <v>252.82</v>
      </c>
      <c r="K1021" t="str">
        <f t="shared" si="30"/>
        <v>December</v>
      </c>
      <c r="L1021">
        <f t="shared" si="31"/>
        <v>2024</v>
      </c>
    </row>
    <row r="1022" spans="1:12" x14ac:dyDescent="0.3">
      <c r="A1022" s="2">
        <v>45652</v>
      </c>
      <c r="B1022" t="s">
        <v>38</v>
      </c>
      <c r="C1022" t="s">
        <v>66</v>
      </c>
      <c r="D1022" t="s">
        <v>156</v>
      </c>
      <c r="E1022" t="s">
        <v>13</v>
      </c>
      <c r="F1022" t="s">
        <v>14</v>
      </c>
      <c r="G1022" t="s">
        <v>70</v>
      </c>
      <c r="H1022" s="3">
        <v>5992.37</v>
      </c>
      <c r="I1022" s="4">
        <v>2</v>
      </c>
      <c r="J1022" s="3">
        <v>542.36</v>
      </c>
      <c r="K1022" t="str">
        <f t="shared" si="30"/>
        <v>December</v>
      </c>
      <c r="L1022">
        <f t="shared" si="31"/>
        <v>2024</v>
      </c>
    </row>
    <row r="1023" spans="1:12" x14ac:dyDescent="0.3">
      <c r="A1023" s="2">
        <v>45653</v>
      </c>
      <c r="B1023" t="s">
        <v>48</v>
      </c>
      <c r="C1023" t="s">
        <v>68</v>
      </c>
      <c r="D1023" t="s">
        <v>156</v>
      </c>
      <c r="E1023" t="s">
        <v>26</v>
      </c>
      <c r="F1023" t="s">
        <v>53</v>
      </c>
      <c r="G1023" t="s">
        <v>54</v>
      </c>
      <c r="H1023" s="3">
        <v>35370.870000000003</v>
      </c>
      <c r="I1023" s="4">
        <v>1</v>
      </c>
      <c r="J1023" s="3">
        <v>3266.91</v>
      </c>
      <c r="K1023" t="str">
        <f t="shared" si="30"/>
        <v>December</v>
      </c>
      <c r="L1023">
        <f t="shared" si="31"/>
        <v>2024</v>
      </c>
    </row>
    <row r="1024" spans="1:12" x14ac:dyDescent="0.3">
      <c r="A1024" s="2">
        <v>45654</v>
      </c>
      <c r="B1024" t="s">
        <v>52</v>
      </c>
      <c r="C1024" t="s">
        <v>12</v>
      </c>
      <c r="D1024" t="s">
        <v>156</v>
      </c>
      <c r="E1024" t="s">
        <v>26</v>
      </c>
      <c r="F1024" t="s">
        <v>27</v>
      </c>
      <c r="G1024" t="s">
        <v>28</v>
      </c>
      <c r="H1024" s="3">
        <v>42075.07</v>
      </c>
      <c r="I1024" s="4">
        <v>2</v>
      </c>
      <c r="J1024" s="3">
        <v>7112.38</v>
      </c>
      <c r="K1024" t="str">
        <f t="shared" si="30"/>
        <v>December</v>
      </c>
      <c r="L1024">
        <f t="shared" si="31"/>
        <v>2024</v>
      </c>
    </row>
    <row r="1025" spans="1:12" x14ac:dyDescent="0.3">
      <c r="A1025" s="2">
        <v>45656</v>
      </c>
      <c r="B1025" t="s">
        <v>55</v>
      </c>
      <c r="C1025" t="s">
        <v>49</v>
      </c>
      <c r="D1025" t="s">
        <v>156</v>
      </c>
      <c r="E1025" t="s">
        <v>13</v>
      </c>
      <c r="F1025" t="s">
        <v>23</v>
      </c>
      <c r="G1025" t="s">
        <v>79</v>
      </c>
      <c r="H1025" s="3">
        <v>123105.60000000001</v>
      </c>
      <c r="I1025" s="4">
        <v>2</v>
      </c>
      <c r="J1025" s="3">
        <v>14187.23</v>
      </c>
      <c r="K1025" t="str">
        <f t="shared" si="30"/>
        <v>December</v>
      </c>
      <c r="L1025">
        <f t="shared" si="31"/>
        <v>2024</v>
      </c>
    </row>
    <row r="1026" spans="1:12" x14ac:dyDescent="0.3">
      <c r="A1026" s="2">
        <v>45659</v>
      </c>
      <c r="B1026" t="s">
        <v>103</v>
      </c>
      <c r="C1026" t="s">
        <v>30</v>
      </c>
      <c r="D1026" t="s">
        <v>156</v>
      </c>
      <c r="E1026" t="s">
        <v>42</v>
      </c>
      <c r="F1026" t="s">
        <v>43</v>
      </c>
      <c r="G1026" t="s">
        <v>44</v>
      </c>
      <c r="H1026" s="3">
        <v>12345.44</v>
      </c>
      <c r="I1026" s="4">
        <v>1</v>
      </c>
      <c r="J1026" s="3">
        <v>-549.36</v>
      </c>
      <c r="K1026" t="str">
        <f t="shared" si="30"/>
        <v>January</v>
      </c>
      <c r="L1026">
        <f t="shared" si="31"/>
        <v>2025</v>
      </c>
    </row>
    <row r="1027" spans="1:12" x14ac:dyDescent="0.3">
      <c r="A1027" s="2">
        <v>45659</v>
      </c>
      <c r="B1027" t="s">
        <v>67</v>
      </c>
      <c r="C1027" t="s">
        <v>62</v>
      </c>
      <c r="D1027" t="s">
        <v>156</v>
      </c>
      <c r="E1027" t="s">
        <v>35</v>
      </c>
      <c r="F1027" t="s">
        <v>50</v>
      </c>
      <c r="G1027" t="s">
        <v>118</v>
      </c>
      <c r="H1027" s="3">
        <v>27505.4</v>
      </c>
      <c r="I1027" s="4">
        <v>4</v>
      </c>
      <c r="J1027" s="3">
        <v>-1751.38</v>
      </c>
      <c r="K1027" t="str">
        <f t="shared" ref="K1027:K1090" si="32">TEXT(A1027,"mmmm")</f>
        <v>January</v>
      </c>
      <c r="L1027">
        <f t="shared" ref="L1027:L1090" si="33">YEAR(A1027)</f>
        <v>2025</v>
      </c>
    </row>
    <row r="1028" spans="1:12" x14ac:dyDescent="0.3">
      <c r="A1028" s="2">
        <v>45660</v>
      </c>
      <c r="B1028" t="s">
        <v>32</v>
      </c>
      <c r="C1028" t="s">
        <v>81</v>
      </c>
      <c r="D1028" t="s">
        <v>156</v>
      </c>
      <c r="E1028" t="s">
        <v>26</v>
      </c>
      <c r="F1028" t="s">
        <v>27</v>
      </c>
      <c r="G1028" t="s">
        <v>82</v>
      </c>
      <c r="H1028" s="3">
        <v>66890.679999999993</v>
      </c>
      <c r="I1028" s="4">
        <v>2</v>
      </c>
      <c r="J1028" s="3">
        <v>10568.92</v>
      </c>
      <c r="K1028" t="str">
        <f t="shared" si="32"/>
        <v>January</v>
      </c>
      <c r="L1028">
        <f t="shared" si="33"/>
        <v>2025</v>
      </c>
    </row>
    <row r="1029" spans="1:12" x14ac:dyDescent="0.3">
      <c r="A1029" s="2">
        <v>45661</v>
      </c>
      <c r="B1029" t="s">
        <v>25</v>
      </c>
      <c r="C1029" t="s">
        <v>68</v>
      </c>
      <c r="D1029" t="s">
        <v>156</v>
      </c>
      <c r="E1029" t="s">
        <v>18</v>
      </c>
      <c r="F1029" t="s">
        <v>19</v>
      </c>
      <c r="G1029" t="s">
        <v>72</v>
      </c>
      <c r="H1029" s="3">
        <v>221393.79</v>
      </c>
      <c r="I1029" s="4">
        <v>4</v>
      </c>
      <c r="J1029" s="3">
        <v>17527.16</v>
      </c>
      <c r="K1029" t="str">
        <f t="shared" si="32"/>
        <v>January</v>
      </c>
      <c r="L1029">
        <f t="shared" si="33"/>
        <v>2025</v>
      </c>
    </row>
    <row r="1030" spans="1:12" x14ac:dyDescent="0.3">
      <c r="A1030" s="2">
        <v>45661</v>
      </c>
      <c r="B1030" t="s">
        <v>80</v>
      </c>
      <c r="C1030" t="s">
        <v>12</v>
      </c>
      <c r="D1030" t="s">
        <v>156</v>
      </c>
      <c r="E1030" t="s">
        <v>26</v>
      </c>
      <c r="F1030" t="s">
        <v>53</v>
      </c>
      <c r="G1030" t="s">
        <v>104</v>
      </c>
      <c r="H1030" s="3">
        <v>83032.679999999993</v>
      </c>
      <c r="I1030" s="4">
        <v>1</v>
      </c>
      <c r="J1030" s="3">
        <v>8790.27</v>
      </c>
      <c r="K1030" t="str">
        <f t="shared" si="32"/>
        <v>January</v>
      </c>
      <c r="L1030">
        <f t="shared" si="33"/>
        <v>2025</v>
      </c>
    </row>
    <row r="1031" spans="1:12" x14ac:dyDescent="0.3">
      <c r="A1031" s="2">
        <v>45662</v>
      </c>
      <c r="B1031" t="s">
        <v>95</v>
      </c>
      <c r="C1031" t="s">
        <v>12</v>
      </c>
      <c r="D1031" t="s">
        <v>156</v>
      </c>
      <c r="E1031" t="s">
        <v>18</v>
      </c>
      <c r="F1031" t="s">
        <v>19</v>
      </c>
      <c r="G1031" t="s">
        <v>59</v>
      </c>
      <c r="H1031" s="3">
        <v>49388.32</v>
      </c>
      <c r="I1031" s="4">
        <v>1</v>
      </c>
      <c r="J1031" s="3">
        <v>6844.23</v>
      </c>
      <c r="K1031" t="str">
        <f t="shared" si="32"/>
        <v>January</v>
      </c>
      <c r="L1031">
        <f t="shared" si="33"/>
        <v>2025</v>
      </c>
    </row>
    <row r="1032" spans="1:12" x14ac:dyDescent="0.3">
      <c r="A1032" s="2">
        <v>45662</v>
      </c>
      <c r="B1032" t="s">
        <v>92</v>
      </c>
      <c r="C1032" t="s">
        <v>81</v>
      </c>
      <c r="D1032" t="s">
        <v>156</v>
      </c>
      <c r="E1032" t="s">
        <v>26</v>
      </c>
      <c r="F1032" t="s">
        <v>27</v>
      </c>
      <c r="G1032" t="s">
        <v>28</v>
      </c>
      <c r="H1032" s="3">
        <v>21719.05</v>
      </c>
      <c r="I1032" s="4">
        <v>1</v>
      </c>
      <c r="J1032" s="3">
        <v>2022.49</v>
      </c>
      <c r="K1032" t="str">
        <f t="shared" si="32"/>
        <v>January</v>
      </c>
      <c r="L1032">
        <f t="shared" si="33"/>
        <v>2025</v>
      </c>
    </row>
    <row r="1033" spans="1:12" x14ac:dyDescent="0.3">
      <c r="A1033" s="2">
        <v>45662</v>
      </c>
      <c r="B1033" t="s">
        <v>74</v>
      </c>
      <c r="C1033" t="s">
        <v>39</v>
      </c>
      <c r="D1033" t="s">
        <v>156</v>
      </c>
      <c r="E1033" t="s">
        <v>18</v>
      </c>
      <c r="F1033" t="s">
        <v>40</v>
      </c>
      <c r="G1033" t="s">
        <v>105</v>
      </c>
      <c r="H1033" s="3">
        <v>4135.3999999999996</v>
      </c>
      <c r="I1033" s="4">
        <v>2</v>
      </c>
      <c r="J1033" s="3">
        <v>326.97000000000003</v>
      </c>
      <c r="K1033" t="str">
        <f t="shared" si="32"/>
        <v>January</v>
      </c>
      <c r="L1033">
        <f t="shared" si="33"/>
        <v>2025</v>
      </c>
    </row>
    <row r="1034" spans="1:12" x14ac:dyDescent="0.3">
      <c r="A1034" s="2">
        <v>45663</v>
      </c>
      <c r="B1034" t="s">
        <v>48</v>
      </c>
      <c r="C1034" t="s">
        <v>68</v>
      </c>
      <c r="D1034" t="s">
        <v>156</v>
      </c>
      <c r="E1034" t="s">
        <v>26</v>
      </c>
      <c r="F1034" t="s">
        <v>27</v>
      </c>
      <c r="G1034" t="s">
        <v>31</v>
      </c>
      <c r="H1034" s="3">
        <v>8894.19</v>
      </c>
      <c r="I1034" s="4">
        <v>1</v>
      </c>
      <c r="J1034" s="3">
        <v>1097.04</v>
      </c>
      <c r="K1034" t="str">
        <f t="shared" si="32"/>
        <v>January</v>
      </c>
      <c r="L1034">
        <f t="shared" si="33"/>
        <v>2025</v>
      </c>
    </row>
    <row r="1035" spans="1:12" x14ac:dyDescent="0.3">
      <c r="A1035" s="2">
        <v>45664</v>
      </c>
      <c r="B1035" t="s">
        <v>93</v>
      </c>
      <c r="C1035" t="s">
        <v>30</v>
      </c>
      <c r="D1035" t="s">
        <v>156</v>
      </c>
      <c r="E1035" t="s">
        <v>13</v>
      </c>
      <c r="F1035" t="s">
        <v>14</v>
      </c>
      <c r="G1035" t="s">
        <v>57</v>
      </c>
      <c r="H1035" s="3">
        <v>1675.72</v>
      </c>
      <c r="I1035" s="4">
        <v>1</v>
      </c>
      <c r="J1035" s="3">
        <v>247.83</v>
      </c>
      <c r="K1035" t="str">
        <f t="shared" si="32"/>
        <v>January</v>
      </c>
      <c r="L1035">
        <f t="shared" si="33"/>
        <v>2025</v>
      </c>
    </row>
    <row r="1036" spans="1:12" x14ac:dyDescent="0.3">
      <c r="A1036" s="2">
        <v>45664</v>
      </c>
      <c r="B1036" t="s">
        <v>74</v>
      </c>
      <c r="C1036" t="s">
        <v>68</v>
      </c>
      <c r="D1036" t="s">
        <v>156</v>
      </c>
      <c r="E1036" t="s">
        <v>18</v>
      </c>
      <c r="F1036" t="s">
        <v>40</v>
      </c>
      <c r="G1036" t="s">
        <v>115</v>
      </c>
      <c r="H1036" s="3">
        <v>23288.03</v>
      </c>
      <c r="I1036" s="4">
        <v>2</v>
      </c>
      <c r="J1036" s="3">
        <v>1734.05</v>
      </c>
      <c r="K1036" t="str">
        <f t="shared" si="32"/>
        <v>January</v>
      </c>
      <c r="L1036">
        <f t="shared" si="33"/>
        <v>2025</v>
      </c>
    </row>
    <row r="1037" spans="1:12" x14ac:dyDescent="0.3">
      <c r="A1037" s="2">
        <v>45665</v>
      </c>
      <c r="B1037" t="s">
        <v>86</v>
      </c>
      <c r="C1037" t="s">
        <v>68</v>
      </c>
      <c r="D1037" t="s">
        <v>156</v>
      </c>
      <c r="E1037" t="s">
        <v>13</v>
      </c>
      <c r="F1037" t="s">
        <v>14</v>
      </c>
      <c r="G1037" t="s">
        <v>15</v>
      </c>
      <c r="H1037" s="3">
        <v>4910.75</v>
      </c>
      <c r="I1037" s="4">
        <v>2</v>
      </c>
      <c r="J1037" s="3">
        <v>386.11</v>
      </c>
      <c r="K1037" t="str">
        <f t="shared" si="32"/>
        <v>January</v>
      </c>
      <c r="L1037">
        <f t="shared" si="33"/>
        <v>2025</v>
      </c>
    </row>
    <row r="1038" spans="1:12" x14ac:dyDescent="0.3">
      <c r="A1038" s="2">
        <v>45665</v>
      </c>
      <c r="B1038" t="s">
        <v>21</v>
      </c>
      <c r="C1038" t="s">
        <v>81</v>
      </c>
      <c r="D1038" t="s">
        <v>156</v>
      </c>
      <c r="E1038" t="s">
        <v>42</v>
      </c>
      <c r="F1038" t="s">
        <v>43</v>
      </c>
      <c r="G1038" t="s">
        <v>44</v>
      </c>
      <c r="H1038" s="3">
        <v>37028.120000000003</v>
      </c>
      <c r="I1038" s="4">
        <v>3</v>
      </c>
      <c r="J1038" s="3">
        <v>3748.45</v>
      </c>
      <c r="K1038" t="str">
        <f t="shared" si="32"/>
        <v>January</v>
      </c>
      <c r="L1038">
        <f t="shared" si="33"/>
        <v>2025</v>
      </c>
    </row>
    <row r="1039" spans="1:12" x14ac:dyDescent="0.3">
      <c r="A1039" s="2">
        <v>45667</v>
      </c>
      <c r="B1039" t="s">
        <v>83</v>
      </c>
      <c r="C1039" t="s">
        <v>56</v>
      </c>
      <c r="D1039" t="s">
        <v>156</v>
      </c>
      <c r="E1039" t="s">
        <v>26</v>
      </c>
      <c r="F1039" t="s">
        <v>27</v>
      </c>
      <c r="G1039" t="s">
        <v>28</v>
      </c>
      <c r="H1039" s="3">
        <v>49782.47</v>
      </c>
      <c r="I1039" s="4">
        <v>2</v>
      </c>
      <c r="J1039" s="3">
        <v>4348.88</v>
      </c>
      <c r="K1039" t="str">
        <f t="shared" si="32"/>
        <v>January</v>
      </c>
      <c r="L1039">
        <f t="shared" si="33"/>
        <v>2025</v>
      </c>
    </row>
    <row r="1040" spans="1:12" x14ac:dyDescent="0.3">
      <c r="A1040" s="2">
        <v>45668</v>
      </c>
      <c r="B1040" t="s">
        <v>80</v>
      </c>
      <c r="C1040" t="s">
        <v>46</v>
      </c>
      <c r="D1040" t="s">
        <v>156</v>
      </c>
      <c r="E1040" t="s">
        <v>13</v>
      </c>
      <c r="F1040" t="s">
        <v>14</v>
      </c>
      <c r="G1040" t="s">
        <v>15</v>
      </c>
      <c r="H1040" s="3">
        <v>2222.31</v>
      </c>
      <c r="I1040" s="4">
        <v>1</v>
      </c>
      <c r="J1040" s="3">
        <v>278.79000000000002</v>
      </c>
      <c r="K1040" t="str">
        <f t="shared" si="32"/>
        <v>January</v>
      </c>
      <c r="L1040">
        <f t="shared" si="33"/>
        <v>2025</v>
      </c>
    </row>
    <row r="1041" spans="1:12" x14ac:dyDescent="0.3">
      <c r="A1041" s="2">
        <v>45671</v>
      </c>
      <c r="B1041" t="s">
        <v>16</v>
      </c>
      <c r="C1041" t="s">
        <v>58</v>
      </c>
      <c r="D1041" t="s">
        <v>156</v>
      </c>
      <c r="E1041" t="s">
        <v>13</v>
      </c>
      <c r="F1041" t="s">
        <v>23</v>
      </c>
      <c r="G1041" t="s">
        <v>85</v>
      </c>
      <c r="H1041" s="3">
        <v>42234.07</v>
      </c>
      <c r="I1041" s="4">
        <v>1</v>
      </c>
      <c r="J1041" s="3">
        <v>5688.49</v>
      </c>
      <c r="K1041" t="str">
        <f t="shared" si="32"/>
        <v>January</v>
      </c>
      <c r="L1041">
        <f t="shared" si="33"/>
        <v>2025</v>
      </c>
    </row>
    <row r="1042" spans="1:12" x14ac:dyDescent="0.3">
      <c r="A1042" s="2">
        <v>45671</v>
      </c>
      <c r="B1042" t="s">
        <v>71</v>
      </c>
      <c r="C1042" t="s">
        <v>62</v>
      </c>
      <c r="D1042" t="s">
        <v>156</v>
      </c>
      <c r="E1042" t="s">
        <v>35</v>
      </c>
      <c r="F1042" t="s">
        <v>36</v>
      </c>
      <c r="G1042" t="s">
        <v>99</v>
      </c>
      <c r="H1042" s="3">
        <v>116045.15</v>
      </c>
      <c r="I1042" s="4">
        <v>3</v>
      </c>
      <c r="J1042" s="3">
        <v>9291.08</v>
      </c>
      <c r="K1042" t="str">
        <f t="shared" si="32"/>
        <v>January</v>
      </c>
      <c r="L1042">
        <f t="shared" si="33"/>
        <v>2025</v>
      </c>
    </row>
    <row r="1043" spans="1:12" x14ac:dyDescent="0.3">
      <c r="A1043" s="2">
        <v>45672</v>
      </c>
      <c r="B1043" t="s">
        <v>73</v>
      </c>
      <c r="C1043" t="s">
        <v>22</v>
      </c>
      <c r="D1043" t="s">
        <v>156</v>
      </c>
      <c r="E1043" t="s">
        <v>18</v>
      </c>
      <c r="F1043" t="s">
        <v>40</v>
      </c>
      <c r="G1043" t="s">
        <v>41</v>
      </c>
      <c r="H1043" s="3">
        <v>50008.18</v>
      </c>
      <c r="I1043" s="4">
        <v>3</v>
      </c>
      <c r="J1043" s="3">
        <v>3762.44</v>
      </c>
      <c r="K1043" t="str">
        <f t="shared" si="32"/>
        <v>January</v>
      </c>
      <c r="L1043">
        <f t="shared" si="33"/>
        <v>2025</v>
      </c>
    </row>
    <row r="1044" spans="1:12" x14ac:dyDescent="0.3">
      <c r="A1044" s="2">
        <v>45674</v>
      </c>
      <c r="B1044" t="s">
        <v>29</v>
      </c>
      <c r="C1044" t="s">
        <v>39</v>
      </c>
      <c r="D1044" t="s">
        <v>156</v>
      </c>
      <c r="E1044" t="s">
        <v>26</v>
      </c>
      <c r="F1044" t="s">
        <v>53</v>
      </c>
      <c r="G1044" t="s">
        <v>96</v>
      </c>
      <c r="H1044" s="3">
        <v>63208.480000000003</v>
      </c>
      <c r="I1044" s="4">
        <v>1</v>
      </c>
      <c r="J1044" s="3">
        <v>7968.08</v>
      </c>
      <c r="K1044" t="str">
        <f t="shared" si="32"/>
        <v>January</v>
      </c>
      <c r="L1044">
        <f t="shared" si="33"/>
        <v>2025</v>
      </c>
    </row>
    <row r="1045" spans="1:12" x14ac:dyDescent="0.3">
      <c r="A1045" s="2">
        <v>45675</v>
      </c>
      <c r="B1045" t="s">
        <v>92</v>
      </c>
      <c r="C1045" t="s">
        <v>61</v>
      </c>
      <c r="D1045" t="s">
        <v>156</v>
      </c>
      <c r="E1045" t="s">
        <v>26</v>
      </c>
      <c r="F1045" t="s">
        <v>27</v>
      </c>
      <c r="G1045" t="s">
        <v>28</v>
      </c>
      <c r="H1045" s="3">
        <v>24373.58</v>
      </c>
      <c r="I1045" s="4">
        <v>1</v>
      </c>
      <c r="J1045" s="3">
        <v>2761.63</v>
      </c>
      <c r="K1045" t="str">
        <f t="shared" si="32"/>
        <v>January</v>
      </c>
      <c r="L1045">
        <f t="shared" si="33"/>
        <v>2025</v>
      </c>
    </row>
    <row r="1046" spans="1:12" x14ac:dyDescent="0.3">
      <c r="A1046" s="2">
        <v>45675</v>
      </c>
      <c r="B1046" t="s">
        <v>95</v>
      </c>
      <c r="C1046" t="s">
        <v>39</v>
      </c>
      <c r="D1046" t="s">
        <v>156</v>
      </c>
      <c r="E1046" t="s">
        <v>13</v>
      </c>
      <c r="F1046" t="s">
        <v>14</v>
      </c>
      <c r="G1046" t="s">
        <v>57</v>
      </c>
      <c r="H1046" s="3">
        <v>8634.1</v>
      </c>
      <c r="I1046" s="4">
        <v>5</v>
      </c>
      <c r="J1046" s="3">
        <v>833.41</v>
      </c>
      <c r="K1046" t="str">
        <f t="shared" si="32"/>
        <v>January</v>
      </c>
      <c r="L1046">
        <f t="shared" si="33"/>
        <v>2025</v>
      </c>
    </row>
    <row r="1047" spans="1:12" x14ac:dyDescent="0.3">
      <c r="A1047" s="2">
        <v>45675</v>
      </c>
      <c r="B1047" t="s">
        <v>73</v>
      </c>
      <c r="C1047" t="s">
        <v>81</v>
      </c>
      <c r="D1047" t="s">
        <v>156</v>
      </c>
      <c r="E1047" t="s">
        <v>18</v>
      </c>
      <c r="F1047" t="s">
        <v>40</v>
      </c>
      <c r="G1047" t="s">
        <v>117</v>
      </c>
      <c r="H1047" s="3">
        <v>5167.0200000000004</v>
      </c>
      <c r="I1047" s="4">
        <v>2</v>
      </c>
      <c r="J1047" s="3">
        <v>449.15</v>
      </c>
      <c r="K1047" t="str">
        <f t="shared" si="32"/>
        <v>January</v>
      </c>
      <c r="L1047">
        <f t="shared" si="33"/>
        <v>2025</v>
      </c>
    </row>
    <row r="1048" spans="1:12" x14ac:dyDescent="0.3">
      <c r="A1048" s="2">
        <v>45678</v>
      </c>
      <c r="B1048" t="s">
        <v>29</v>
      </c>
      <c r="C1048" t="s">
        <v>17</v>
      </c>
      <c r="D1048" t="s">
        <v>156</v>
      </c>
      <c r="E1048" t="s">
        <v>35</v>
      </c>
      <c r="F1048" t="s">
        <v>50</v>
      </c>
      <c r="G1048" t="s">
        <v>119</v>
      </c>
      <c r="H1048" s="3">
        <v>2812.09</v>
      </c>
      <c r="I1048" s="4">
        <v>1</v>
      </c>
      <c r="J1048" s="3">
        <v>313.24</v>
      </c>
      <c r="K1048" t="str">
        <f t="shared" si="32"/>
        <v>January</v>
      </c>
      <c r="L1048">
        <f t="shared" si="33"/>
        <v>2025</v>
      </c>
    </row>
    <row r="1049" spans="1:12" x14ac:dyDescent="0.3">
      <c r="A1049" s="2">
        <v>45680</v>
      </c>
      <c r="B1049" t="s">
        <v>92</v>
      </c>
      <c r="C1049" t="s">
        <v>46</v>
      </c>
      <c r="D1049" t="s">
        <v>156</v>
      </c>
      <c r="E1049" t="s">
        <v>42</v>
      </c>
      <c r="F1049" t="s">
        <v>90</v>
      </c>
      <c r="G1049" t="s">
        <v>120</v>
      </c>
      <c r="H1049" s="3">
        <v>22725.360000000001</v>
      </c>
      <c r="I1049" s="4">
        <v>4</v>
      </c>
      <c r="J1049" s="3">
        <v>2837.03</v>
      </c>
      <c r="K1049" t="str">
        <f t="shared" si="32"/>
        <v>January</v>
      </c>
      <c r="L1049">
        <f t="shared" si="33"/>
        <v>2025</v>
      </c>
    </row>
    <row r="1050" spans="1:12" x14ac:dyDescent="0.3">
      <c r="A1050" s="2">
        <v>45680</v>
      </c>
      <c r="B1050" t="s">
        <v>29</v>
      </c>
      <c r="C1050" t="s">
        <v>39</v>
      </c>
      <c r="D1050" t="s">
        <v>156</v>
      </c>
      <c r="E1050" t="s">
        <v>13</v>
      </c>
      <c r="F1050" t="s">
        <v>23</v>
      </c>
      <c r="G1050" t="s">
        <v>108</v>
      </c>
      <c r="H1050" s="3">
        <v>55779.7</v>
      </c>
      <c r="I1050" s="4">
        <v>1</v>
      </c>
      <c r="J1050" s="3">
        <v>4244.45</v>
      </c>
      <c r="K1050" t="str">
        <f t="shared" si="32"/>
        <v>January</v>
      </c>
      <c r="L1050">
        <f t="shared" si="33"/>
        <v>2025</v>
      </c>
    </row>
    <row r="1051" spans="1:12" x14ac:dyDescent="0.3">
      <c r="A1051" s="2">
        <v>45681</v>
      </c>
      <c r="B1051" t="s">
        <v>101</v>
      </c>
      <c r="C1051" t="s">
        <v>58</v>
      </c>
      <c r="D1051" t="s">
        <v>156</v>
      </c>
      <c r="E1051" t="s">
        <v>42</v>
      </c>
      <c r="F1051" t="s">
        <v>43</v>
      </c>
      <c r="G1051" t="s">
        <v>44</v>
      </c>
      <c r="H1051" s="3">
        <v>52608.22</v>
      </c>
      <c r="I1051" s="4">
        <v>4</v>
      </c>
      <c r="J1051" s="3">
        <v>7042.73</v>
      </c>
      <c r="K1051" t="str">
        <f t="shared" si="32"/>
        <v>January</v>
      </c>
      <c r="L1051">
        <f t="shared" si="33"/>
        <v>2025</v>
      </c>
    </row>
    <row r="1052" spans="1:12" x14ac:dyDescent="0.3">
      <c r="A1052" s="2">
        <v>45681</v>
      </c>
      <c r="B1052" t="s">
        <v>38</v>
      </c>
      <c r="C1052" t="s">
        <v>46</v>
      </c>
      <c r="D1052" t="s">
        <v>156</v>
      </c>
      <c r="E1052" t="s">
        <v>35</v>
      </c>
      <c r="F1052" t="s">
        <v>63</v>
      </c>
      <c r="G1052" t="s">
        <v>112</v>
      </c>
      <c r="H1052" s="3">
        <v>59728.17</v>
      </c>
      <c r="I1052" s="4">
        <v>2</v>
      </c>
      <c r="J1052" s="3">
        <v>10937.55</v>
      </c>
      <c r="K1052" t="str">
        <f t="shared" si="32"/>
        <v>January</v>
      </c>
      <c r="L1052">
        <f t="shared" si="33"/>
        <v>2025</v>
      </c>
    </row>
    <row r="1053" spans="1:12" x14ac:dyDescent="0.3">
      <c r="A1053" s="2">
        <v>45683</v>
      </c>
      <c r="B1053" t="s">
        <v>45</v>
      </c>
      <c r="C1053" t="s">
        <v>17</v>
      </c>
      <c r="D1053" t="s">
        <v>156</v>
      </c>
      <c r="E1053" t="s">
        <v>35</v>
      </c>
      <c r="F1053" t="s">
        <v>50</v>
      </c>
      <c r="G1053" t="s">
        <v>119</v>
      </c>
      <c r="H1053" s="3">
        <v>5310.85</v>
      </c>
      <c r="I1053" s="4">
        <v>2</v>
      </c>
      <c r="J1053" s="3">
        <v>1059.95</v>
      </c>
      <c r="K1053" t="str">
        <f t="shared" si="32"/>
        <v>January</v>
      </c>
      <c r="L1053">
        <f t="shared" si="33"/>
        <v>2025</v>
      </c>
    </row>
    <row r="1054" spans="1:12" x14ac:dyDescent="0.3">
      <c r="A1054" s="2">
        <v>45683</v>
      </c>
      <c r="B1054" t="s">
        <v>71</v>
      </c>
      <c r="C1054" t="s">
        <v>68</v>
      </c>
      <c r="D1054" t="s">
        <v>156</v>
      </c>
      <c r="E1054" t="s">
        <v>18</v>
      </c>
      <c r="F1054" t="s">
        <v>40</v>
      </c>
      <c r="G1054" t="s">
        <v>105</v>
      </c>
      <c r="H1054" s="3">
        <v>4837.21</v>
      </c>
      <c r="I1054" s="4">
        <v>2</v>
      </c>
      <c r="J1054" s="3">
        <v>-158.29</v>
      </c>
      <c r="K1054" t="str">
        <f t="shared" si="32"/>
        <v>January</v>
      </c>
      <c r="L1054">
        <f t="shared" si="33"/>
        <v>2025</v>
      </c>
    </row>
    <row r="1055" spans="1:12" x14ac:dyDescent="0.3">
      <c r="A1055" s="2">
        <v>45683</v>
      </c>
      <c r="B1055" t="s">
        <v>95</v>
      </c>
      <c r="C1055" t="s">
        <v>58</v>
      </c>
      <c r="D1055" t="s">
        <v>156</v>
      </c>
      <c r="E1055" t="s">
        <v>13</v>
      </c>
      <c r="F1055" t="s">
        <v>23</v>
      </c>
      <c r="G1055" t="s">
        <v>108</v>
      </c>
      <c r="H1055" s="3">
        <v>57341.06</v>
      </c>
      <c r="I1055" s="4">
        <v>1</v>
      </c>
      <c r="J1055" s="3">
        <v>8315.14</v>
      </c>
      <c r="K1055" t="str">
        <f t="shared" si="32"/>
        <v>January</v>
      </c>
      <c r="L1055">
        <f t="shared" si="33"/>
        <v>2025</v>
      </c>
    </row>
    <row r="1056" spans="1:12" x14ac:dyDescent="0.3">
      <c r="A1056" s="2">
        <v>45684</v>
      </c>
      <c r="B1056" t="s">
        <v>78</v>
      </c>
      <c r="C1056" t="s">
        <v>61</v>
      </c>
      <c r="D1056" t="s">
        <v>156</v>
      </c>
      <c r="E1056" t="s">
        <v>35</v>
      </c>
      <c r="F1056" t="s">
        <v>36</v>
      </c>
      <c r="G1056" t="s">
        <v>84</v>
      </c>
      <c r="H1056" s="3">
        <v>31414.37</v>
      </c>
      <c r="I1056" s="4">
        <v>1</v>
      </c>
      <c r="J1056" s="3">
        <v>5707.49</v>
      </c>
      <c r="K1056" t="str">
        <f t="shared" si="32"/>
        <v>January</v>
      </c>
      <c r="L1056">
        <f t="shared" si="33"/>
        <v>2025</v>
      </c>
    </row>
    <row r="1057" spans="1:12" x14ac:dyDescent="0.3">
      <c r="A1057" s="2">
        <v>45684</v>
      </c>
      <c r="B1057" t="s">
        <v>32</v>
      </c>
      <c r="C1057" t="s">
        <v>81</v>
      </c>
      <c r="D1057" t="s">
        <v>156</v>
      </c>
      <c r="E1057" t="s">
        <v>42</v>
      </c>
      <c r="F1057" t="s">
        <v>90</v>
      </c>
      <c r="G1057" t="s">
        <v>120</v>
      </c>
      <c r="H1057" s="3">
        <v>5627.71</v>
      </c>
      <c r="I1057" s="4">
        <v>1</v>
      </c>
      <c r="J1057" s="3">
        <v>856.58</v>
      </c>
      <c r="K1057" t="str">
        <f t="shared" si="32"/>
        <v>January</v>
      </c>
      <c r="L1057">
        <f t="shared" si="33"/>
        <v>2025</v>
      </c>
    </row>
    <row r="1058" spans="1:12" x14ac:dyDescent="0.3">
      <c r="A1058" s="2">
        <v>45684</v>
      </c>
      <c r="B1058" t="s">
        <v>95</v>
      </c>
      <c r="C1058" t="s">
        <v>39</v>
      </c>
      <c r="D1058" t="s">
        <v>156</v>
      </c>
      <c r="E1058" t="s">
        <v>35</v>
      </c>
      <c r="F1058" t="s">
        <v>63</v>
      </c>
      <c r="G1058" t="s">
        <v>112</v>
      </c>
      <c r="H1058" s="3">
        <v>27815.19</v>
      </c>
      <c r="I1058" s="4">
        <v>1</v>
      </c>
      <c r="J1058" s="3">
        <v>5477.59</v>
      </c>
      <c r="K1058" t="str">
        <f t="shared" si="32"/>
        <v>January</v>
      </c>
      <c r="L1058">
        <f t="shared" si="33"/>
        <v>2025</v>
      </c>
    </row>
    <row r="1059" spans="1:12" x14ac:dyDescent="0.3">
      <c r="A1059" s="2">
        <v>45684</v>
      </c>
      <c r="B1059" t="s">
        <v>60</v>
      </c>
      <c r="C1059" t="s">
        <v>46</v>
      </c>
      <c r="D1059" t="s">
        <v>156</v>
      </c>
      <c r="E1059" t="s">
        <v>13</v>
      </c>
      <c r="F1059" t="s">
        <v>14</v>
      </c>
      <c r="G1059" t="s">
        <v>70</v>
      </c>
      <c r="H1059" s="3">
        <v>2658.96</v>
      </c>
      <c r="I1059" s="4">
        <v>1</v>
      </c>
      <c r="J1059" s="3">
        <v>179.55</v>
      </c>
      <c r="K1059" t="str">
        <f t="shared" si="32"/>
        <v>January</v>
      </c>
      <c r="L1059">
        <f t="shared" si="33"/>
        <v>2025</v>
      </c>
    </row>
    <row r="1060" spans="1:12" x14ac:dyDescent="0.3">
      <c r="A1060" s="2">
        <v>45685</v>
      </c>
      <c r="B1060" t="s">
        <v>103</v>
      </c>
      <c r="C1060" t="s">
        <v>58</v>
      </c>
      <c r="D1060" t="s">
        <v>156</v>
      </c>
      <c r="E1060" t="s">
        <v>35</v>
      </c>
      <c r="F1060" t="s">
        <v>36</v>
      </c>
      <c r="G1060" t="s">
        <v>99</v>
      </c>
      <c r="H1060" s="3">
        <v>35054.339999999997</v>
      </c>
      <c r="I1060" s="4">
        <v>1</v>
      </c>
      <c r="J1060" s="3">
        <v>5094.6499999999996</v>
      </c>
      <c r="K1060" t="str">
        <f t="shared" si="32"/>
        <v>January</v>
      </c>
      <c r="L1060">
        <f t="shared" si="33"/>
        <v>2025</v>
      </c>
    </row>
    <row r="1061" spans="1:12" x14ac:dyDescent="0.3">
      <c r="A1061" s="2">
        <v>45685</v>
      </c>
      <c r="B1061" t="s">
        <v>25</v>
      </c>
      <c r="C1061" t="s">
        <v>61</v>
      </c>
      <c r="D1061" t="s">
        <v>156</v>
      </c>
      <c r="E1061" t="s">
        <v>13</v>
      </c>
      <c r="F1061" t="s">
        <v>23</v>
      </c>
      <c r="G1061" t="s">
        <v>79</v>
      </c>
      <c r="H1061" s="3">
        <v>62819.96</v>
      </c>
      <c r="I1061" s="4">
        <v>1</v>
      </c>
      <c r="J1061" s="3">
        <v>8369.73</v>
      </c>
      <c r="K1061" t="str">
        <f t="shared" si="32"/>
        <v>January</v>
      </c>
      <c r="L1061">
        <f t="shared" si="33"/>
        <v>2025</v>
      </c>
    </row>
    <row r="1062" spans="1:12" x14ac:dyDescent="0.3">
      <c r="A1062" s="2">
        <v>45686</v>
      </c>
      <c r="B1062" t="s">
        <v>55</v>
      </c>
      <c r="C1062" t="s">
        <v>22</v>
      </c>
      <c r="D1062" t="s">
        <v>156</v>
      </c>
      <c r="E1062" t="s">
        <v>42</v>
      </c>
      <c r="F1062" t="s">
        <v>90</v>
      </c>
      <c r="G1062" t="s">
        <v>120</v>
      </c>
      <c r="H1062" s="3">
        <v>5815.57</v>
      </c>
      <c r="I1062" s="4">
        <v>1</v>
      </c>
      <c r="J1062" s="3">
        <v>982.82</v>
      </c>
      <c r="K1062" t="str">
        <f t="shared" si="32"/>
        <v>January</v>
      </c>
      <c r="L1062">
        <f t="shared" si="33"/>
        <v>2025</v>
      </c>
    </row>
    <row r="1063" spans="1:12" x14ac:dyDescent="0.3">
      <c r="A1063" s="2">
        <v>45687</v>
      </c>
      <c r="B1063" t="s">
        <v>80</v>
      </c>
      <c r="C1063" t="s">
        <v>46</v>
      </c>
      <c r="D1063" t="s">
        <v>156</v>
      </c>
      <c r="E1063" t="s">
        <v>18</v>
      </c>
      <c r="F1063" t="s">
        <v>40</v>
      </c>
      <c r="G1063" t="s">
        <v>41</v>
      </c>
      <c r="H1063" s="3">
        <v>17861.39</v>
      </c>
      <c r="I1063" s="4">
        <v>1</v>
      </c>
      <c r="J1063" s="3">
        <v>2584.12</v>
      </c>
      <c r="K1063" t="str">
        <f t="shared" si="32"/>
        <v>January</v>
      </c>
      <c r="L1063">
        <f t="shared" si="33"/>
        <v>2025</v>
      </c>
    </row>
    <row r="1064" spans="1:12" x14ac:dyDescent="0.3">
      <c r="A1064" s="2">
        <v>45688</v>
      </c>
      <c r="B1064" t="s">
        <v>11</v>
      </c>
      <c r="C1064" t="s">
        <v>39</v>
      </c>
      <c r="D1064" t="s">
        <v>156</v>
      </c>
      <c r="E1064" t="s">
        <v>18</v>
      </c>
      <c r="F1064" t="s">
        <v>19</v>
      </c>
      <c r="G1064" t="s">
        <v>106</v>
      </c>
      <c r="H1064" s="3">
        <v>84022.11</v>
      </c>
      <c r="I1064" s="4">
        <v>1</v>
      </c>
      <c r="J1064" s="3">
        <v>6977.91</v>
      </c>
      <c r="K1064" t="str">
        <f t="shared" si="32"/>
        <v>January</v>
      </c>
      <c r="L1064">
        <f t="shared" si="33"/>
        <v>2025</v>
      </c>
    </row>
    <row r="1065" spans="1:12" x14ac:dyDescent="0.3">
      <c r="A1065" s="2">
        <v>45689</v>
      </c>
      <c r="B1065" t="s">
        <v>95</v>
      </c>
      <c r="C1065" t="s">
        <v>39</v>
      </c>
      <c r="D1065" t="s">
        <v>156</v>
      </c>
      <c r="E1065" t="s">
        <v>42</v>
      </c>
      <c r="F1065" t="s">
        <v>90</v>
      </c>
      <c r="G1065" t="s">
        <v>97</v>
      </c>
      <c r="H1065" s="3">
        <v>7070.08</v>
      </c>
      <c r="I1065" s="4">
        <v>3</v>
      </c>
      <c r="J1065" s="3">
        <v>1486.77</v>
      </c>
      <c r="K1065" t="str">
        <f t="shared" si="32"/>
        <v>February</v>
      </c>
      <c r="L1065">
        <f t="shared" si="33"/>
        <v>2025</v>
      </c>
    </row>
    <row r="1066" spans="1:12" x14ac:dyDescent="0.3">
      <c r="A1066" s="2">
        <v>45690</v>
      </c>
      <c r="B1066" t="s">
        <v>29</v>
      </c>
      <c r="C1066" t="s">
        <v>61</v>
      </c>
      <c r="D1066" t="s">
        <v>156</v>
      </c>
      <c r="E1066" t="s">
        <v>42</v>
      </c>
      <c r="F1066" t="s">
        <v>90</v>
      </c>
      <c r="G1066" t="s">
        <v>120</v>
      </c>
      <c r="H1066" s="3">
        <v>21569.93</v>
      </c>
      <c r="I1066" s="4">
        <v>4</v>
      </c>
      <c r="J1066" s="3">
        <v>4180.29</v>
      </c>
      <c r="K1066" t="str">
        <f t="shared" si="32"/>
        <v>February</v>
      </c>
      <c r="L1066">
        <f t="shared" si="33"/>
        <v>2025</v>
      </c>
    </row>
    <row r="1067" spans="1:12" x14ac:dyDescent="0.3">
      <c r="A1067" s="2">
        <v>45690</v>
      </c>
      <c r="B1067" t="s">
        <v>92</v>
      </c>
      <c r="C1067" t="s">
        <v>58</v>
      </c>
      <c r="D1067" t="s">
        <v>156</v>
      </c>
      <c r="E1067" t="s">
        <v>35</v>
      </c>
      <c r="F1067" t="s">
        <v>75</v>
      </c>
      <c r="G1067" t="s">
        <v>76</v>
      </c>
      <c r="H1067" s="3">
        <v>43738.38</v>
      </c>
      <c r="I1067" s="4">
        <v>1</v>
      </c>
      <c r="J1067" s="3">
        <v>4659.6099999999997</v>
      </c>
      <c r="K1067" t="str">
        <f t="shared" si="32"/>
        <v>February</v>
      </c>
      <c r="L1067">
        <f t="shared" si="33"/>
        <v>2025</v>
      </c>
    </row>
    <row r="1068" spans="1:12" x14ac:dyDescent="0.3">
      <c r="A1068" s="2">
        <v>45691</v>
      </c>
      <c r="B1068" t="s">
        <v>83</v>
      </c>
      <c r="C1068" t="s">
        <v>56</v>
      </c>
      <c r="D1068" t="s">
        <v>156</v>
      </c>
      <c r="E1068" t="s">
        <v>18</v>
      </c>
      <c r="F1068" t="s">
        <v>40</v>
      </c>
      <c r="G1068" t="s">
        <v>105</v>
      </c>
      <c r="H1068" s="3">
        <v>7049.54</v>
      </c>
      <c r="I1068" s="4">
        <v>3</v>
      </c>
      <c r="J1068" s="3">
        <v>-500.81</v>
      </c>
      <c r="K1068" t="str">
        <f t="shared" si="32"/>
        <v>February</v>
      </c>
      <c r="L1068">
        <f t="shared" si="33"/>
        <v>2025</v>
      </c>
    </row>
    <row r="1069" spans="1:12" x14ac:dyDescent="0.3">
      <c r="A1069" s="2">
        <v>45692</v>
      </c>
      <c r="B1069" t="s">
        <v>109</v>
      </c>
      <c r="C1069" t="s">
        <v>69</v>
      </c>
      <c r="D1069" t="s">
        <v>156</v>
      </c>
      <c r="E1069" t="s">
        <v>42</v>
      </c>
      <c r="F1069" t="s">
        <v>43</v>
      </c>
      <c r="G1069" t="s">
        <v>44</v>
      </c>
      <c r="H1069" s="3">
        <v>38287.07</v>
      </c>
      <c r="I1069" s="4">
        <v>3</v>
      </c>
      <c r="J1069" s="3">
        <v>7912.42</v>
      </c>
      <c r="K1069" t="str">
        <f t="shared" si="32"/>
        <v>February</v>
      </c>
      <c r="L1069">
        <f t="shared" si="33"/>
        <v>2025</v>
      </c>
    </row>
    <row r="1070" spans="1:12" x14ac:dyDescent="0.3">
      <c r="A1070" s="2">
        <v>45693</v>
      </c>
      <c r="B1070" t="s">
        <v>71</v>
      </c>
      <c r="C1070" t="s">
        <v>17</v>
      </c>
      <c r="D1070" t="s">
        <v>156</v>
      </c>
      <c r="E1070" t="s">
        <v>13</v>
      </c>
      <c r="F1070" t="s">
        <v>23</v>
      </c>
      <c r="G1070" t="s">
        <v>79</v>
      </c>
      <c r="H1070" s="3">
        <v>63372.2</v>
      </c>
      <c r="I1070" s="4">
        <v>1</v>
      </c>
      <c r="J1070" s="3">
        <v>-2906.14</v>
      </c>
      <c r="K1070" t="str">
        <f t="shared" si="32"/>
        <v>February</v>
      </c>
      <c r="L1070">
        <f t="shared" si="33"/>
        <v>2025</v>
      </c>
    </row>
    <row r="1071" spans="1:12" x14ac:dyDescent="0.3">
      <c r="A1071" s="2">
        <v>45693</v>
      </c>
      <c r="B1071" t="s">
        <v>86</v>
      </c>
      <c r="C1071" t="s">
        <v>58</v>
      </c>
      <c r="D1071" t="s">
        <v>156</v>
      </c>
      <c r="E1071" t="s">
        <v>26</v>
      </c>
      <c r="F1071" t="s">
        <v>27</v>
      </c>
      <c r="G1071" t="s">
        <v>28</v>
      </c>
      <c r="H1071" s="3">
        <v>21900.7</v>
      </c>
      <c r="I1071" s="4">
        <v>1</v>
      </c>
      <c r="J1071" s="3">
        <v>3282.43</v>
      </c>
      <c r="K1071" t="str">
        <f t="shared" si="32"/>
        <v>February</v>
      </c>
      <c r="L1071">
        <f t="shared" si="33"/>
        <v>2025</v>
      </c>
    </row>
    <row r="1072" spans="1:12" x14ac:dyDescent="0.3">
      <c r="A1072" s="2">
        <v>45693</v>
      </c>
      <c r="B1072" t="s">
        <v>32</v>
      </c>
      <c r="C1072" t="s">
        <v>30</v>
      </c>
      <c r="D1072" t="s">
        <v>156</v>
      </c>
      <c r="E1072" t="s">
        <v>26</v>
      </c>
      <c r="F1072" t="s">
        <v>53</v>
      </c>
      <c r="G1072" t="s">
        <v>100</v>
      </c>
      <c r="H1072" s="3">
        <v>165598.74</v>
      </c>
      <c r="I1072" s="4">
        <v>2</v>
      </c>
      <c r="J1072" s="3">
        <v>20269.55</v>
      </c>
      <c r="K1072" t="str">
        <f t="shared" si="32"/>
        <v>February</v>
      </c>
      <c r="L1072">
        <f t="shared" si="33"/>
        <v>2025</v>
      </c>
    </row>
    <row r="1073" spans="1:12" x14ac:dyDescent="0.3">
      <c r="A1073" s="2">
        <v>45694</v>
      </c>
      <c r="B1073" t="s">
        <v>11</v>
      </c>
      <c r="C1073" t="s">
        <v>66</v>
      </c>
      <c r="D1073" t="s">
        <v>156</v>
      </c>
      <c r="E1073" t="s">
        <v>18</v>
      </c>
      <c r="F1073" t="s">
        <v>19</v>
      </c>
      <c r="G1073" t="s">
        <v>20</v>
      </c>
      <c r="H1073" s="3">
        <v>198918.09</v>
      </c>
      <c r="I1073" s="4">
        <v>3</v>
      </c>
      <c r="J1073" s="3">
        <v>19630.82</v>
      </c>
      <c r="K1073" t="str">
        <f t="shared" si="32"/>
        <v>February</v>
      </c>
      <c r="L1073">
        <f t="shared" si="33"/>
        <v>2025</v>
      </c>
    </row>
    <row r="1074" spans="1:12" x14ac:dyDescent="0.3">
      <c r="A1074" s="2">
        <v>45694</v>
      </c>
      <c r="B1074" t="s">
        <v>93</v>
      </c>
      <c r="C1074" t="s">
        <v>30</v>
      </c>
      <c r="D1074" t="s">
        <v>156</v>
      </c>
      <c r="E1074" t="s">
        <v>26</v>
      </c>
      <c r="F1074" t="s">
        <v>53</v>
      </c>
      <c r="G1074" t="s">
        <v>98</v>
      </c>
      <c r="H1074" s="3">
        <v>54217.88</v>
      </c>
      <c r="I1074" s="4">
        <v>2</v>
      </c>
      <c r="J1074" s="3">
        <v>9627.8700000000008</v>
      </c>
      <c r="K1074" t="str">
        <f t="shared" si="32"/>
        <v>February</v>
      </c>
      <c r="L1074">
        <f t="shared" si="33"/>
        <v>2025</v>
      </c>
    </row>
    <row r="1075" spans="1:12" x14ac:dyDescent="0.3">
      <c r="A1075" s="2">
        <v>45695</v>
      </c>
      <c r="B1075" t="s">
        <v>32</v>
      </c>
      <c r="C1075" t="s">
        <v>69</v>
      </c>
      <c r="D1075" t="s">
        <v>156</v>
      </c>
      <c r="E1075" t="s">
        <v>13</v>
      </c>
      <c r="F1075" t="s">
        <v>23</v>
      </c>
      <c r="G1075" t="s">
        <v>24</v>
      </c>
      <c r="H1075" s="3">
        <v>115638.93</v>
      </c>
      <c r="I1075" s="4">
        <v>2</v>
      </c>
      <c r="J1075" s="3">
        <v>-8785.2000000000007</v>
      </c>
      <c r="K1075" t="str">
        <f t="shared" si="32"/>
        <v>February</v>
      </c>
      <c r="L1075">
        <f t="shared" si="33"/>
        <v>2025</v>
      </c>
    </row>
    <row r="1076" spans="1:12" x14ac:dyDescent="0.3">
      <c r="A1076" s="2">
        <v>45695</v>
      </c>
      <c r="B1076" t="s">
        <v>92</v>
      </c>
      <c r="C1076" t="s">
        <v>17</v>
      </c>
      <c r="D1076" t="s">
        <v>156</v>
      </c>
      <c r="E1076" t="s">
        <v>18</v>
      </c>
      <c r="F1076" t="s">
        <v>40</v>
      </c>
      <c r="G1076" t="s">
        <v>41</v>
      </c>
      <c r="H1076" s="3">
        <v>17632.669999999998</v>
      </c>
      <c r="I1076" s="4">
        <v>1</v>
      </c>
      <c r="J1076" s="3">
        <v>2514.9699999999998</v>
      </c>
      <c r="K1076" t="str">
        <f t="shared" si="32"/>
        <v>February</v>
      </c>
      <c r="L1076">
        <f t="shared" si="33"/>
        <v>2025</v>
      </c>
    </row>
    <row r="1077" spans="1:12" x14ac:dyDescent="0.3">
      <c r="A1077" s="2">
        <v>45695</v>
      </c>
      <c r="B1077" t="s">
        <v>86</v>
      </c>
      <c r="C1077" t="s">
        <v>58</v>
      </c>
      <c r="D1077" t="s">
        <v>156</v>
      </c>
      <c r="E1077" t="s">
        <v>26</v>
      </c>
      <c r="F1077" t="s">
        <v>27</v>
      </c>
      <c r="G1077" t="s">
        <v>28</v>
      </c>
      <c r="H1077" s="3">
        <v>23194.42</v>
      </c>
      <c r="I1077" s="4">
        <v>1</v>
      </c>
      <c r="J1077" s="3">
        <v>2332.5100000000002</v>
      </c>
      <c r="K1077" t="str">
        <f t="shared" si="32"/>
        <v>February</v>
      </c>
      <c r="L1077">
        <f t="shared" si="33"/>
        <v>2025</v>
      </c>
    </row>
    <row r="1078" spans="1:12" x14ac:dyDescent="0.3">
      <c r="A1078" s="2">
        <v>45697</v>
      </c>
      <c r="B1078" t="s">
        <v>93</v>
      </c>
      <c r="C1078" t="s">
        <v>69</v>
      </c>
      <c r="D1078" t="s">
        <v>156</v>
      </c>
      <c r="E1078" t="s">
        <v>18</v>
      </c>
      <c r="F1078" t="s">
        <v>19</v>
      </c>
      <c r="G1078" t="s">
        <v>33</v>
      </c>
      <c r="H1078" s="3">
        <v>112922.18</v>
      </c>
      <c r="I1078" s="4">
        <v>2</v>
      </c>
      <c r="J1078" s="3">
        <v>-9009.74</v>
      </c>
      <c r="K1078" t="str">
        <f t="shared" si="32"/>
        <v>February</v>
      </c>
      <c r="L1078">
        <f t="shared" si="33"/>
        <v>2025</v>
      </c>
    </row>
    <row r="1079" spans="1:12" x14ac:dyDescent="0.3">
      <c r="A1079" s="2">
        <v>45697</v>
      </c>
      <c r="B1079" t="s">
        <v>101</v>
      </c>
      <c r="C1079" t="s">
        <v>58</v>
      </c>
      <c r="D1079" t="s">
        <v>156</v>
      </c>
      <c r="E1079" t="s">
        <v>26</v>
      </c>
      <c r="F1079" t="s">
        <v>53</v>
      </c>
      <c r="G1079" t="s">
        <v>54</v>
      </c>
      <c r="H1079" s="3">
        <v>37085.410000000003</v>
      </c>
      <c r="I1079" s="4">
        <v>1</v>
      </c>
      <c r="J1079" s="3">
        <v>3462.02</v>
      </c>
      <c r="K1079" t="str">
        <f t="shared" si="32"/>
        <v>February</v>
      </c>
      <c r="L1079">
        <f t="shared" si="33"/>
        <v>2025</v>
      </c>
    </row>
    <row r="1080" spans="1:12" x14ac:dyDescent="0.3">
      <c r="A1080" s="2">
        <v>45699</v>
      </c>
      <c r="B1080" t="s">
        <v>113</v>
      </c>
      <c r="C1080" t="s">
        <v>58</v>
      </c>
      <c r="D1080" t="s">
        <v>156</v>
      </c>
      <c r="E1080" t="s">
        <v>42</v>
      </c>
      <c r="F1080" t="s">
        <v>43</v>
      </c>
      <c r="G1080" t="s">
        <v>44</v>
      </c>
      <c r="H1080" s="3">
        <v>13623.06</v>
      </c>
      <c r="I1080" s="4">
        <v>1</v>
      </c>
      <c r="J1080" s="3">
        <v>3117.7</v>
      </c>
      <c r="K1080" t="str">
        <f t="shared" si="32"/>
        <v>February</v>
      </c>
      <c r="L1080">
        <f t="shared" si="33"/>
        <v>2025</v>
      </c>
    </row>
    <row r="1081" spans="1:12" x14ac:dyDescent="0.3">
      <c r="A1081" s="2">
        <v>45699</v>
      </c>
      <c r="B1081" t="s">
        <v>92</v>
      </c>
      <c r="C1081" t="s">
        <v>68</v>
      </c>
      <c r="D1081" t="s">
        <v>156</v>
      </c>
      <c r="E1081" t="s">
        <v>35</v>
      </c>
      <c r="F1081" t="s">
        <v>75</v>
      </c>
      <c r="G1081" t="s">
        <v>110</v>
      </c>
      <c r="H1081" s="3">
        <v>141413.47</v>
      </c>
      <c r="I1081" s="4">
        <v>3</v>
      </c>
      <c r="J1081" s="3">
        <v>12640.1</v>
      </c>
      <c r="K1081" t="str">
        <f t="shared" si="32"/>
        <v>February</v>
      </c>
      <c r="L1081">
        <f t="shared" si="33"/>
        <v>2025</v>
      </c>
    </row>
    <row r="1082" spans="1:12" x14ac:dyDescent="0.3">
      <c r="A1082" s="2">
        <v>45700</v>
      </c>
      <c r="B1082" t="s">
        <v>34</v>
      </c>
      <c r="C1082" t="s">
        <v>39</v>
      </c>
      <c r="D1082" t="s">
        <v>156</v>
      </c>
      <c r="E1082" t="s">
        <v>18</v>
      </c>
      <c r="F1082" t="s">
        <v>40</v>
      </c>
      <c r="G1082" t="s">
        <v>115</v>
      </c>
      <c r="H1082" s="3">
        <v>10715.66</v>
      </c>
      <c r="I1082" s="4">
        <v>1</v>
      </c>
      <c r="J1082" s="3">
        <v>887.47</v>
      </c>
      <c r="K1082" t="str">
        <f t="shared" si="32"/>
        <v>February</v>
      </c>
      <c r="L1082">
        <f t="shared" si="33"/>
        <v>2025</v>
      </c>
    </row>
    <row r="1083" spans="1:12" x14ac:dyDescent="0.3">
      <c r="A1083" s="2">
        <v>45700</v>
      </c>
      <c r="B1083" t="s">
        <v>80</v>
      </c>
      <c r="C1083" t="s">
        <v>69</v>
      </c>
      <c r="D1083" t="s">
        <v>156</v>
      </c>
      <c r="E1083" t="s">
        <v>26</v>
      </c>
      <c r="F1083" t="s">
        <v>53</v>
      </c>
      <c r="G1083" t="s">
        <v>104</v>
      </c>
      <c r="H1083" s="3">
        <v>164088.5</v>
      </c>
      <c r="I1083" s="4">
        <v>2</v>
      </c>
      <c r="J1083" s="3">
        <v>25902.18</v>
      </c>
      <c r="K1083" t="str">
        <f t="shared" si="32"/>
        <v>February</v>
      </c>
      <c r="L1083">
        <f t="shared" si="33"/>
        <v>2025</v>
      </c>
    </row>
    <row r="1084" spans="1:12" x14ac:dyDescent="0.3">
      <c r="A1084" s="2">
        <v>45702</v>
      </c>
      <c r="B1084" t="s">
        <v>73</v>
      </c>
      <c r="C1084" t="s">
        <v>17</v>
      </c>
      <c r="D1084" t="s">
        <v>156</v>
      </c>
      <c r="E1084" t="s">
        <v>35</v>
      </c>
      <c r="F1084" t="s">
        <v>63</v>
      </c>
      <c r="G1084" t="s">
        <v>64</v>
      </c>
      <c r="H1084" s="3">
        <v>85984.320000000007</v>
      </c>
      <c r="I1084" s="4">
        <v>3</v>
      </c>
      <c r="J1084" s="3">
        <v>14702.39</v>
      </c>
      <c r="K1084" t="str">
        <f t="shared" si="32"/>
        <v>February</v>
      </c>
      <c r="L1084">
        <f t="shared" si="33"/>
        <v>2025</v>
      </c>
    </row>
    <row r="1085" spans="1:12" x14ac:dyDescent="0.3">
      <c r="A1085" s="2">
        <v>45703</v>
      </c>
      <c r="B1085" t="s">
        <v>45</v>
      </c>
      <c r="C1085" t="s">
        <v>69</v>
      </c>
      <c r="D1085" t="s">
        <v>156</v>
      </c>
      <c r="E1085" t="s">
        <v>26</v>
      </c>
      <c r="F1085" t="s">
        <v>27</v>
      </c>
      <c r="G1085" t="s">
        <v>31</v>
      </c>
      <c r="H1085" s="3">
        <v>19978.54</v>
      </c>
      <c r="I1085" s="4">
        <v>2</v>
      </c>
      <c r="J1085" s="3">
        <v>2171.4899999999998</v>
      </c>
      <c r="K1085" t="str">
        <f t="shared" si="32"/>
        <v>February</v>
      </c>
      <c r="L1085">
        <f t="shared" si="33"/>
        <v>2025</v>
      </c>
    </row>
    <row r="1086" spans="1:12" x14ac:dyDescent="0.3">
      <c r="A1086" s="2">
        <v>45703</v>
      </c>
      <c r="B1086" t="s">
        <v>71</v>
      </c>
      <c r="C1086" t="s">
        <v>49</v>
      </c>
      <c r="D1086" t="s">
        <v>156</v>
      </c>
      <c r="E1086" t="s">
        <v>35</v>
      </c>
      <c r="F1086" t="s">
        <v>75</v>
      </c>
      <c r="G1086" t="s">
        <v>76</v>
      </c>
      <c r="H1086" s="3">
        <v>38924.25</v>
      </c>
      <c r="I1086" s="4">
        <v>1</v>
      </c>
      <c r="J1086" s="3">
        <v>3357.23</v>
      </c>
      <c r="K1086" t="str">
        <f t="shared" si="32"/>
        <v>February</v>
      </c>
      <c r="L1086">
        <f t="shared" si="33"/>
        <v>2025</v>
      </c>
    </row>
    <row r="1087" spans="1:12" x14ac:dyDescent="0.3">
      <c r="A1087" s="2">
        <v>45704</v>
      </c>
      <c r="B1087" t="s">
        <v>71</v>
      </c>
      <c r="C1087" t="s">
        <v>69</v>
      </c>
      <c r="D1087" t="s">
        <v>156</v>
      </c>
      <c r="E1087" t="s">
        <v>26</v>
      </c>
      <c r="F1087" t="s">
        <v>53</v>
      </c>
      <c r="G1087" t="s">
        <v>98</v>
      </c>
      <c r="H1087" s="3">
        <v>29317.06</v>
      </c>
      <c r="I1087" s="4">
        <v>1</v>
      </c>
      <c r="J1087" s="3">
        <v>4872.1899999999996</v>
      </c>
      <c r="K1087" t="str">
        <f t="shared" si="32"/>
        <v>February</v>
      </c>
      <c r="L1087">
        <f t="shared" si="33"/>
        <v>2025</v>
      </c>
    </row>
    <row r="1088" spans="1:12" x14ac:dyDescent="0.3">
      <c r="A1088" s="2">
        <v>45704</v>
      </c>
      <c r="B1088" t="s">
        <v>86</v>
      </c>
      <c r="C1088" t="s">
        <v>39</v>
      </c>
      <c r="D1088" t="s">
        <v>156</v>
      </c>
      <c r="E1088" t="s">
        <v>13</v>
      </c>
      <c r="F1088" t="s">
        <v>14</v>
      </c>
      <c r="G1088" t="s">
        <v>88</v>
      </c>
      <c r="H1088" s="3">
        <v>1438.48</v>
      </c>
      <c r="I1088" s="4">
        <v>1</v>
      </c>
      <c r="J1088" s="3">
        <v>122.34</v>
      </c>
      <c r="K1088" t="str">
        <f t="shared" si="32"/>
        <v>February</v>
      </c>
      <c r="L1088">
        <f t="shared" si="33"/>
        <v>2025</v>
      </c>
    </row>
    <row r="1089" spans="1:12" x14ac:dyDescent="0.3">
      <c r="A1089" s="2">
        <v>45705</v>
      </c>
      <c r="B1089" t="s">
        <v>113</v>
      </c>
      <c r="C1089" t="s">
        <v>49</v>
      </c>
      <c r="D1089" t="s">
        <v>156</v>
      </c>
      <c r="E1089" t="s">
        <v>42</v>
      </c>
      <c r="F1089" t="s">
        <v>43</v>
      </c>
      <c r="G1089" t="s">
        <v>87</v>
      </c>
      <c r="H1089" s="3">
        <v>23643.63</v>
      </c>
      <c r="I1089" s="4">
        <v>2</v>
      </c>
      <c r="J1089" s="3">
        <v>2874.85</v>
      </c>
      <c r="K1089" t="str">
        <f t="shared" si="32"/>
        <v>February</v>
      </c>
      <c r="L1089">
        <f t="shared" si="33"/>
        <v>2025</v>
      </c>
    </row>
    <row r="1090" spans="1:12" x14ac:dyDescent="0.3">
      <c r="A1090" s="2">
        <v>45705</v>
      </c>
      <c r="B1090" t="s">
        <v>95</v>
      </c>
      <c r="C1090" t="s">
        <v>69</v>
      </c>
      <c r="D1090" t="s">
        <v>156</v>
      </c>
      <c r="E1090" t="s">
        <v>13</v>
      </c>
      <c r="F1090" t="s">
        <v>14</v>
      </c>
      <c r="G1090" t="s">
        <v>111</v>
      </c>
      <c r="H1090" s="3">
        <v>3861.37</v>
      </c>
      <c r="I1090" s="4">
        <v>2</v>
      </c>
      <c r="J1090" s="3">
        <v>366.57</v>
      </c>
      <c r="K1090" t="str">
        <f t="shared" si="32"/>
        <v>February</v>
      </c>
      <c r="L1090">
        <f t="shared" si="33"/>
        <v>2025</v>
      </c>
    </row>
    <row r="1091" spans="1:12" x14ac:dyDescent="0.3">
      <c r="A1091" s="2">
        <v>45706</v>
      </c>
      <c r="B1091" t="s">
        <v>65</v>
      </c>
      <c r="C1091" t="s">
        <v>62</v>
      </c>
      <c r="D1091" t="s">
        <v>156</v>
      </c>
      <c r="E1091" t="s">
        <v>35</v>
      </c>
      <c r="F1091" t="s">
        <v>63</v>
      </c>
      <c r="G1091" t="s">
        <v>114</v>
      </c>
      <c r="H1091" s="3">
        <v>27523.56</v>
      </c>
      <c r="I1091" s="4">
        <v>1</v>
      </c>
      <c r="J1091" s="3">
        <v>5101</v>
      </c>
      <c r="K1091" t="str">
        <f t="shared" ref="K1091:K1154" si="34">TEXT(A1091,"mmmm")</f>
        <v>February</v>
      </c>
      <c r="L1091">
        <f t="shared" ref="L1091:L1154" si="35">YEAR(A1091)</f>
        <v>2025</v>
      </c>
    </row>
    <row r="1092" spans="1:12" x14ac:dyDescent="0.3">
      <c r="A1092" s="2">
        <v>45707</v>
      </c>
      <c r="B1092" t="s">
        <v>38</v>
      </c>
      <c r="C1092" t="s">
        <v>81</v>
      </c>
      <c r="D1092" t="s">
        <v>156</v>
      </c>
      <c r="E1092" t="s">
        <v>35</v>
      </c>
      <c r="F1092" t="s">
        <v>63</v>
      </c>
      <c r="G1092" t="s">
        <v>64</v>
      </c>
      <c r="H1092" s="3">
        <v>106907.35</v>
      </c>
      <c r="I1092" s="4">
        <v>4</v>
      </c>
      <c r="J1092" s="3">
        <v>13850.08</v>
      </c>
      <c r="K1092" t="str">
        <f t="shared" si="34"/>
        <v>February</v>
      </c>
      <c r="L1092">
        <f t="shared" si="35"/>
        <v>2025</v>
      </c>
    </row>
    <row r="1093" spans="1:12" x14ac:dyDescent="0.3">
      <c r="A1093" s="2">
        <v>45709</v>
      </c>
      <c r="B1093" t="s">
        <v>78</v>
      </c>
      <c r="C1093" t="s">
        <v>61</v>
      </c>
      <c r="D1093" t="s">
        <v>156</v>
      </c>
      <c r="E1093" t="s">
        <v>42</v>
      </c>
      <c r="F1093" t="s">
        <v>43</v>
      </c>
      <c r="G1093" t="s">
        <v>89</v>
      </c>
      <c r="H1093" s="3">
        <v>33267.11</v>
      </c>
      <c r="I1093" s="4">
        <v>1</v>
      </c>
      <c r="J1093" s="3">
        <v>4611.92</v>
      </c>
      <c r="K1093" t="str">
        <f t="shared" si="34"/>
        <v>February</v>
      </c>
      <c r="L1093">
        <f t="shared" si="35"/>
        <v>2025</v>
      </c>
    </row>
    <row r="1094" spans="1:12" x14ac:dyDescent="0.3">
      <c r="A1094" s="2">
        <v>45710</v>
      </c>
      <c r="B1094" t="s">
        <v>103</v>
      </c>
      <c r="C1094" t="s">
        <v>12</v>
      </c>
      <c r="D1094" t="s">
        <v>156</v>
      </c>
      <c r="E1094" t="s">
        <v>35</v>
      </c>
      <c r="F1094" t="s">
        <v>75</v>
      </c>
      <c r="G1094" t="s">
        <v>110</v>
      </c>
      <c r="H1094" s="3">
        <v>125788.77</v>
      </c>
      <c r="I1094" s="4">
        <v>3</v>
      </c>
      <c r="J1094" s="3">
        <v>21456.11</v>
      </c>
      <c r="K1094" t="str">
        <f t="shared" si="34"/>
        <v>February</v>
      </c>
      <c r="L1094">
        <f t="shared" si="35"/>
        <v>2025</v>
      </c>
    </row>
    <row r="1095" spans="1:12" x14ac:dyDescent="0.3">
      <c r="A1095" s="2">
        <v>45711</v>
      </c>
      <c r="B1095" t="s">
        <v>11</v>
      </c>
      <c r="C1095" t="s">
        <v>56</v>
      </c>
      <c r="D1095" t="s">
        <v>156</v>
      </c>
      <c r="E1095" t="s">
        <v>35</v>
      </c>
      <c r="F1095" t="s">
        <v>63</v>
      </c>
      <c r="G1095" t="s">
        <v>64</v>
      </c>
      <c r="H1095" s="3">
        <v>55858.31</v>
      </c>
      <c r="I1095" s="4">
        <v>2</v>
      </c>
      <c r="J1095" s="3">
        <v>9907.5400000000009</v>
      </c>
      <c r="K1095" t="str">
        <f t="shared" si="34"/>
        <v>February</v>
      </c>
      <c r="L1095">
        <f t="shared" si="35"/>
        <v>2025</v>
      </c>
    </row>
    <row r="1096" spans="1:12" x14ac:dyDescent="0.3">
      <c r="A1096" s="2">
        <v>45711</v>
      </c>
      <c r="B1096" t="s">
        <v>74</v>
      </c>
      <c r="C1096" t="s">
        <v>46</v>
      </c>
      <c r="D1096" t="s">
        <v>156</v>
      </c>
      <c r="E1096" t="s">
        <v>42</v>
      </c>
      <c r="F1096" t="s">
        <v>43</v>
      </c>
      <c r="G1096" t="s">
        <v>44</v>
      </c>
      <c r="H1096" s="3">
        <v>39558.78</v>
      </c>
      <c r="I1096" s="4">
        <v>3</v>
      </c>
      <c r="J1096" s="3">
        <v>6577.71</v>
      </c>
      <c r="K1096" t="str">
        <f t="shared" si="34"/>
        <v>February</v>
      </c>
      <c r="L1096">
        <f t="shared" si="35"/>
        <v>2025</v>
      </c>
    </row>
    <row r="1097" spans="1:12" x14ac:dyDescent="0.3">
      <c r="A1097" s="2">
        <v>45712</v>
      </c>
      <c r="B1097" t="s">
        <v>93</v>
      </c>
      <c r="C1097" t="s">
        <v>39</v>
      </c>
      <c r="D1097" t="s">
        <v>156</v>
      </c>
      <c r="E1097" t="s">
        <v>13</v>
      </c>
      <c r="F1097" t="s">
        <v>23</v>
      </c>
      <c r="G1097" t="s">
        <v>79</v>
      </c>
      <c r="H1097" s="3">
        <v>58146.18</v>
      </c>
      <c r="I1097" s="4">
        <v>1</v>
      </c>
      <c r="J1097" s="3">
        <v>6577.13</v>
      </c>
      <c r="K1097" t="str">
        <f t="shared" si="34"/>
        <v>February</v>
      </c>
      <c r="L1097">
        <f t="shared" si="35"/>
        <v>2025</v>
      </c>
    </row>
    <row r="1098" spans="1:12" x14ac:dyDescent="0.3">
      <c r="A1098" s="2">
        <v>45713</v>
      </c>
      <c r="B1098" t="s">
        <v>73</v>
      </c>
      <c r="C1098" t="s">
        <v>68</v>
      </c>
      <c r="D1098" t="s">
        <v>156</v>
      </c>
      <c r="E1098" t="s">
        <v>18</v>
      </c>
      <c r="F1098" t="s">
        <v>19</v>
      </c>
      <c r="G1098" t="s">
        <v>33</v>
      </c>
      <c r="H1098" s="3">
        <v>58095.43</v>
      </c>
      <c r="I1098" s="4">
        <v>1</v>
      </c>
      <c r="J1098" s="3">
        <v>7281.66</v>
      </c>
      <c r="K1098" t="str">
        <f t="shared" si="34"/>
        <v>February</v>
      </c>
      <c r="L1098">
        <f t="shared" si="35"/>
        <v>2025</v>
      </c>
    </row>
    <row r="1099" spans="1:12" x14ac:dyDescent="0.3">
      <c r="A1099" s="2">
        <v>45713</v>
      </c>
      <c r="B1099" t="s">
        <v>65</v>
      </c>
      <c r="C1099" t="s">
        <v>49</v>
      </c>
      <c r="D1099" t="s">
        <v>156</v>
      </c>
      <c r="E1099" t="s">
        <v>42</v>
      </c>
      <c r="F1099" t="s">
        <v>90</v>
      </c>
      <c r="G1099" t="s">
        <v>97</v>
      </c>
      <c r="H1099" s="3">
        <v>4958.5</v>
      </c>
      <c r="I1099" s="4">
        <v>2</v>
      </c>
      <c r="J1099" s="3">
        <v>614.48</v>
      </c>
      <c r="K1099" t="str">
        <f t="shared" si="34"/>
        <v>February</v>
      </c>
      <c r="L1099">
        <f t="shared" si="35"/>
        <v>2025</v>
      </c>
    </row>
    <row r="1100" spans="1:12" x14ac:dyDescent="0.3">
      <c r="A1100" s="2">
        <v>45713</v>
      </c>
      <c r="B1100" t="s">
        <v>71</v>
      </c>
      <c r="C1100" t="s">
        <v>39</v>
      </c>
      <c r="D1100" t="s">
        <v>156</v>
      </c>
      <c r="E1100" t="s">
        <v>26</v>
      </c>
      <c r="F1100" t="s">
        <v>53</v>
      </c>
      <c r="G1100" t="s">
        <v>100</v>
      </c>
      <c r="H1100" s="3">
        <v>194639.45</v>
      </c>
      <c r="I1100" s="4">
        <v>2</v>
      </c>
      <c r="J1100" s="3">
        <v>15806.02</v>
      </c>
      <c r="K1100" t="str">
        <f t="shared" si="34"/>
        <v>February</v>
      </c>
      <c r="L1100">
        <f t="shared" si="35"/>
        <v>2025</v>
      </c>
    </row>
    <row r="1101" spans="1:12" x14ac:dyDescent="0.3">
      <c r="A1101" s="2">
        <v>45714</v>
      </c>
      <c r="B1101" t="s">
        <v>109</v>
      </c>
      <c r="C1101" t="s">
        <v>46</v>
      </c>
      <c r="D1101" t="s">
        <v>156</v>
      </c>
      <c r="E1101" t="s">
        <v>26</v>
      </c>
      <c r="F1101" t="s">
        <v>27</v>
      </c>
      <c r="G1101" t="s">
        <v>31</v>
      </c>
      <c r="H1101" s="3">
        <v>32979.449999999997</v>
      </c>
      <c r="I1101" s="4">
        <v>4</v>
      </c>
      <c r="J1101" s="3">
        <v>4131.82</v>
      </c>
      <c r="K1101" t="str">
        <f t="shared" si="34"/>
        <v>February</v>
      </c>
      <c r="L1101">
        <f t="shared" si="35"/>
        <v>2025</v>
      </c>
    </row>
    <row r="1102" spans="1:12" x14ac:dyDescent="0.3">
      <c r="A1102" s="2">
        <v>45714</v>
      </c>
      <c r="B1102" t="s">
        <v>83</v>
      </c>
      <c r="C1102" t="s">
        <v>68</v>
      </c>
      <c r="D1102" t="s">
        <v>156</v>
      </c>
      <c r="E1102" t="s">
        <v>42</v>
      </c>
      <c r="F1102" t="s">
        <v>43</v>
      </c>
      <c r="G1102" t="s">
        <v>44</v>
      </c>
      <c r="H1102" s="3">
        <v>59339.81</v>
      </c>
      <c r="I1102" s="4">
        <v>4</v>
      </c>
      <c r="J1102" s="3">
        <v>12360.79</v>
      </c>
      <c r="K1102" t="str">
        <f t="shared" si="34"/>
        <v>February</v>
      </c>
      <c r="L1102">
        <f t="shared" si="35"/>
        <v>2025</v>
      </c>
    </row>
    <row r="1103" spans="1:12" x14ac:dyDescent="0.3">
      <c r="A1103" s="2">
        <v>45714</v>
      </c>
      <c r="B1103" t="s">
        <v>101</v>
      </c>
      <c r="C1103" t="s">
        <v>22</v>
      </c>
      <c r="D1103" t="s">
        <v>156</v>
      </c>
      <c r="E1103" t="s">
        <v>18</v>
      </c>
      <c r="F1103" t="s">
        <v>40</v>
      </c>
      <c r="G1103" t="s">
        <v>102</v>
      </c>
      <c r="H1103" s="3">
        <v>1263.52</v>
      </c>
      <c r="I1103" s="4">
        <v>1</v>
      </c>
      <c r="J1103" s="3">
        <v>-69.98</v>
      </c>
      <c r="K1103" t="str">
        <f t="shared" si="34"/>
        <v>February</v>
      </c>
      <c r="L1103">
        <f t="shared" si="35"/>
        <v>2025</v>
      </c>
    </row>
    <row r="1104" spans="1:12" x14ac:dyDescent="0.3">
      <c r="A1104" s="2">
        <v>45715</v>
      </c>
      <c r="B1104" t="s">
        <v>116</v>
      </c>
      <c r="C1104" t="s">
        <v>69</v>
      </c>
      <c r="D1104" t="s">
        <v>156</v>
      </c>
      <c r="E1104" t="s">
        <v>18</v>
      </c>
      <c r="F1104" t="s">
        <v>19</v>
      </c>
      <c r="G1104" t="s">
        <v>20</v>
      </c>
      <c r="H1104" s="3">
        <v>64688.26</v>
      </c>
      <c r="I1104" s="4">
        <v>1</v>
      </c>
      <c r="J1104" s="3">
        <v>10648.31</v>
      </c>
      <c r="K1104" t="str">
        <f t="shared" si="34"/>
        <v>February</v>
      </c>
      <c r="L1104">
        <f t="shared" si="35"/>
        <v>2025</v>
      </c>
    </row>
    <row r="1105" spans="1:12" x14ac:dyDescent="0.3">
      <c r="A1105" s="2">
        <v>45715</v>
      </c>
      <c r="B1105" t="s">
        <v>38</v>
      </c>
      <c r="C1105" t="s">
        <v>56</v>
      </c>
      <c r="D1105" t="s">
        <v>156</v>
      </c>
      <c r="E1105" t="s">
        <v>18</v>
      </c>
      <c r="F1105" t="s">
        <v>19</v>
      </c>
      <c r="G1105" t="s">
        <v>20</v>
      </c>
      <c r="H1105" s="3">
        <v>312870.78000000003</v>
      </c>
      <c r="I1105" s="4">
        <v>5</v>
      </c>
      <c r="J1105" s="3">
        <v>23176.62</v>
      </c>
      <c r="K1105" t="str">
        <f t="shared" si="34"/>
        <v>February</v>
      </c>
      <c r="L1105">
        <f t="shared" si="35"/>
        <v>2025</v>
      </c>
    </row>
    <row r="1106" spans="1:12" x14ac:dyDescent="0.3">
      <c r="A1106" s="2">
        <v>45716</v>
      </c>
      <c r="B1106" t="s">
        <v>55</v>
      </c>
      <c r="C1106" t="s">
        <v>17</v>
      </c>
      <c r="D1106" t="s">
        <v>156</v>
      </c>
      <c r="E1106" t="s">
        <v>42</v>
      </c>
      <c r="F1106" t="s">
        <v>90</v>
      </c>
      <c r="G1106" t="s">
        <v>120</v>
      </c>
      <c r="H1106" s="3">
        <v>5301.43</v>
      </c>
      <c r="I1106" s="4">
        <v>1</v>
      </c>
      <c r="J1106" s="3">
        <v>1036.3399999999999</v>
      </c>
      <c r="K1106" t="str">
        <f t="shared" si="34"/>
        <v>February</v>
      </c>
      <c r="L1106">
        <f t="shared" si="35"/>
        <v>2025</v>
      </c>
    </row>
    <row r="1107" spans="1:12" x14ac:dyDescent="0.3">
      <c r="A1107" s="2">
        <v>45717</v>
      </c>
      <c r="B1107" t="s">
        <v>71</v>
      </c>
      <c r="C1107" t="s">
        <v>17</v>
      </c>
      <c r="D1107" t="s">
        <v>156</v>
      </c>
      <c r="E1107" t="s">
        <v>18</v>
      </c>
      <c r="F1107" t="s">
        <v>19</v>
      </c>
      <c r="G1107" t="s">
        <v>106</v>
      </c>
      <c r="H1107" s="3">
        <v>279724.28999999998</v>
      </c>
      <c r="I1107" s="4">
        <v>3</v>
      </c>
      <c r="J1107" s="3">
        <v>42037.43</v>
      </c>
      <c r="K1107" t="str">
        <f t="shared" si="34"/>
        <v>March</v>
      </c>
      <c r="L1107">
        <f t="shared" si="35"/>
        <v>2025</v>
      </c>
    </row>
    <row r="1108" spans="1:12" x14ac:dyDescent="0.3">
      <c r="A1108" s="2">
        <v>45718</v>
      </c>
      <c r="B1108" t="s">
        <v>74</v>
      </c>
      <c r="C1108" t="s">
        <v>61</v>
      </c>
      <c r="D1108" t="s">
        <v>156</v>
      </c>
      <c r="E1108" t="s">
        <v>35</v>
      </c>
      <c r="F1108" t="s">
        <v>50</v>
      </c>
      <c r="G1108" t="s">
        <v>119</v>
      </c>
      <c r="H1108" s="3">
        <v>10874.74</v>
      </c>
      <c r="I1108" s="4">
        <v>4</v>
      </c>
      <c r="J1108" s="3">
        <v>1915.45</v>
      </c>
      <c r="K1108" t="str">
        <f t="shared" si="34"/>
        <v>March</v>
      </c>
      <c r="L1108">
        <f t="shared" si="35"/>
        <v>2025</v>
      </c>
    </row>
    <row r="1109" spans="1:12" x14ac:dyDescent="0.3">
      <c r="A1109" s="2">
        <v>45720</v>
      </c>
      <c r="B1109" t="s">
        <v>32</v>
      </c>
      <c r="C1109" t="s">
        <v>62</v>
      </c>
      <c r="D1109" t="s">
        <v>156</v>
      </c>
      <c r="E1109" t="s">
        <v>35</v>
      </c>
      <c r="F1109" t="s">
        <v>75</v>
      </c>
      <c r="G1109" t="s">
        <v>76</v>
      </c>
      <c r="H1109" s="3">
        <v>42857.78</v>
      </c>
      <c r="I1109" s="4">
        <v>1</v>
      </c>
      <c r="J1109" s="3">
        <v>5820.38</v>
      </c>
      <c r="K1109" t="str">
        <f t="shared" si="34"/>
        <v>March</v>
      </c>
      <c r="L1109">
        <f t="shared" si="35"/>
        <v>2025</v>
      </c>
    </row>
    <row r="1110" spans="1:12" x14ac:dyDescent="0.3">
      <c r="A1110" s="2">
        <v>45720</v>
      </c>
      <c r="B1110" t="s">
        <v>29</v>
      </c>
      <c r="C1110" t="s">
        <v>68</v>
      </c>
      <c r="D1110" t="s">
        <v>156</v>
      </c>
      <c r="E1110" t="s">
        <v>35</v>
      </c>
      <c r="F1110" t="s">
        <v>50</v>
      </c>
      <c r="G1110" t="s">
        <v>121</v>
      </c>
      <c r="H1110" s="3">
        <v>14503.03</v>
      </c>
      <c r="I1110" s="4">
        <v>3</v>
      </c>
      <c r="J1110" s="3">
        <v>1701.84</v>
      </c>
      <c r="K1110" t="str">
        <f t="shared" si="34"/>
        <v>March</v>
      </c>
      <c r="L1110">
        <f t="shared" si="35"/>
        <v>2025</v>
      </c>
    </row>
    <row r="1111" spans="1:12" x14ac:dyDescent="0.3">
      <c r="A1111" s="2">
        <v>45721</v>
      </c>
      <c r="B1111" t="s">
        <v>60</v>
      </c>
      <c r="C1111" t="s">
        <v>12</v>
      </c>
      <c r="D1111" t="s">
        <v>156</v>
      </c>
      <c r="E1111" t="s">
        <v>42</v>
      </c>
      <c r="F1111" t="s">
        <v>43</v>
      </c>
      <c r="G1111" t="s">
        <v>87</v>
      </c>
      <c r="H1111" s="3">
        <v>30742.19</v>
      </c>
      <c r="I1111" s="4">
        <v>3</v>
      </c>
      <c r="J1111" s="3">
        <v>5716.25</v>
      </c>
      <c r="K1111" t="str">
        <f t="shared" si="34"/>
        <v>March</v>
      </c>
      <c r="L1111">
        <f t="shared" si="35"/>
        <v>2025</v>
      </c>
    </row>
    <row r="1112" spans="1:12" x14ac:dyDescent="0.3">
      <c r="A1112" s="2">
        <v>45722</v>
      </c>
      <c r="B1112" t="s">
        <v>34</v>
      </c>
      <c r="C1112" t="s">
        <v>68</v>
      </c>
      <c r="D1112" t="s">
        <v>156</v>
      </c>
      <c r="E1112" t="s">
        <v>42</v>
      </c>
      <c r="F1112" t="s">
        <v>90</v>
      </c>
      <c r="G1112" t="s">
        <v>97</v>
      </c>
      <c r="H1112" s="3">
        <v>2293.0500000000002</v>
      </c>
      <c r="I1112" s="4">
        <v>1</v>
      </c>
      <c r="J1112" s="3">
        <v>284.69</v>
      </c>
      <c r="K1112" t="str">
        <f t="shared" si="34"/>
        <v>March</v>
      </c>
      <c r="L1112">
        <f t="shared" si="35"/>
        <v>2025</v>
      </c>
    </row>
    <row r="1113" spans="1:12" x14ac:dyDescent="0.3">
      <c r="A1113" s="2">
        <v>45722</v>
      </c>
      <c r="B1113" t="s">
        <v>71</v>
      </c>
      <c r="C1113" t="s">
        <v>22</v>
      </c>
      <c r="D1113" t="s">
        <v>156</v>
      </c>
      <c r="E1113" t="s">
        <v>26</v>
      </c>
      <c r="F1113" t="s">
        <v>27</v>
      </c>
      <c r="G1113" t="s">
        <v>28</v>
      </c>
      <c r="H1113" s="3">
        <v>23641.18</v>
      </c>
      <c r="I1113" s="4">
        <v>1</v>
      </c>
      <c r="J1113" s="3">
        <v>1991.9</v>
      </c>
      <c r="K1113" t="str">
        <f t="shared" si="34"/>
        <v>March</v>
      </c>
      <c r="L1113">
        <f t="shared" si="35"/>
        <v>2025</v>
      </c>
    </row>
    <row r="1114" spans="1:12" x14ac:dyDescent="0.3">
      <c r="A1114" s="2">
        <v>45722</v>
      </c>
      <c r="B1114" t="s">
        <v>67</v>
      </c>
      <c r="C1114" t="s">
        <v>62</v>
      </c>
      <c r="D1114" t="s">
        <v>156</v>
      </c>
      <c r="E1114" t="s">
        <v>18</v>
      </c>
      <c r="F1114" t="s">
        <v>40</v>
      </c>
      <c r="G1114" t="s">
        <v>41</v>
      </c>
      <c r="H1114" s="3">
        <v>17178.57</v>
      </c>
      <c r="I1114" s="4">
        <v>1</v>
      </c>
      <c r="J1114" s="3">
        <v>1625.1</v>
      </c>
      <c r="K1114" t="str">
        <f t="shared" si="34"/>
        <v>March</v>
      </c>
      <c r="L1114">
        <f t="shared" si="35"/>
        <v>2025</v>
      </c>
    </row>
    <row r="1115" spans="1:12" x14ac:dyDescent="0.3">
      <c r="A1115" s="2">
        <v>45723</v>
      </c>
      <c r="B1115" t="s">
        <v>55</v>
      </c>
      <c r="C1115" t="s">
        <v>30</v>
      </c>
      <c r="D1115" t="s">
        <v>156</v>
      </c>
      <c r="E1115" t="s">
        <v>13</v>
      </c>
      <c r="F1115" t="s">
        <v>23</v>
      </c>
      <c r="G1115" t="s">
        <v>47</v>
      </c>
      <c r="H1115" s="3">
        <v>68249.08</v>
      </c>
      <c r="I1115" s="4">
        <v>1</v>
      </c>
      <c r="J1115" s="3">
        <v>8808.5400000000009</v>
      </c>
      <c r="K1115" t="str">
        <f t="shared" si="34"/>
        <v>March</v>
      </c>
      <c r="L1115">
        <f t="shared" si="35"/>
        <v>2025</v>
      </c>
    </row>
    <row r="1116" spans="1:12" x14ac:dyDescent="0.3">
      <c r="A1116" s="2">
        <v>45723</v>
      </c>
      <c r="B1116" t="s">
        <v>29</v>
      </c>
      <c r="C1116" t="s">
        <v>58</v>
      </c>
      <c r="D1116" t="s">
        <v>156</v>
      </c>
      <c r="E1116" t="s">
        <v>13</v>
      </c>
      <c r="F1116" t="s">
        <v>23</v>
      </c>
      <c r="G1116" t="s">
        <v>24</v>
      </c>
      <c r="H1116" s="3">
        <v>63344.86</v>
      </c>
      <c r="I1116" s="4">
        <v>1</v>
      </c>
      <c r="J1116" s="3">
        <v>9275.89</v>
      </c>
      <c r="K1116" t="str">
        <f t="shared" si="34"/>
        <v>March</v>
      </c>
      <c r="L1116">
        <f t="shared" si="35"/>
        <v>2025</v>
      </c>
    </row>
    <row r="1117" spans="1:12" x14ac:dyDescent="0.3">
      <c r="A1117" s="2">
        <v>45723</v>
      </c>
      <c r="B1117" t="s">
        <v>21</v>
      </c>
      <c r="C1117" t="s">
        <v>58</v>
      </c>
      <c r="D1117" t="s">
        <v>156</v>
      </c>
      <c r="E1117" t="s">
        <v>18</v>
      </c>
      <c r="F1117" t="s">
        <v>19</v>
      </c>
      <c r="G1117" t="s">
        <v>106</v>
      </c>
      <c r="H1117" s="3">
        <v>289814.75</v>
      </c>
      <c r="I1117" s="4">
        <v>3</v>
      </c>
      <c r="J1117" s="3">
        <v>22871.82</v>
      </c>
      <c r="K1117" t="str">
        <f t="shared" si="34"/>
        <v>March</v>
      </c>
      <c r="L1117">
        <f t="shared" si="35"/>
        <v>2025</v>
      </c>
    </row>
    <row r="1118" spans="1:12" x14ac:dyDescent="0.3">
      <c r="A1118" s="2">
        <v>45724</v>
      </c>
      <c r="B1118" t="s">
        <v>32</v>
      </c>
      <c r="C1118" t="s">
        <v>62</v>
      </c>
      <c r="D1118" t="s">
        <v>156</v>
      </c>
      <c r="E1118" t="s">
        <v>42</v>
      </c>
      <c r="F1118" t="s">
        <v>43</v>
      </c>
      <c r="G1118" t="s">
        <v>89</v>
      </c>
      <c r="H1118" s="3">
        <v>66716.759999999995</v>
      </c>
      <c r="I1118" s="4">
        <v>2</v>
      </c>
      <c r="J1118" s="3">
        <v>13085.3</v>
      </c>
      <c r="K1118" t="str">
        <f t="shared" si="34"/>
        <v>March</v>
      </c>
      <c r="L1118">
        <f t="shared" si="35"/>
        <v>2025</v>
      </c>
    </row>
    <row r="1119" spans="1:12" x14ac:dyDescent="0.3">
      <c r="A1119" s="2">
        <v>45725</v>
      </c>
      <c r="B1119" t="s">
        <v>93</v>
      </c>
      <c r="C1119" t="s">
        <v>22</v>
      </c>
      <c r="D1119" t="s">
        <v>156</v>
      </c>
      <c r="E1119" t="s">
        <v>35</v>
      </c>
      <c r="F1119" t="s">
        <v>36</v>
      </c>
      <c r="G1119" t="s">
        <v>99</v>
      </c>
      <c r="H1119" s="3">
        <v>36852.769999999997</v>
      </c>
      <c r="I1119" s="4">
        <v>1</v>
      </c>
      <c r="J1119" s="3">
        <v>3076.58</v>
      </c>
      <c r="K1119" t="str">
        <f t="shared" si="34"/>
        <v>March</v>
      </c>
      <c r="L1119">
        <f t="shared" si="35"/>
        <v>2025</v>
      </c>
    </row>
    <row r="1120" spans="1:12" x14ac:dyDescent="0.3">
      <c r="A1120" s="2">
        <v>45725</v>
      </c>
      <c r="B1120" t="s">
        <v>101</v>
      </c>
      <c r="C1120" t="s">
        <v>68</v>
      </c>
      <c r="D1120" t="s">
        <v>156</v>
      </c>
      <c r="E1120" t="s">
        <v>26</v>
      </c>
      <c r="F1120" t="s">
        <v>27</v>
      </c>
      <c r="G1120" t="s">
        <v>28</v>
      </c>
      <c r="H1120" s="3">
        <v>23912.400000000001</v>
      </c>
      <c r="I1120" s="4">
        <v>1</v>
      </c>
      <c r="J1120" s="3">
        <v>3741.19</v>
      </c>
      <c r="K1120" t="str">
        <f t="shared" si="34"/>
        <v>March</v>
      </c>
      <c r="L1120">
        <f t="shared" si="35"/>
        <v>2025</v>
      </c>
    </row>
    <row r="1121" spans="1:12" x14ac:dyDescent="0.3">
      <c r="A1121" s="2">
        <v>45726</v>
      </c>
      <c r="B1121" t="s">
        <v>71</v>
      </c>
      <c r="C1121" t="s">
        <v>61</v>
      </c>
      <c r="D1121" t="s">
        <v>156</v>
      </c>
      <c r="E1121" t="s">
        <v>18</v>
      </c>
      <c r="F1121" t="s">
        <v>40</v>
      </c>
      <c r="G1121" t="s">
        <v>117</v>
      </c>
      <c r="H1121" s="3">
        <v>2617.02</v>
      </c>
      <c r="I1121" s="4">
        <v>1</v>
      </c>
      <c r="J1121" s="3">
        <v>384.96</v>
      </c>
      <c r="K1121" t="str">
        <f t="shared" si="34"/>
        <v>March</v>
      </c>
      <c r="L1121">
        <f t="shared" si="35"/>
        <v>2025</v>
      </c>
    </row>
    <row r="1122" spans="1:12" x14ac:dyDescent="0.3">
      <c r="A1122" s="2">
        <v>45726</v>
      </c>
      <c r="B1122" t="s">
        <v>74</v>
      </c>
      <c r="C1122" t="s">
        <v>46</v>
      </c>
      <c r="D1122" t="s">
        <v>156</v>
      </c>
      <c r="E1122" t="s">
        <v>13</v>
      </c>
      <c r="F1122" t="s">
        <v>14</v>
      </c>
      <c r="G1122" t="s">
        <v>111</v>
      </c>
      <c r="H1122" s="3">
        <v>3849.82</v>
      </c>
      <c r="I1122" s="4">
        <v>2</v>
      </c>
      <c r="J1122" s="3">
        <v>403.1</v>
      </c>
      <c r="K1122" t="str">
        <f t="shared" si="34"/>
        <v>March</v>
      </c>
      <c r="L1122">
        <f t="shared" si="35"/>
        <v>2025</v>
      </c>
    </row>
    <row r="1123" spans="1:12" x14ac:dyDescent="0.3">
      <c r="A1123" s="2">
        <v>45729</v>
      </c>
      <c r="B1123" t="s">
        <v>25</v>
      </c>
      <c r="C1123" t="s">
        <v>62</v>
      </c>
      <c r="D1123" t="s">
        <v>156</v>
      </c>
      <c r="E1123" t="s">
        <v>13</v>
      </c>
      <c r="F1123" t="s">
        <v>23</v>
      </c>
      <c r="G1123" t="s">
        <v>85</v>
      </c>
      <c r="H1123" s="3">
        <v>124504.79</v>
      </c>
      <c r="I1123" s="4">
        <v>3</v>
      </c>
      <c r="J1123" s="3">
        <v>12128.23</v>
      </c>
      <c r="K1123" t="str">
        <f t="shared" si="34"/>
        <v>March</v>
      </c>
      <c r="L1123">
        <f t="shared" si="35"/>
        <v>2025</v>
      </c>
    </row>
    <row r="1124" spans="1:12" x14ac:dyDescent="0.3">
      <c r="A1124" s="2">
        <v>45729</v>
      </c>
      <c r="B1124" t="s">
        <v>101</v>
      </c>
      <c r="C1124" t="s">
        <v>49</v>
      </c>
      <c r="D1124" t="s">
        <v>156</v>
      </c>
      <c r="E1124" t="s">
        <v>18</v>
      </c>
      <c r="F1124" t="s">
        <v>19</v>
      </c>
      <c r="G1124" t="s">
        <v>20</v>
      </c>
      <c r="H1124" s="3">
        <v>66848.600000000006</v>
      </c>
      <c r="I1124" s="4">
        <v>1</v>
      </c>
      <c r="J1124" s="3">
        <v>7603.5</v>
      </c>
      <c r="K1124" t="str">
        <f t="shared" si="34"/>
        <v>March</v>
      </c>
      <c r="L1124">
        <f t="shared" si="35"/>
        <v>2025</v>
      </c>
    </row>
    <row r="1125" spans="1:12" x14ac:dyDescent="0.3">
      <c r="A1125" s="2">
        <v>45731</v>
      </c>
      <c r="B1125" t="s">
        <v>16</v>
      </c>
      <c r="C1125" t="s">
        <v>56</v>
      </c>
      <c r="D1125" t="s">
        <v>156</v>
      </c>
      <c r="E1125" t="s">
        <v>18</v>
      </c>
      <c r="F1125" t="s">
        <v>40</v>
      </c>
      <c r="G1125" t="s">
        <v>41</v>
      </c>
      <c r="H1125" s="3">
        <v>18734.7</v>
      </c>
      <c r="I1125" s="4">
        <v>1</v>
      </c>
      <c r="J1125" s="3">
        <v>1691.21</v>
      </c>
      <c r="K1125" t="str">
        <f t="shared" si="34"/>
        <v>March</v>
      </c>
      <c r="L1125">
        <f t="shared" si="35"/>
        <v>2025</v>
      </c>
    </row>
    <row r="1126" spans="1:12" x14ac:dyDescent="0.3">
      <c r="A1126" s="2">
        <v>45732</v>
      </c>
      <c r="B1126" t="s">
        <v>92</v>
      </c>
      <c r="C1126" t="s">
        <v>66</v>
      </c>
      <c r="D1126" t="s">
        <v>156</v>
      </c>
      <c r="E1126" t="s">
        <v>26</v>
      </c>
      <c r="F1126" t="s">
        <v>53</v>
      </c>
      <c r="G1126" t="s">
        <v>98</v>
      </c>
      <c r="H1126" s="3">
        <v>138674.13</v>
      </c>
      <c r="I1126" s="4">
        <v>5</v>
      </c>
      <c r="J1126" s="3">
        <v>23377.45</v>
      </c>
      <c r="K1126" t="str">
        <f t="shared" si="34"/>
        <v>March</v>
      </c>
      <c r="L1126">
        <f t="shared" si="35"/>
        <v>2025</v>
      </c>
    </row>
    <row r="1127" spans="1:12" x14ac:dyDescent="0.3">
      <c r="A1127" s="2">
        <v>45733</v>
      </c>
      <c r="B1127" t="s">
        <v>103</v>
      </c>
      <c r="C1127" t="s">
        <v>22</v>
      </c>
      <c r="D1127" t="s">
        <v>156</v>
      </c>
      <c r="E1127" t="s">
        <v>18</v>
      </c>
      <c r="F1127" t="s">
        <v>19</v>
      </c>
      <c r="G1127" t="s">
        <v>59</v>
      </c>
      <c r="H1127" s="3">
        <v>139778.53</v>
      </c>
      <c r="I1127" s="4">
        <v>3</v>
      </c>
      <c r="J1127" s="3">
        <v>-5902.12</v>
      </c>
      <c r="K1127" t="str">
        <f t="shared" si="34"/>
        <v>March</v>
      </c>
      <c r="L1127">
        <f t="shared" si="35"/>
        <v>2025</v>
      </c>
    </row>
    <row r="1128" spans="1:12" x14ac:dyDescent="0.3">
      <c r="A1128" s="2">
        <v>45734</v>
      </c>
      <c r="B1128" t="s">
        <v>113</v>
      </c>
      <c r="C1128" t="s">
        <v>46</v>
      </c>
      <c r="D1128" t="s">
        <v>156</v>
      </c>
      <c r="E1128" t="s">
        <v>42</v>
      </c>
      <c r="F1128" t="s">
        <v>90</v>
      </c>
      <c r="G1128" t="s">
        <v>97</v>
      </c>
      <c r="H1128" s="3">
        <v>4880.41</v>
      </c>
      <c r="I1128" s="4">
        <v>2</v>
      </c>
      <c r="J1128" s="3">
        <v>687.33</v>
      </c>
      <c r="K1128" t="str">
        <f t="shared" si="34"/>
        <v>March</v>
      </c>
      <c r="L1128">
        <f t="shared" si="35"/>
        <v>2025</v>
      </c>
    </row>
    <row r="1129" spans="1:12" x14ac:dyDescent="0.3">
      <c r="A1129" s="2">
        <v>45734</v>
      </c>
      <c r="B1129" t="s">
        <v>78</v>
      </c>
      <c r="C1129" t="s">
        <v>17</v>
      </c>
      <c r="D1129" t="s">
        <v>156</v>
      </c>
      <c r="E1129" t="s">
        <v>13</v>
      </c>
      <c r="F1129" t="s">
        <v>14</v>
      </c>
      <c r="G1129" t="s">
        <v>88</v>
      </c>
      <c r="H1129" s="3">
        <v>2510.41</v>
      </c>
      <c r="I1129" s="4">
        <v>2</v>
      </c>
      <c r="J1129" s="3">
        <v>228.31</v>
      </c>
      <c r="K1129" t="str">
        <f t="shared" si="34"/>
        <v>March</v>
      </c>
      <c r="L1129">
        <f t="shared" si="35"/>
        <v>2025</v>
      </c>
    </row>
    <row r="1130" spans="1:12" x14ac:dyDescent="0.3">
      <c r="A1130" s="2">
        <v>45736</v>
      </c>
      <c r="B1130" t="s">
        <v>48</v>
      </c>
      <c r="C1130" t="s">
        <v>46</v>
      </c>
      <c r="D1130" t="s">
        <v>156</v>
      </c>
      <c r="E1130" t="s">
        <v>26</v>
      </c>
      <c r="F1130" t="s">
        <v>53</v>
      </c>
      <c r="G1130" t="s">
        <v>96</v>
      </c>
      <c r="H1130" s="3">
        <v>252264.49</v>
      </c>
      <c r="I1130" s="4">
        <v>4</v>
      </c>
      <c r="J1130" s="3">
        <v>38499.06</v>
      </c>
      <c r="K1130" t="str">
        <f t="shared" si="34"/>
        <v>March</v>
      </c>
      <c r="L1130">
        <f t="shared" si="35"/>
        <v>2025</v>
      </c>
    </row>
    <row r="1131" spans="1:12" x14ac:dyDescent="0.3">
      <c r="A1131" s="2">
        <v>45737</v>
      </c>
      <c r="B1131" t="s">
        <v>93</v>
      </c>
      <c r="C1131" t="s">
        <v>12</v>
      </c>
      <c r="D1131" t="s">
        <v>156</v>
      </c>
      <c r="E1131" t="s">
        <v>18</v>
      </c>
      <c r="F1131" t="s">
        <v>19</v>
      </c>
      <c r="G1131" t="s">
        <v>20</v>
      </c>
      <c r="H1131" s="3">
        <v>201165.76</v>
      </c>
      <c r="I1131" s="4">
        <v>3</v>
      </c>
      <c r="J1131" s="3">
        <v>26819.919999999998</v>
      </c>
      <c r="K1131" t="str">
        <f t="shared" si="34"/>
        <v>March</v>
      </c>
      <c r="L1131">
        <f t="shared" si="35"/>
        <v>2025</v>
      </c>
    </row>
    <row r="1132" spans="1:12" x14ac:dyDescent="0.3">
      <c r="A1132" s="2">
        <v>45737</v>
      </c>
      <c r="B1132" t="s">
        <v>95</v>
      </c>
      <c r="C1132" t="s">
        <v>30</v>
      </c>
      <c r="D1132" t="s">
        <v>156</v>
      </c>
      <c r="E1132" t="s">
        <v>18</v>
      </c>
      <c r="F1132" t="s">
        <v>40</v>
      </c>
      <c r="G1132" t="s">
        <v>115</v>
      </c>
      <c r="H1132" s="3">
        <v>11650.08</v>
      </c>
      <c r="I1132" s="4">
        <v>1</v>
      </c>
      <c r="J1132" s="3">
        <v>1920.74</v>
      </c>
      <c r="K1132" t="str">
        <f t="shared" si="34"/>
        <v>March</v>
      </c>
      <c r="L1132">
        <f t="shared" si="35"/>
        <v>2025</v>
      </c>
    </row>
    <row r="1133" spans="1:12" x14ac:dyDescent="0.3">
      <c r="A1133" s="2">
        <v>45737</v>
      </c>
      <c r="B1133" t="s">
        <v>86</v>
      </c>
      <c r="C1133" t="s">
        <v>62</v>
      </c>
      <c r="D1133" t="s">
        <v>156</v>
      </c>
      <c r="E1133" t="s">
        <v>26</v>
      </c>
      <c r="F1133" t="s">
        <v>27</v>
      </c>
      <c r="G1133" t="s">
        <v>94</v>
      </c>
      <c r="H1133" s="3">
        <v>37140.36</v>
      </c>
      <c r="I1133" s="4">
        <v>3</v>
      </c>
      <c r="J1133" s="3">
        <v>6085.39</v>
      </c>
      <c r="K1133" t="str">
        <f t="shared" si="34"/>
        <v>March</v>
      </c>
      <c r="L1133">
        <f t="shared" si="35"/>
        <v>2025</v>
      </c>
    </row>
    <row r="1134" spans="1:12" x14ac:dyDescent="0.3">
      <c r="A1134" s="2">
        <v>45737</v>
      </c>
      <c r="B1134" t="s">
        <v>93</v>
      </c>
      <c r="C1134" t="s">
        <v>69</v>
      </c>
      <c r="D1134" t="s">
        <v>156</v>
      </c>
      <c r="E1134" t="s">
        <v>26</v>
      </c>
      <c r="F1134" t="s">
        <v>27</v>
      </c>
      <c r="G1134" t="s">
        <v>82</v>
      </c>
      <c r="H1134" s="3">
        <v>131608.53</v>
      </c>
      <c r="I1134" s="4">
        <v>4</v>
      </c>
      <c r="J1134" s="3">
        <v>13366.36</v>
      </c>
      <c r="K1134" t="str">
        <f t="shared" si="34"/>
        <v>March</v>
      </c>
      <c r="L1134">
        <f t="shared" si="35"/>
        <v>2025</v>
      </c>
    </row>
    <row r="1135" spans="1:12" x14ac:dyDescent="0.3">
      <c r="A1135" s="2">
        <v>45739</v>
      </c>
      <c r="B1135" t="s">
        <v>92</v>
      </c>
      <c r="C1135" t="s">
        <v>62</v>
      </c>
      <c r="D1135" t="s">
        <v>156</v>
      </c>
      <c r="E1135" t="s">
        <v>13</v>
      </c>
      <c r="F1135" t="s">
        <v>14</v>
      </c>
      <c r="G1135" t="s">
        <v>57</v>
      </c>
      <c r="H1135" s="3">
        <v>3367.56</v>
      </c>
      <c r="I1135" s="4">
        <v>2</v>
      </c>
      <c r="J1135" s="3">
        <v>487.3</v>
      </c>
      <c r="K1135" t="str">
        <f t="shared" si="34"/>
        <v>March</v>
      </c>
      <c r="L1135">
        <f t="shared" si="35"/>
        <v>2025</v>
      </c>
    </row>
    <row r="1136" spans="1:12" x14ac:dyDescent="0.3">
      <c r="A1136" s="2">
        <v>45740</v>
      </c>
      <c r="B1136" t="s">
        <v>29</v>
      </c>
      <c r="C1136" t="s">
        <v>58</v>
      </c>
      <c r="D1136" t="s">
        <v>156</v>
      </c>
      <c r="E1136" t="s">
        <v>26</v>
      </c>
      <c r="F1136" t="s">
        <v>27</v>
      </c>
      <c r="G1136" t="s">
        <v>28</v>
      </c>
      <c r="H1136" s="3">
        <v>22435.19</v>
      </c>
      <c r="I1136" s="4">
        <v>1</v>
      </c>
      <c r="J1136" s="3">
        <v>2035.55</v>
      </c>
      <c r="K1136" t="str">
        <f t="shared" si="34"/>
        <v>March</v>
      </c>
      <c r="L1136">
        <f t="shared" si="35"/>
        <v>2025</v>
      </c>
    </row>
    <row r="1137" spans="1:12" x14ac:dyDescent="0.3">
      <c r="A1137" s="2">
        <v>45741</v>
      </c>
      <c r="B1137" t="s">
        <v>60</v>
      </c>
      <c r="C1137" t="s">
        <v>39</v>
      </c>
      <c r="D1137" t="s">
        <v>156</v>
      </c>
      <c r="E1137" t="s">
        <v>42</v>
      </c>
      <c r="F1137" t="s">
        <v>90</v>
      </c>
      <c r="G1137" t="s">
        <v>91</v>
      </c>
      <c r="H1137" s="3">
        <v>1815.75</v>
      </c>
      <c r="I1137" s="4">
        <v>1</v>
      </c>
      <c r="J1137" s="3">
        <v>324.56</v>
      </c>
      <c r="K1137" t="str">
        <f t="shared" si="34"/>
        <v>March</v>
      </c>
      <c r="L1137">
        <f t="shared" si="35"/>
        <v>2025</v>
      </c>
    </row>
    <row r="1138" spans="1:12" x14ac:dyDescent="0.3">
      <c r="A1138" s="2">
        <v>45742</v>
      </c>
      <c r="B1138" t="s">
        <v>74</v>
      </c>
      <c r="C1138" t="s">
        <v>12</v>
      </c>
      <c r="D1138" t="s">
        <v>156</v>
      </c>
      <c r="E1138" t="s">
        <v>35</v>
      </c>
      <c r="F1138" t="s">
        <v>36</v>
      </c>
      <c r="G1138" t="s">
        <v>99</v>
      </c>
      <c r="H1138" s="3">
        <v>34112.71</v>
      </c>
      <c r="I1138" s="4">
        <v>1</v>
      </c>
      <c r="J1138" s="3">
        <v>4337.51</v>
      </c>
      <c r="K1138" t="str">
        <f t="shared" si="34"/>
        <v>March</v>
      </c>
      <c r="L1138">
        <f t="shared" si="35"/>
        <v>2025</v>
      </c>
    </row>
    <row r="1139" spans="1:12" x14ac:dyDescent="0.3">
      <c r="A1139" s="2">
        <v>45743</v>
      </c>
      <c r="B1139" t="s">
        <v>74</v>
      </c>
      <c r="C1139" t="s">
        <v>12</v>
      </c>
      <c r="D1139" t="s">
        <v>156</v>
      </c>
      <c r="E1139" t="s">
        <v>13</v>
      </c>
      <c r="F1139" t="s">
        <v>14</v>
      </c>
      <c r="G1139" t="s">
        <v>70</v>
      </c>
      <c r="H1139" s="3">
        <v>5566.49</v>
      </c>
      <c r="I1139" s="4">
        <v>2</v>
      </c>
      <c r="J1139" s="3">
        <v>825.53</v>
      </c>
      <c r="K1139" t="str">
        <f t="shared" si="34"/>
        <v>March</v>
      </c>
      <c r="L1139">
        <f t="shared" si="35"/>
        <v>2025</v>
      </c>
    </row>
    <row r="1140" spans="1:12" x14ac:dyDescent="0.3">
      <c r="A1140" s="2">
        <v>45748</v>
      </c>
      <c r="B1140" t="s">
        <v>34</v>
      </c>
      <c r="C1140" t="s">
        <v>68</v>
      </c>
      <c r="D1140" t="s">
        <v>156</v>
      </c>
      <c r="E1140" t="s">
        <v>42</v>
      </c>
      <c r="F1140" t="s">
        <v>43</v>
      </c>
      <c r="G1140" t="s">
        <v>87</v>
      </c>
      <c r="H1140" s="3">
        <v>11204.36</v>
      </c>
      <c r="I1140" s="4">
        <v>1</v>
      </c>
      <c r="J1140" s="3">
        <v>2606.29</v>
      </c>
      <c r="K1140" t="str">
        <f t="shared" si="34"/>
        <v>April</v>
      </c>
      <c r="L1140">
        <f t="shared" si="35"/>
        <v>2025</v>
      </c>
    </row>
    <row r="1141" spans="1:12" x14ac:dyDescent="0.3">
      <c r="A1141" s="2">
        <v>45749</v>
      </c>
      <c r="B1141" t="s">
        <v>65</v>
      </c>
      <c r="C1141" t="s">
        <v>56</v>
      </c>
      <c r="D1141" t="s">
        <v>156</v>
      </c>
      <c r="E1141" t="s">
        <v>26</v>
      </c>
      <c r="F1141" t="s">
        <v>53</v>
      </c>
      <c r="G1141" t="s">
        <v>98</v>
      </c>
      <c r="H1141" s="3">
        <v>27133.7</v>
      </c>
      <c r="I1141" s="4">
        <v>1</v>
      </c>
      <c r="J1141" s="3">
        <v>4751.28</v>
      </c>
      <c r="K1141" t="str">
        <f t="shared" si="34"/>
        <v>April</v>
      </c>
      <c r="L1141">
        <f t="shared" si="35"/>
        <v>2025</v>
      </c>
    </row>
    <row r="1142" spans="1:12" x14ac:dyDescent="0.3">
      <c r="A1142" s="2">
        <v>45749</v>
      </c>
      <c r="B1142" t="s">
        <v>109</v>
      </c>
      <c r="C1142" t="s">
        <v>49</v>
      </c>
      <c r="D1142" t="s">
        <v>156</v>
      </c>
      <c r="E1142" t="s">
        <v>13</v>
      </c>
      <c r="F1142" t="s">
        <v>14</v>
      </c>
      <c r="G1142" t="s">
        <v>57</v>
      </c>
      <c r="H1142" s="3">
        <v>1593.66</v>
      </c>
      <c r="I1142" s="4">
        <v>1</v>
      </c>
      <c r="J1142" s="3">
        <v>182.2</v>
      </c>
      <c r="K1142" t="str">
        <f t="shared" si="34"/>
        <v>April</v>
      </c>
      <c r="L1142">
        <f t="shared" si="35"/>
        <v>2025</v>
      </c>
    </row>
    <row r="1143" spans="1:12" x14ac:dyDescent="0.3">
      <c r="A1143" s="2">
        <v>45753</v>
      </c>
      <c r="B1143" t="s">
        <v>113</v>
      </c>
      <c r="C1143" t="s">
        <v>66</v>
      </c>
      <c r="D1143" t="s">
        <v>156</v>
      </c>
      <c r="E1143" t="s">
        <v>13</v>
      </c>
      <c r="F1143" t="s">
        <v>23</v>
      </c>
      <c r="G1143" t="s">
        <v>47</v>
      </c>
      <c r="H1143" s="3">
        <v>73565.039999999994</v>
      </c>
      <c r="I1143" s="4">
        <v>1</v>
      </c>
      <c r="J1143" s="3">
        <v>10599.33</v>
      </c>
      <c r="K1143" t="str">
        <f t="shared" si="34"/>
        <v>April</v>
      </c>
      <c r="L1143">
        <f t="shared" si="35"/>
        <v>2025</v>
      </c>
    </row>
    <row r="1144" spans="1:12" x14ac:dyDescent="0.3">
      <c r="A1144" s="2">
        <v>45754</v>
      </c>
      <c r="B1144" t="s">
        <v>45</v>
      </c>
      <c r="C1144" t="s">
        <v>62</v>
      </c>
      <c r="D1144" t="s">
        <v>156</v>
      </c>
      <c r="E1144" t="s">
        <v>26</v>
      </c>
      <c r="F1144" t="s">
        <v>53</v>
      </c>
      <c r="G1144" t="s">
        <v>54</v>
      </c>
      <c r="H1144" s="3">
        <v>204912.54</v>
      </c>
      <c r="I1144" s="4">
        <v>5</v>
      </c>
      <c r="J1144" s="3">
        <v>24969.94</v>
      </c>
      <c r="K1144" t="str">
        <f t="shared" si="34"/>
        <v>April</v>
      </c>
      <c r="L1144">
        <f t="shared" si="35"/>
        <v>2025</v>
      </c>
    </row>
    <row r="1145" spans="1:12" x14ac:dyDescent="0.3">
      <c r="A1145" s="2">
        <v>45754</v>
      </c>
      <c r="B1145" t="s">
        <v>93</v>
      </c>
      <c r="C1145" t="s">
        <v>69</v>
      </c>
      <c r="D1145" t="s">
        <v>156</v>
      </c>
      <c r="E1145" t="s">
        <v>13</v>
      </c>
      <c r="F1145" t="s">
        <v>23</v>
      </c>
      <c r="G1145" t="s">
        <v>79</v>
      </c>
      <c r="H1145" s="3">
        <v>61227.71</v>
      </c>
      <c r="I1145" s="4">
        <v>1</v>
      </c>
      <c r="J1145" s="3">
        <v>7970.91</v>
      </c>
      <c r="K1145" t="str">
        <f t="shared" si="34"/>
        <v>April</v>
      </c>
      <c r="L1145">
        <f t="shared" si="35"/>
        <v>2025</v>
      </c>
    </row>
    <row r="1146" spans="1:12" x14ac:dyDescent="0.3">
      <c r="A1146" s="2">
        <v>45754</v>
      </c>
      <c r="B1146" t="s">
        <v>67</v>
      </c>
      <c r="C1146" t="s">
        <v>39</v>
      </c>
      <c r="D1146" t="s">
        <v>156</v>
      </c>
      <c r="E1146" t="s">
        <v>26</v>
      </c>
      <c r="F1146" t="s">
        <v>27</v>
      </c>
      <c r="G1146" t="s">
        <v>94</v>
      </c>
      <c r="H1146" s="3">
        <v>33510.85</v>
      </c>
      <c r="I1146" s="4">
        <v>3</v>
      </c>
      <c r="J1146" s="3">
        <v>4036.4</v>
      </c>
      <c r="K1146" t="str">
        <f t="shared" si="34"/>
        <v>April</v>
      </c>
      <c r="L1146">
        <f t="shared" si="35"/>
        <v>2025</v>
      </c>
    </row>
    <row r="1147" spans="1:12" x14ac:dyDescent="0.3">
      <c r="A1147" s="2">
        <v>45754</v>
      </c>
      <c r="B1147" t="s">
        <v>25</v>
      </c>
      <c r="C1147" t="s">
        <v>68</v>
      </c>
      <c r="D1147" t="s">
        <v>156</v>
      </c>
      <c r="E1147" t="s">
        <v>18</v>
      </c>
      <c r="F1147" t="s">
        <v>19</v>
      </c>
      <c r="G1147" t="s">
        <v>59</v>
      </c>
      <c r="H1147" s="3">
        <v>164391.56</v>
      </c>
      <c r="I1147" s="4">
        <v>3</v>
      </c>
      <c r="J1147" s="3">
        <v>23086.15</v>
      </c>
      <c r="K1147" t="str">
        <f t="shared" si="34"/>
        <v>April</v>
      </c>
      <c r="L1147">
        <f t="shared" si="35"/>
        <v>2025</v>
      </c>
    </row>
    <row r="1148" spans="1:12" x14ac:dyDescent="0.3">
      <c r="A1148" s="2">
        <v>45754</v>
      </c>
      <c r="B1148" t="s">
        <v>25</v>
      </c>
      <c r="C1148" t="s">
        <v>62</v>
      </c>
      <c r="D1148" t="s">
        <v>156</v>
      </c>
      <c r="E1148" t="s">
        <v>13</v>
      </c>
      <c r="F1148" t="s">
        <v>14</v>
      </c>
      <c r="G1148" t="s">
        <v>15</v>
      </c>
      <c r="H1148" s="3">
        <v>2265.16</v>
      </c>
      <c r="I1148" s="4">
        <v>1</v>
      </c>
      <c r="J1148" s="3">
        <v>271.18</v>
      </c>
      <c r="K1148" t="str">
        <f t="shared" si="34"/>
        <v>April</v>
      </c>
      <c r="L1148">
        <f t="shared" si="35"/>
        <v>2025</v>
      </c>
    </row>
    <row r="1149" spans="1:12" x14ac:dyDescent="0.3">
      <c r="A1149" s="2">
        <v>45755</v>
      </c>
      <c r="B1149" t="s">
        <v>65</v>
      </c>
      <c r="C1149" t="s">
        <v>61</v>
      </c>
      <c r="D1149" t="s">
        <v>156</v>
      </c>
      <c r="E1149" t="s">
        <v>35</v>
      </c>
      <c r="F1149" t="s">
        <v>36</v>
      </c>
      <c r="G1149" t="s">
        <v>84</v>
      </c>
      <c r="H1149" s="3">
        <v>53535.44</v>
      </c>
      <c r="I1149" s="4">
        <v>2</v>
      </c>
      <c r="J1149" s="3">
        <v>8085.3</v>
      </c>
      <c r="K1149" t="str">
        <f t="shared" si="34"/>
        <v>April</v>
      </c>
      <c r="L1149">
        <f t="shared" si="35"/>
        <v>2025</v>
      </c>
    </row>
    <row r="1150" spans="1:12" x14ac:dyDescent="0.3">
      <c r="A1150" s="2">
        <v>45755</v>
      </c>
      <c r="B1150" t="s">
        <v>16</v>
      </c>
      <c r="C1150" t="s">
        <v>39</v>
      </c>
      <c r="D1150" t="s">
        <v>156</v>
      </c>
      <c r="E1150" t="s">
        <v>35</v>
      </c>
      <c r="F1150" t="s">
        <v>75</v>
      </c>
      <c r="G1150" t="s">
        <v>76</v>
      </c>
      <c r="H1150" s="3">
        <v>37165.519999999997</v>
      </c>
      <c r="I1150" s="4">
        <v>1</v>
      </c>
      <c r="J1150" s="3">
        <v>3739.77</v>
      </c>
      <c r="K1150" t="str">
        <f t="shared" si="34"/>
        <v>April</v>
      </c>
      <c r="L1150">
        <f t="shared" si="35"/>
        <v>2025</v>
      </c>
    </row>
    <row r="1151" spans="1:12" x14ac:dyDescent="0.3">
      <c r="A1151" s="2">
        <v>45755</v>
      </c>
      <c r="B1151" t="s">
        <v>29</v>
      </c>
      <c r="C1151" t="s">
        <v>49</v>
      </c>
      <c r="D1151" t="s">
        <v>156</v>
      </c>
      <c r="E1151" t="s">
        <v>13</v>
      </c>
      <c r="F1151" t="s">
        <v>23</v>
      </c>
      <c r="G1151" t="s">
        <v>24</v>
      </c>
      <c r="H1151" s="3">
        <v>59067.54</v>
      </c>
      <c r="I1151" s="4">
        <v>1</v>
      </c>
      <c r="J1151" s="3">
        <v>-3294.03</v>
      </c>
      <c r="K1151" t="str">
        <f t="shared" si="34"/>
        <v>April</v>
      </c>
      <c r="L1151">
        <f t="shared" si="35"/>
        <v>2025</v>
      </c>
    </row>
    <row r="1152" spans="1:12" x14ac:dyDescent="0.3">
      <c r="A1152" s="2">
        <v>45756</v>
      </c>
      <c r="B1152" t="s">
        <v>92</v>
      </c>
      <c r="C1152" t="s">
        <v>46</v>
      </c>
      <c r="D1152" t="s">
        <v>156</v>
      </c>
      <c r="E1152" t="s">
        <v>26</v>
      </c>
      <c r="F1152" t="s">
        <v>53</v>
      </c>
      <c r="G1152" t="s">
        <v>98</v>
      </c>
      <c r="H1152" s="3">
        <v>25171.64</v>
      </c>
      <c r="I1152" s="4">
        <v>1</v>
      </c>
      <c r="J1152" s="3">
        <v>3372.19</v>
      </c>
      <c r="K1152" t="str">
        <f t="shared" si="34"/>
        <v>April</v>
      </c>
      <c r="L1152">
        <f t="shared" si="35"/>
        <v>2025</v>
      </c>
    </row>
    <row r="1153" spans="1:12" x14ac:dyDescent="0.3">
      <c r="A1153" s="2">
        <v>45757</v>
      </c>
      <c r="B1153" t="s">
        <v>34</v>
      </c>
      <c r="C1153" t="s">
        <v>46</v>
      </c>
      <c r="D1153" t="s">
        <v>156</v>
      </c>
      <c r="E1153" t="s">
        <v>13</v>
      </c>
      <c r="F1153" t="s">
        <v>14</v>
      </c>
      <c r="G1153" t="s">
        <v>111</v>
      </c>
      <c r="H1153" s="3">
        <v>1780.76</v>
      </c>
      <c r="I1153" s="4">
        <v>1</v>
      </c>
      <c r="J1153" s="3">
        <v>182.4</v>
      </c>
      <c r="K1153" t="str">
        <f t="shared" si="34"/>
        <v>April</v>
      </c>
      <c r="L1153">
        <f t="shared" si="35"/>
        <v>2025</v>
      </c>
    </row>
    <row r="1154" spans="1:12" x14ac:dyDescent="0.3">
      <c r="A1154" s="2">
        <v>45757</v>
      </c>
      <c r="B1154" t="s">
        <v>86</v>
      </c>
      <c r="C1154" t="s">
        <v>46</v>
      </c>
      <c r="D1154" t="s">
        <v>156</v>
      </c>
      <c r="E1154" t="s">
        <v>26</v>
      </c>
      <c r="F1154" t="s">
        <v>53</v>
      </c>
      <c r="G1154" t="s">
        <v>54</v>
      </c>
      <c r="H1154" s="3">
        <v>74377.84</v>
      </c>
      <c r="I1154" s="4">
        <v>2</v>
      </c>
      <c r="J1154" s="3">
        <v>7766.73</v>
      </c>
      <c r="K1154" t="str">
        <f t="shared" si="34"/>
        <v>April</v>
      </c>
      <c r="L1154">
        <f t="shared" si="35"/>
        <v>2025</v>
      </c>
    </row>
    <row r="1155" spans="1:12" x14ac:dyDescent="0.3">
      <c r="A1155" s="2">
        <v>45757</v>
      </c>
      <c r="B1155" t="s">
        <v>67</v>
      </c>
      <c r="C1155" t="s">
        <v>81</v>
      </c>
      <c r="D1155" t="s">
        <v>156</v>
      </c>
      <c r="E1155" t="s">
        <v>35</v>
      </c>
      <c r="F1155" t="s">
        <v>75</v>
      </c>
      <c r="G1155" t="s">
        <v>107</v>
      </c>
      <c r="H1155" s="3">
        <v>33761.72</v>
      </c>
      <c r="I1155" s="4">
        <v>1</v>
      </c>
      <c r="J1155" s="3">
        <v>5356.47</v>
      </c>
      <c r="K1155" t="str">
        <f t="shared" ref="K1155:K1218" si="36">TEXT(A1155,"mmmm")</f>
        <v>April</v>
      </c>
      <c r="L1155">
        <f t="shared" ref="L1155:L1218" si="37">YEAR(A1155)</f>
        <v>2025</v>
      </c>
    </row>
    <row r="1156" spans="1:12" x14ac:dyDescent="0.3">
      <c r="A1156" s="2">
        <v>45758</v>
      </c>
      <c r="B1156" t="s">
        <v>21</v>
      </c>
      <c r="C1156" t="s">
        <v>58</v>
      </c>
      <c r="D1156" t="s">
        <v>156</v>
      </c>
      <c r="E1156" t="s">
        <v>13</v>
      </c>
      <c r="F1156" t="s">
        <v>23</v>
      </c>
      <c r="G1156" t="s">
        <v>47</v>
      </c>
      <c r="H1156" s="3">
        <v>68461.7</v>
      </c>
      <c r="I1156" s="4">
        <v>1</v>
      </c>
      <c r="J1156" s="3">
        <v>5364.8</v>
      </c>
      <c r="K1156" t="str">
        <f t="shared" si="36"/>
        <v>April</v>
      </c>
      <c r="L1156">
        <f t="shared" si="37"/>
        <v>2025</v>
      </c>
    </row>
    <row r="1157" spans="1:12" x14ac:dyDescent="0.3">
      <c r="A1157" s="2">
        <v>45759</v>
      </c>
      <c r="B1157" t="s">
        <v>29</v>
      </c>
      <c r="C1157" t="s">
        <v>66</v>
      </c>
      <c r="D1157" t="s">
        <v>156</v>
      </c>
      <c r="E1157" t="s">
        <v>18</v>
      </c>
      <c r="F1157" t="s">
        <v>19</v>
      </c>
      <c r="G1157" t="s">
        <v>59</v>
      </c>
      <c r="H1157" s="3">
        <v>50902.43</v>
      </c>
      <c r="I1157" s="4">
        <v>1</v>
      </c>
      <c r="J1157" s="3">
        <v>7844.9</v>
      </c>
      <c r="K1157" t="str">
        <f t="shared" si="36"/>
        <v>April</v>
      </c>
      <c r="L1157">
        <f t="shared" si="37"/>
        <v>2025</v>
      </c>
    </row>
    <row r="1158" spans="1:12" x14ac:dyDescent="0.3">
      <c r="A1158" s="2">
        <v>45759</v>
      </c>
      <c r="B1158" t="s">
        <v>71</v>
      </c>
      <c r="C1158" t="s">
        <v>17</v>
      </c>
      <c r="D1158" t="s">
        <v>156</v>
      </c>
      <c r="E1158" t="s">
        <v>13</v>
      </c>
      <c r="F1158" t="s">
        <v>14</v>
      </c>
      <c r="G1158" t="s">
        <v>88</v>
      </c>
      <c r="H1158" s="3">
        <v>2653.22</v>
      </c>
      <c r="I1158" s="4">
        <v>2</v>
      </c>
      <c r="J1158" s="3">
        <v>-165.03</v>
      </c>
      <c r="K1158" t="str">
        <f t="shared" si="36"/>
        <v>April</v>
      </c>
      <c r="L1158">
        <f t="shared" si="37"/>
        <v>2025</v>
      </c>
    </row>
    <row r="1159" spans="1:12" x14ac:dyDescent="0.3">
      <c r="A1159" s="2">
        <v>45759</v>
      </c>
      <c r="B1159" t="s">
        <v>93</v>
      </c>
      <c r="C1159" t="s">
        <v>66</v>
      </c>
      <c r="D1159" t="s">
        <v>156</v>
      </c>
      <c r="E1159" t="s">
        <v>18</v>
      </c>
      <c r="F1159" t="s">
        <v>19</v>
      </c>
      <c r="G1159" t="s">
        <v>106</v>
      </c>
      <c r="H1159" s="3">
        <v>270511.15000000002</v>
      </c>
      <c r="I1159" s="4">
        <v>3</v>
      </c>
      <c r="J1159" s="3">
        <v>27403.22</v>
      </c>
      <c r="K1159" t="str">
        <f t="shared" si="36"/>
        <v>April</v>
      </c>
      <c r="L1159">
        <f t="shared" si="37"/>
        <v>2025</v>
      </c>
    </row>
    <row r="1160" spans="1:12" x14ac:dyDescent="0.3">
      <c r="A1160" s="2">
        <v>45760</v>
      </c>
      <c r="B1160" t="s">
        <v>52</v>
      </c>
      <c r="C1160" t="s">
        <v>22</v>
      </c>
      <c r="D1160" t="s">
        <v>156</v>
      </c>
      <c r="E1160" t="s">
        <v>35</v>
      </c>
      <c r="F1160" t="s">
        <v>50</v>
      </c>
      <c r="G1160" t="s">
        <v>121</v>
      </c>
      <c r="H1160" s="3">
        <v>14221.59</v>
      </c>
      <c r="I1160" s="4">
        <v>3</v>
      </c>
      <c r="J1160" s="3">
        <v>-907.49</v>
      </c>
      <c r="K1160" t="str">
        <f t="shared" si="36"/>
        <v>April</v>
      </c>
      <c r="L1160">
        <f t="shared" si="37"/>
        <v>2025</v>
      </c>
    </row>
    <row r="1161" spans="1:12" x14ac:dyDescent="0.3">
      <c r="A1161" s="2">
        <v>45761</v>
      </c>
      <c r="B1161" t="s">
        <v>45</v>
      </c>
      <c r="C1161" t="s">
        <v>46</v>
      </c>
      <c r="D1161" t="s">
        <v>156</v>
      </c>
      <c r="E1161" t="s">
        <v>26</v>
      </c>
      <c r="F1161" t="s">
        <v>27</v>
      </c>
      <c r="G1161" t="s">
        <v>94</v>
      </c>
      <c r="H1161" s="3">
        <v>12722.99</v>
      </c>
      <c r="I1161" s="4">
        <v>1</v>
      </c>
      <c r="J1161" s="3">
        <v>1537.58</v>
      </c>
      <c r="K1161" t="str">
        <f t="shared" si="36"/>
        <v>April</v>
      </c>
      <c r="L1161">
        <f t="shared" si="37"/>
        <v>2025</v>
      </c>
    </row>
    <row r="1162" spans="1:12" x14ac:dyDescent="0.3">
      <c r="A1162" s="2">
        <v>45761</v>
      </c>
      <c r="B1162" t="s">
        <v>25</v>
      </c>
      <c r="C1162" t="s">
        <v>17</v>
      </c>
      <c r="D1162" t="s">
        <v>156</v>
      </c>
      <c r="E1162" t="s">
        <v>35</v>
      </c>
      <c r="F1162" t="s">
        <v>36</v>
      </c>
      <c r="G1162" t="s">
        <v>37</v>
      </c>
      <c r="H1162" s="3">
        <v>27170.59</v>
      </c>
      <c r="I1162" s="4">
        <v>1</v>
      </c>
      <c r="J1162" s="3">
        <v>2899.75</v>
      </c>
      <c r="K1162" t="str">
        <f t="shared" si="36"/>
        <v>April</v>
      </c>
      <c r="L1162">
        <f t="shared" si="37"/>
        <v>2025</v>
      </c>
    </row>
    <row r="1163" spans="1:12" x14ac:dyDescent="0.3">
      <c r="A1163" s="2">
        <v>45763</v>
      </c>
      <c r="B1163" t="s">
        <v>25</v>
      </c>
      <c r="C1163" t="s">
        <v>46</v>
      </c>
      <c r="D1163" t="s">
        <v>156</v>
      </c>
      <c r="E1163" t="s">
        <v>13</v>
      </c>
      <c r="F1163" t="s">
        <v>14</v>
      </c>
      <c r="G1163" t="s">
        <v>15</v>
      </c>
      <c r="H1163" s="3">
        <v>4140.38</v>
      </c>
      <c r="I1163" s="4">
        <v>2</v>
      </c>
      <c r="J1163" s="3">
        <v>412.55</v>
      </c>
      <c r="K1163" t="str">
        <f t="shared" si="36"/>
        <v>April</v>
      </c>
      <c r="L1163">
        <f t="shared" si="37"/>
        <v>2025</v>
      </c>
    </row>
    <row r="1164" spans="1:12" x14ac:dyDescent="0.3">
      <c r="A1164" s="2">
        <v>45764</v>
      </c>
      <c r="B1164" t="s">
        <v>67</v>
      </c>
      <c r="C1164" t="s">
        <v>39</v>
      </c>
      <c r="D1164" t="s">
        <v>156</v>
      </c>
      <c r="E1164" t="s">
        <v>42</v>
      </c>
      <c r="F1164" t="s">
        <v>90</v>
      </c>
      <c r="G1164" t="s">
        <v>120</v>
      </c>
      <c r="H1164" s="3">
        <v>5682.48</v>
      </c>
      <c r="I1164" s="4">
        <v>1</v>
      </c>
      <c r="J1164" s="3">
        <v>868.75</v>
      </c>
      <c r="K1164" t="str">
        <f t="shared" si="36"/>
        <v>April</v>
      </c>
      <c r="L1164">
        <f t="shared" si="37"/>
        <v>2025</v>
      </c>
    </row>
    <row r="1165" spans="1:12" x14ac:dyDescent="0.3">
      <c r="A1165" s="2">
        <v>45764</v>
      </c>
      <c r="B1165" t="s">
        <v>52</v>
      </c>
      <c r="C1165" t="s">
        <v>58</v>
      </c>
      <c r="D1165" t="s">
        <v>156</v>
      </c>
      <c r="E1165" t="s">
        <v>35</v>
      </c>
      <c r="F1165" t="s">
        <v>75</v>
      </c>
      <c r="G1165" t="s">
        <v>110</v>
      </c>
      <c r="H1165" s="3">
        <v>86780.66</v>
      </c>
      <c r="I1165" s="4">
        <v>2</v>
      </c>
      <c r="J1165" s="3">
        <v>14478.91</v>
      </c>
      <c r="K1165" t="str">
        <f t="shared" si="36"/>
        <v>April</v>
      </c>
      <c r="L1165">
        <f t="shared" si="37"/>
        <v>2025</v>
      </c>
    </row>
    <row r="1166" spans="1:12" x14ac:dyDescent="0.3">
      <c r="A1166" s="2">
        <v>45765</v>
      </c>
      <c r="B1166" t="s">
        <v>38</v>
      </c>
      <c r="C1166" t="s">
        <v>12</v>
      </c>
      <c r="D1166" t="s">
        <v>156</v>
      </c>
      <c r="E1166" t="s">
        <v>42</v>
      </c>
      <c r="F1166" t="s">
        <v>90</v>
      </c>
      <c r="G1166" t="s">
        <v>91</v>
      </c>
      <c r="H1166" s="3">
        <v>1692.36</v>
      </c>
      <c r="I1166" s="4">
        <v>1</v>
      </c>
      <c r="J1166" s="3">
        <v>220.32</v>
      </c>
      <c r="K1166" t="str">
        <f t="shared" si="36"/>
        <v>April</v>
      </c>
      <c r="L1166">
        <f t="shared" si="37"/>
        <v>2025</v>
      </c>
    </row>
    <row r="1167" spans="1:12" x14ac:dyDescent="0.3">
      <c r="A1167" s="2">
        <v>45767</v>
      </c>
      <c r="B1167" t="s">
        <v>93</v>
      </c>
      <c r="C1167" t="s">
        <v>81</v>
      </c>
      <c r="D1167" t="s">
        <v>156</v>
      </c>
      <c r="E1167" t="s">
        <v>26</v>
      </c>
      <c r="F1167" t="s">
        <v>27</v>
      </c>
      <c r="G1167" t="s">
        <v>31</v>
      </c>
      <c r="H1167" s="3">
        <v>8951.39</v>
      </c>
      <c r="I1167" s="4">
        <v>1</v>
      </c>
      <c r="J1167" s="3">
        <v>1338.95</v>
      </c>
      <c r="K1167" t="str">
        <f t="shared" si="36"/>
        <v>April</v>
      </c>
      <c r="L1167">
        <f t="shared" si="37"/>
        <v>2025</v>
      </c>
    </row>
    <row r="1168" spans="1:12" x14ac:dyDescent="0.3">
      <c r="A1168" s="2">
        <v>45770</v>
      </c>
      <c r="B1168" t="s">
        <v>29</v>
      </c>
      <c r="C1168" t="s">
        <v>39</v>
      </c>
      <c r="D1168" t="s">
        <v>156</v>
      </c>
      <c r="E1168" t="s">
        <v>26</v>
      </c>
      <c r="F1168" t="s">
        <v>27</v>
      </c>
      <c r="G1168" t="s">
        <v>82</v>
      </c>
      <c r="H1168" s="3">
        <v>102927.58</v>
      </c>
      <c r="I1168" s="4">
        <v>3</v>
      </c>
      <c r="J1168" s="3">
        <v>17211.21</v>
      </c>
      <c r="K1168" t="str">
        <f t="shared" si="36"/>
        <v>April</v>
      </c>
      <c r="L1168">
        <f t="shared" si="37"/>
        <v>2025</v>
      </c>
    </row>
    <row r="1169" spans="1:12" x14ac:dyDescent="0.3">
      <c r="A1169" s="2">
        <v>45771</v>
      </c>
      <c r="B1169" t="s">
        <v>71</v>
      </c>
      <c r="C1169" t="s">
        <v>56</v>
      </c>
      <c r="D1169" t="s">
        <v>156</v>
      </c>
      <c r="E1169" t="s">
        <v>18</v>
      </c>
      <c r="F1169" t="s">
        <v>19</v>
      </c>
      <c r="G1169" t="s">
        <v>20</v>
      </c>
      <c r="H1169" s="3">
        <v>130200.39</v>
      </c>
      <c r="I1169" s="4">
        <v>2</v>
      </c>
      <c r="J1169" s="3">
        <v>12219.09</v>
      </c>
      <c r="K1169" t="str">
        <f t="shared" si="36"/>
        <v>April</v>
      </c>
      <c r="L1169">
        <f t="shared" si="37"/>
        <v>2025</v>
      </c>
    </row>
    <row r="1170" spans="1:12" x14ac:dyDescent="0.3">
      <c r="A1170" s="2">
        <v>45771</v>
      </c>
      <c r="B1170" t="s">
        <v>25</v>
      </c>
      <c r="C1170" t="s">
        <v>81</v>
      </c>
      <c r="D1170" t="s">
        <v>156</v>
      </c>
      <c r="E1170" t="s">
        <v>26</v>
      </c>
      <c r="F1170" t="s">
        <v>27</v>
      </c>
      <c r="G1170" t="s">
        <v>82</v>
      </c>
      <c r="H1170" s="3">
        <v>58175.64</v>
      </c>
      <c r="I1170" s="4">
        <v>2</v>
      </c>
      <c r="J1170" s="3">
        <v>7165.98</v>
      </c>
      <c r="K1170" t="str">
        <f t="shared" si="36"/>
        <v>April</v>
      </c>
      <c r="L1170">
        <f t="shared" si="37"/>
        <v>2025</v>
      </c>
    </row>
    <row r="1171" spans="1:12" x14ac:dyDescent="0.3">
      <c r="A1171" s="2">
        <v>45772</v>
      </c>
      <c r="B1171" t="s">
        <v>34</v>
      </c>
      <c r="C1171" t="s">
        <v>69</v>
      </c>
      <c r="D1171" t="s">
        <v>156</v>
      </c>
      <c r="E1171" t="s">
        <v>42</v>
      </c>
      <c r="F1171" t="s">
        <v>43</v>
      </c>
      <c r="G1171" t="s">
        <v>44</v>
      </c>
      <c r="H1171" s="3">
        <v>28286.01</v>
      </c>
      <c r="I1171" s="4">
        <v>2</v>
      </c>
      <c r="J1171" s="3">
        <v>5746.43</v>
      </c>
      <c r="K1171" t="str">
        <f t="shared" si="36"/>
        <v>April</v>
      </c>
      <c r="L1171">
        <f t="shared" si="37"/>
        <v>2025</v>
      </c>
    </row>
    <row r="1172" spans="1:12" x14ac:dyDescent="0.3">
      <c r="A1172" s="2">
        <v>45773</v>
      </c>
      <c r="B1172" t="s">
        <v>78</v>
      </c>
      <c r="C1172" t="s">
        <v>49</v>
      </c>
      <c r="D1172" t="s">
        <v>156</v>
      </c>
      <c r="E1172" t="s">
        <v>42</v>
      </c>
      <c r="F1172" t="s">
        <v>43</v>
      </c>
      <c r="G1172" t="s">
        <v>87</v>
      </c>
      <c r="H1172" s="3">
        <v>10800.49</v>
      </c>
      <c r="I1172" s="4">
        <v>1</v>
      </c>
      <c r="J1172" s="3">
        <v>1463.78</v>
      </c>
      <c r="K1172" t="str">
        <f t="shared" si="36"/>
        <v>April</v>
      </c>
      <c r="L1172">
        <f t="shared" si="37"/>
        <v>2025</v>
      </c>
    </row>
    <row r="1173" spans="1:12" x14ac:dyDescent="0.3">
      <c r="A1173" s="2">
        <v>45773</v>
      </c>
      <c r="B1173" t="s">
        <v>80</v>
      </c>
      <c r="C1173" t="s">
        <v>58</v>
      </c>
      <c r="D1173" t="s">
        <v>156</v>
      </c>
      <c r="E1173" t="s">
        <v>18</v>
      </c>
      <c r="F1173" t="s">
        <v>19</v>
      </c>
      <c r="G1173" t="s">
        <v>106</v>
      </c>
      <c r="H1173" s="3">
        <v>494815.23</v>
      </c>
      <c r="I1173" s="4">
        <v>5</v>
      </c>
      <c r="J1173" s="3">
        <v>73756.69</v>
      </c>
      <c r="K1173" t="str">
        <f t="shared" si="36"/>
        <v>April</v>
      </c>
      <c r="L1173">
        <f t="shared" si="37"/>
        <v>2025</v>
      </c>
    </row>
    <row r="1174" spans="1:12" x14ac:dyDescent="0.3">
      <c r="A1174" s="2">
        <v>45773</v>
      </c>
      <c r="B1174" t="s">
        <v>52</v>
      </c>
      <c r="C1174" t="s">
        <v>58</v>
      </c>
      <c r="D1174" t="s">
        <v>156</v>
      </c>
      <c r="E1174" t="s">
        <v>13</v>
      </c>
      <c r="F1174" t="s">
        <v>23</v>
      </c>
      <c r="G1174" t="s">
        <v>77</v>
      </c>
      <c r="H1174" s="3">
        <v>36470.339999999997</v>
      </c>
      <c r="I1174" s="4">
        <v>1</v>
      </c>
      <c r="J1174" s="3">
        <v>3109.05</v>
      </c>
      <c r="K1174" t="str">
        <f t="shared" si="36"/>
        <v>April</v>
      </c>
      <c r="L1174">
        <f t="shared" si="37"/>
        <v>2025</v>
      </c>
    </row>
    <row r="1175" spans="1:12" x14ac:dyDescent="0.3">
      <c r="A1175" s="2">
        <v>45774</v>
      </c>
      <c r="B1175" t="s">
        <v>80</v>
      </c>
      <c r="C1175" t="s">
        <v>81</v>
      </c>
      <c r="D1175" t="s">
        <v>156</v>
      </c>
      <c r="E1175" t="s">
        <v>26</v>
      </c>
      <c r="F1175" t="s">
        <v>53</v>
      </c>
      <c r="G1175" t="s">
        <v>96</v>
      </c>
      <c r="H1175" s="3">
        <v>115303.91</v>
      </c>
      <c r="I1175" s="4">
        <v>2</v>
      </c>
      <c r="J1175" s="3">
        <v>15323.27</v>
      </c>
      <c r="K1175" t="str">
        <f t="shared" si="36"/>
        <v>April</v>
      </c>
      <c r="L1175">
        <f t="shared" si="37"/>
        <v>2025</v>
      </c>
    </row>
    <row r="1176" spans="1:12" x14ac:dyDescent="0.3">
      <c r="A1176" s="2">
        <v>45774</v>
      </c>
      <c r="B1176" t="s">
        <v>11</v>
      </c>
      <c r="C1176" t="s">
        <v>56</v>
      </c>
      <c r="D1176" t="s">
        <v>156</v>
      </c>
      <c r="E1176" t="s">
        <v>26</v>
      </c>
      <c r="F1176" t="s">
        <v>27</v>
      </c>
      <c r="G1176" t="s">
        <v>82</v>
      </c>
      <c r="H1176" s="3">
        <v>33132.46</v>
      </c>
      <c r="I1176" s="4">
        <v>1</v>
      </c>
      <c r="J1176" s="3">
        <v>4961.78</v>
      </c>
      <c r="K1176" t="str">
        <f t="shared" si="36"/>
        <v>April</v>
      </c>
      <c r="L1176">
        <f t="shared" si="37"/>
        <v>2025</v>
      </c>
    </row>
    <row r="1177" spans="1:12" x14ac:dyDescent="0.3">
      <c r="A1177" s="2">
        <v>45774</v>
      </c>
      <c r="B1177" t="s">
        <v>101</v>
      </c>
      <c r="C1177" t="s">
        <v>61</v>
      </c>
      <c r="D1177" t="s">
        <v>156</v>
      </c>
      <c r="E1177" t="s">
        <v>26</v>
      </c>
      <c r="F1177" t="s">
        <v>27</v>
      </c>
      <c r="G1177" t="s">
        <v>82</v>
      </c>
      <c r="H1177" s="3">
        <v>64459.49</v>
      </c>
      <c r="I1177" s="4">
        <v>2</v>
      </c>
      <c r="J1177" s="3">
        <v>7270.01</v>
      </c>
      <c r="K1177" t="str">
        <f t="shared" si="36"/>
        <v>April</v>
      </c>
      <c r="L1177">
        <f t="shared" si="37"/>
        <v>2025</v>
      </c>
    </row>
    <row r="1178" spans="1:12" x14ac:dyDescent="0.3">
      <c r="A1178" s="2">
        <v>45775</v>
      </c>
      <c r="B1178" t="s">
        <v>55</v>
      </c>
      <c r="C1178" t="s">
        <v>56</v>
      </c>
      <c r="D1178" t="s">
        <v>156</v>
      </c>
      <c r="E1178" t="s">
        <v>42</v>
      </c>
      <c r="F1178" t="s">
        <v>90</v>
      </c>
      <c r="G1178" t="s">
        <v>91</v>
      </c>
      <c r="H1178" s="3">
        <v>1828.22</v>
      </c>
      <c r="I1178" s="4">
        <v>1</v>
      </c>
      <c r="J1178" s="3">
        <v>404.87</v>
      </c>
      <c r="K1178" t="str">
        <f t="shared" si="36"/>
        <v>April</v>
      </c>
      <c r="L1178">
        <f t="shared" si="37"/>
        <v>2025</v>
      </c>
    </row>
    <row r="1179" spans="1:12" x14ac:dyDescent="0.3">
      <c r="A1179" s="2">
        <v>45776</v>
      </c>
      <c r="B1179" t="s">
        <v>45</v>
      </c>
      <c r="C1179" t="s">
        <v>81</v>
      </c>
      <c r="D1179" t="s">
        <v>156</v>
      </c>
      <c r="E1179" t="s">
        <v>13</v>
      </c>
      <c r="F1179" t="s">
        <v>14</v>
      </c>
      <c r="G1179" t="s">
        <v>111</v>
      </c>
      <c r="H1179" s="3">
        <v>1943.81</v>
      </c>
      <c r="I1179" s="4">
        <v>1</v>
      </c>
      <c r="J1179" s="3">
        <v>182.13</v>
      </c>
      <c r="K1179" t="str">
        <f t="shared" si="36"/>
        <v>April</v>
      </c>
      <c r="L1179">
        <f t="shared" si="37"/>
        <v>2025</v>
      </c>
    </row>
    <row r="1180" spans="1:12" x14ac:dyDescent="0.3">
      <c r="A1180" s="2">
        <v>45777</v>
      </c>
      <c r="B1180" t="s">
        <v>65</v>
      </c>
      <c r="C1180" t="s">
        <v>30</v>
      </c>
      <c r="D1180" t="s">
        <v>156</v>
      </c>
      <c r="E1180" t="s">
        <v>42</v>
      </c>
      <c r="F1180" t="s">
        <v>43</v>
      </c>
      <c r="G1180" t="s">
        <v>44</v>
      </c>
      <c r="H1180" s="3">
        <v>13195.04</v>
      </c>
      <c r="I1180" s="4">
        <v>1</v>
      </c>
      <c r="J1180" s="3">
        <v>2950.35</v>
      </c>
      <c r="K1180" t="str">
        <f t="shared" si="36"/>
        <v>April</v>
      </c>
      <c r="L1180">
        <f t="shared" si="37"/>
        <v>2025</v>
      </c>
    </row>
    <row r="1181" spans="1:12" x14ac:dyDescent="0.3">
      <c r="A1181" s="2">
        <v>45778</v>
      </c>
      <c r="B1181" t="s">
        <v>25</v>
      </c>
      <c r="C1181" t="s">
        <v>81</v>
      </c>
      <c r="D1181" t="s">
        <v>156</v>
      </c>
      <c r="E1181" t="s">
        <v>35</v>
      </c>
      <c r="F1181" t="s">
        <v>50</v>
      </c>
      <c r="G1181" t="s">
        <v>51</v>
      </c>
      <c r="H1181" s="3">
        <v>23276.62</v>
      </c>
      <c r="I1181" s="4">
        <v>3</v>
      </c>
      <c r="J1181" s="3">
        <v>-805.91</v>
      </c>
      <c r="K1181" t="str">
        <f t="shared" si="36"/>
        <v>May</v>
      </c>
      <c r="L1181">
        <f t="shared" si="37"/>
        <v>2025</v>
      </c>
    </row>
    <row r="1182" spans="1:12" x14ac:dyDescent="0.3">
      <c r="A1182" s="2">
        <v>45778</v>
      </c>
      <c r="B1182" t="s">
        <v>60</v>
      </c>
      <c r="C1182" t="s">
        <v>12</v>
      </c>
      <c r="D1182" t="s">
        <v>156</v>
      </c>
      <c r="E1182" t="s">
        <v>26</v>
      </c>
      <c r="F1182" t="s">
        <v>53</v>
      </c>
      <c r="G1182" t="s">
        <v>98</v>
      </c>
      <c r="H1182" s="3">
        <v>29901.1</v>
      </c>
      <c r="I1182" s="4">
        <v>1</v>
      </c>
      <c r="J1182" s="3">
        <v>5026.09</v>
      </c>
      <c r="K1182" t="str">
        <f t="shared" si="36"/>
        <v>May</v>
      </c>
      <c r="L1182">
        <f t="shared" si="37"/>
        <v>2025</v>
      </c>
    </row>
    <row r="1183" spans="1:12" x14ac:dyDescent="0.3">
      <c r="A1183" s="2">
        <v>45778</v>
      </c>
      <c r="B1183" t="s">
        <v>80</v>
      </c>
      <c r="C1183" t="s">
        <v>30</v>
      </c>
      <c r="D1183" t="s">
        <v>156</v>
      </c>
      <c r="E1183" t="s">
        <v>18</v>
      </c>
      <c r="F1183" t="s">
        <v>40</v>
      </c>
      <c r="G1183" t="s">
        <v>117</v>
      </c>
      <c r="H1183" s="3">
        <v>5323.58</v>
      </c>
      <c r="I1183" s="4">
        <v>2</v>
      </c>
      <c r="J1183" s="3">
        <v>870.05</v>
      </c>
      <c r="K1183" t="str">
        <f t="shared" si="36"/>
        <v>May</v>
      </c>
      <c r="L1183">
        <f t="shared" si="37"/>
        <v>2025</v>
      </c>
    </row>
    <row r="1184" spans="1:12" x14ac:dyDescent="0.3">
      <c r="A1184" s="2">
        <v>45778</v>
      </c>
      <c r="B1184" t="s">
        <v>48</v>
      </c>
      <c r="C1184" t="s">
        <v>69</v>
      </c>
      <c r="D1184" t="s">
        <v>156</v>
      </c>
      <c r="E1184" t="s">
        <v>18</v>
      </c>
      <c r="F1184" t="s">
        <v>40</v>
      </c>
      <c r="G1184" t="s">
        <v>41</v>
      </c>
      <c r="H1184" s="3">
        <v>15614.45</v>
      </c>
      <c r="I1184" s="4">
        <v>1</v>
      </c>
      <c r="J1184" s="3">
        <v>1204.24</v>
      </c>
      <c r="K1184" t="str">
        <f t="shared" si="36"/>
        <v>May</v>
      </c>
      <c r="L1184">
        <f t="shared" si="37"/>
        <v>2025</v>
      </c>
    </row>
    <row r="1185" spans="1:12" x14ac:dyDescent="0.3">
      <c r="A1185" s="2">
        <v>45779</v>
      </c>
      <c r="B1185" t="s">
        <v>83</v>
      </c>
      <c r="C1185" t="s">
        <v>46</v>
      </c>
      <c r="D1185" t="s">
        <v>156</v>
      </c>
      <c r="E1185" t="s">
        <v>35</v>
      </c>
      <c r="F1185" t="s">
        <v>50</v>
      </c>
      <c r="G1185" t="s">
        <v>121</v>
      </c>
      <c r="H1185" s="3">
        <v>8595.7800000000007</v>
      </c>
      <c r="I1185" s="4">
        <v>2</v>
      </c>
      <c r="J1185" s="3">
        <v>1318.27</v>
      </c>
      <c r="K1185" t="str">
        <f t="shared" si="36"/>
        <v>May</v>
      </c>
      <c r="L1185">
        <f t="shared" si="37"/>
        <v>2025</v>
      </c>
    </row>
    <row r="1186" spans="1:12" x14ac:dyDescent="0.3">
      <c r="A1186" s="2">
        <v>45780</v>
      </c>
      <c r="B1186" t="s">
        <v>34</v>
      </c>
      <c r="C1186" t="s">
        <v>39</v>
      </c>
      <c r="D1186" t="s">
        <v>156</v>
      </c>
      <c r="E1186" t="s">
        <v>13</v>
      </c>
      <c r="F1186" t="s">
        <v>14</v>
      </c>
      <c r="G1186" t="s">
        <v>15</v>
      </c>
      <c r="H1186" s="3">
        <v>2068.6799999999998</v>
      </c>
      <c r="I1186" s="4">
        <v>1</v>
      </c>
      <c r="J1186" s="3">
        <v>214.04</v>
      </c>
      <c r="K1186" t="str">
        <f t="shared" si="36"/>
        <v>May</v>
      </c>
      <c r="L1186">
        <f t="shared" si="37"/>
        <v>2025</v>
      </c>
    </row>
    <row r="1187" spans="1:12" x14ac:dyDescent="0.3">
      <c r="A1187" s="2">
        <v>45780</v>
      </c>
      <c r="B1187" t="s">
        <v>92</v>
      </c>
      <c r="C1187" t="s">
        <v>69</v>
      </c>
      <c r="D1187" t="s">
        <v>156</v>
      </c>
      <c r="E1187" t="s">
        <v>18</v>
      </c>
      <c r="F1187" t="s">
        <v>19</v>
      </c>
      <c r="G1187" t="s">
        <v>20</v>
      </c>
      <c r="H1187" s="3">
        <v>57511.19</v>
      </c>
      <c r="I1187" s="4">
        <v>1</v>
      </c>
      <c r="J1187" s="3">
        <v>5771.93</v>
      </c>
      <c r="K1187" t="str">
        <f t="shared" si="36"/>
        <v>May</v>
      </c>
      <c r="L1187">
        <f t="shared" si="37"/>
        <v>2025</v>
      </c>
    </row>
    <row r="1188" spans="1:12" x14ac:dyDescent="0.3">
      <c r="A1188" s="2">
        <v>45782</v>
      </c>
      <c r="B1188" t="s">
        <v>80</v>
      </c>
      <c r="C1188" t="s">
        <v>68</v>
      </c>
      <c r="D1188" t="s">
        <v>156</v>
      </c>
      <c r="E1188" t="s">
        <v>18</v>
      </c>
      <c r="F1188" t="s">
        <v>40</v>
      </c>
      <c r="G1188" t="s">
        <v>102</v>
      </c>
      <c r="H1188" s="3">
        <v>1448.71</v>
      </c>
      <c r="I1188" s="4">
        <v>1</v>
      </c>
      <c r="J1188" s="3">
        <v>120.87</v>
      </c>
      <c r="K1188" t="str">
        <f t="shared" si="36"/>
        <v>May</v>
      </c>
      <c r="L1188">
        <f t="shared" si="37"/>
        <v>2025</v>
      </c>
    </row>
    <row r="1189" spans="1:12" x14ac:dyDescent="0.3">
      <c r="A1189" s="2">
        <v>45783</v>
      </c>
      <c r="B1189" t="s">
        <v>60</v>
      </c>
      <c r="C1189" t="s">
        <v>69</v>
      </c>
      <c r="D1189" t="s">
        <v>156</v>
      </c>
      <c r="E1189" t="s">
        <v>13</v>
      </c>
      <c r="F1189" t="s">
        <v>14</v>
      </c>
      <c r="G1189" t="s">
        <v>88</v>
      </c>
      <c r="H1189" s="3">
        <v>1443.5</v>
      </c>
      <c r="I1189" s="4">
        <v>1</v>
      </c>
      <c r="J1189" s="3">
        <v>142.76</v>
      </c>
      <c r="K1189" t="str">
        <f t="shared" si="36"/>
        <v>May</v>
      </c>
      <c r="L1189">
        <f t="shared" si="37"/>
        <v>2025</v>
      </c>
    </row>
    <row r="1190" spans="1:12" x14ac:dyDescent="0.3">
      <c r="A1190" s="2">
        <v>45783</v>
      </c>
      <c r="B1190" t="s">
        <v>16</v>
      </c>
      <c r="C1190" t="s">
        <v>58</v>
      </c>
      <c r="D1190" t="s">
        <v>156</v>
      </c>
      <c r="E1190" t="s">
        <v>26</v>
      </c>
      <c r="F1190" t="s">
        <v>27</v>
      </c>
      <c r="G1190" t="s">
        <v>94</v>
      </c>
      <c r="H1190" s="3">
        <v>35471.620000000003</v>
      </c>
      <c r="I1190" s="4">
        <v>3</v>
      </c>
      <c r="J1190" s="3">
        <v>3816.12</v>
      </c>
      <c r="K1190" t="str">
        <f t="shared" si="36"/>
        <v>May</v>
      </c>
      <c r="L1190">
        <f t="shared" si="37"/>
        <v>2025</v>
      </c>
    </row>
    <row r="1191" spans="1:12" x14ac:dyDescent="0.3">
      <c r="A1191" s="2">
        <v>45783</v>
      </c>
      <c r="B1191" t="s">
        <v>16</v>
      </c>
      <c r="C1191" t="s">
        <v>12</v>
      </c>
      <c r="D1191" t="s">
        <v>156</v>
      </c>
      <c r="E1191" t="s">
        <v>42</v>
      </c>
      <c r="F1191" t="s">
        <v>43</v>
      </c>
      <c r="G1191" t="s">
        <v>44</v>
      </c>
      <c r="H1191" s="3">
        <v>26538.639999999999</v>
      </c>
      <c r="I1191" s="4">
        <v>2</v>
      </c>
      <c r="J1191" s="3">
        <v>4452.99</v>
      </c>
      <c r="K1191" t="str">
        <f t="shared" si="36"/>
        <v>May</v>
      </c>
      <c r="L1191">
        <f t="shared" si="37"/>
        <v>2025</v>
      </c>
    </row>
    <row r="1192" spans="1:12" x14ac:dyDescent="0.3">
      <c r="A1192" s="2">
        <v>45785</v>
      </c>
      <c r="B1192" t="s">
        <v>95</v>
      </c>
      <c r="C1192" t="s">
        <v>69</v>
      </c>
      <c r="D1192" t="s">
        <v>156</v>
      </c>
      <c r="E1192" t="s">
        <v>26</v>
      </c>
      <c r="F1192" t="s">
        <v>27</v>
      </c>
      <c r="G1192" t="s">
        <v>28</v>
      </c>
      <c r="H1192" s="3">
        <v>66662.02</v>
      </c>
      <c r="I1192" s="4">
        <v>3</v>
      </c>
      <c r="J1192" s="3">
        <v>11592.88</v>
      </c>
      <c r="K1192" t="str">
        <f t="shared" si="36"/>
        <v>May</v>
      </c>
      <c r="L1192">
        <f t="shared" si="37"/>
        <v>2025</v>
      </c>
    </row>
    <row r="1193" spans="1:12" x14ac:dyDescent="0.3">
      <c r="A1193" s="2">
        <v>45786</v>
      </c>
      <c r="B1193" t="s">
        <v>11</v>
      </c>
      <c r="C1193" t="s">
        <v>58</v>
      </c>
      <c r="D1193" t="s">
        <v>156</v>
      </c>
      <c r="E1193" t="s">
        <v>42</v>
      </c>
      <c r="F1193" t="s">
        <v>43</v>
      </c>
      <c r="G1193" t="s">
        <v>87</v>
      </c>
      <c r="H1193" s="3">
        <v>34962.49</v>
      </c>
      <c r="I1193" s="4">
        <v>3</v>
      </c>
      <c r="J1193" s="3">
        <v>5564.84</v>
      </c>
      <c r="K1193" t="str">
        <f t="shared" si="36"/>
        <v>May</v>
      </c>
      <c r="L1193">
        <f t="shared" si="37"/>
        <v>2025</v>
      </c>
    </row>
    <row r="1194" spans="1:12" x14ac:dyDescent="0.3">
      <c r="A1194" s="2">
        <v>45787</v>
      </c>
      <c r="B1194" t="s">
        <v>73</v>
      </c>
      <c r="C1194" t="s">
        <v>22</v>
      </c>
      <c r="D1194" t="s">
        <v>156</v>
      </c>
      <c r="E1194" t="s">
        <v>35</v>
      </c>
      <c r="F1194" t="s">
        <v>50</v>
      </c>
      <c r="G1194" t="s">
        <v>118</v>
      </c>
      <c r="H1194" s="3">
        <v>6577.44</v>
      </c>
      <c r="I1194" s="4">
        <v>1</v>
      </c>
      <c r="J1194" s="3">
        <v>1048.54</v>
      </c>
      <c r="K1194" t="str">
        <f t="shared" si="36"/>
        <v>May</v>
      </c>
      <c r="L1194">
        <f t="shared" si="37"/>
        <v>2025</v>
      </c>
    </row>
    <row r="1195" spans="1:12" x14ac:dyDescent="0.3">
      <c r="A1195" s="2">
        <v>45791</v>
      </c>
      <c r="B1195" t="s">
        <v>25</v>
      </c>
      <c r="C1195" t="s">
        <v>66</v>
      </c>
      <c r="D1195" t="s">
        <v>156</v>
      </c>
      <c r="E1195" t="s">
        <v>13</v>
      </c>
      <c r="F1195" t="s">
        <v>23</v>
      </c>
      <c r="G1195" t="s">
        <v>47</v>
      </c>
      <c r="H1195" s="3">
        <v>149281.54</v>
      </c>
      <c r="I1195" s="4">
        <v>2</v>
      </c>
      <c r="J1195" s="3">
        <v>11628.34</v>
      </c>
      <c r="K1195" t="str">
        <f t="shared" si="36"/>
        <v>May</v>
      </c>
      <c r="L1195">
        <f t="shared" si="37"/>
        <v>2025</v>
      </c>
    </row>
    <row r="1196" spans="1:12" x14ac:dyDescent="0.3">
      <c r="A1196" s="2">
        <v>45791</v>
      </c>
      <c r="B1196" t="s">
        <v>113</v>
      </c>
      <c r="C1196" t="s">
        <v>17</v>
      </c>
      <c r="D1196" t="s">
        <v>156</v>
      </c>
      <c r="E1196" t="s">
        <v>18</v>
      </c>
      <c r="F1196" t="s">
        <v>40</v>
      </c>
      <c r="G1196" t="s">
        <v>41</v>
      </c>
      <c r="H1196" s="3">
        <v>36863.480000000003</v>
      </c>
      <c r="I1196" s="4">
        <v>2</v>
      </c>
      <c r="J1196" s="3">
        <v>4261.67</v>
      </c>
      <c r="K1196" t="str">
        <f t="shared" si="36"/>
        <v>May</v>
      </c>
      <c r="L1196">
        <f t="shared" si="37"/>
        <v>2025</v>
      </c>
    </row>
    <row r="1197" spans="1:12" x14ac:dyDescent="0.3">
      <c r="A1197" s="2">
        <v>45792</v>
      </c>
      <c r="B1197" t="s">
        <v>103</v>
      </c>
      <c r="C1197" t="s">
        <v>12</v>
      </c>
      <c r="D1197" t="s">
        <v>156</v>
      </c>
      <c r="E1197" t="s">
        <v>26</v>
      </c>
      <c r="F1197" t="s">
        <v>27</v>
      </c>
      <c r="G1197" t="s">
        <v>82</v>
      </c>
      <c r="H1197" s="3">
        <v>63309.42</v>
      </c>
      <c r="I1197" s="4">
        <v>2</v>
      </c>
      <c r="J1197" s="3">
        <v>8189.81</v>
      </c>
      <c r="K1197" t="str">
        <f t="shared" si="36"/>
        <v>May</v>
      </c>
      <c r="L1197">
        <f t="shared" si="37"/>
        <v>2025</v>
      </c>
    </row>
    <row r="1198" spans="1:12" x14ac:dyDescent="0.3">
      <c r="A1198" s="2">
        <v>45792</v>
      </c>
      <c r="B1198" t="s">
        <v>45</v>
      </c>
      <c r="C1198" t="s">
        <v>46</v>
      </c>
      <c r="D1198" t="s">
        <v>156</v>
      </c>
      <c r="E1198" t="s">
        <v>18</v>
      </c>
      <c r="F1198" t="s">
        <v>19</v>
      </c>
      <c r="G1198" t="s">
        <v>20</v>
      </c>
      <c r="H1198" s="3">
        <v>67864.84</v>
      </c>
      <c r="I1198" s="4">
        <v>1</v>
      </c>
      <c r="J1198" s="3">
        <v>10339.58</v>
      </c>
      <c r="K1198" t="str">
        <f t="shared" si="36"/>
        <v>May</v>
      </c>
      <c r="L1198">
        <f t="shared" si="37"/>
        <v>2025</v>
      </c>
    </row>
    <row r="1199" spans="1:12" x14ac:dyDescent="0.3">
      <c r="A1199" s="2">
        <v>45793</v>
      </c>
      <c r="B1199" t="s">
        <v>93</v>
      </c>
      <c r="C1199" t="s">
        <v>22</v>
      </c>
      <c r="D1199" t="s">
        <v>156</v>
      </c>
      <c r="E1199" t="s">
        <v>13</v>
      </c>
      <c r="F1199" t="s">
        <v>14</v>
      </c>
      <c r="G1199" t="s">
        <v>15</v>
      </c>
      <c r="H1199" s="3">
        <v>2452.4</v>
      </c>
      <c r="I1199" s="4">
        <v>1</v>
      </c>
      <c r="J1199" s="3">
        <v>259.14</v>
      </c>
      <c r="K1199" t="str">
        <f t="shared" si="36"/>
        <v>May</v>
      </c>
      <c r="L1199">
        <f t="shared" si="37"/>
        <v>2025</v>
      </c>
    </row>
    <row r="1200" spans="1:12" x14ac:dyDescent="0.3">
      <c r="A1200" s="2">
        <v>45793</v>
      </c>
      <c r="B1200" t="s">
        <v>32</v>
      </c>
      <c r="C1200" t="s">
        <v>56</v>
      </c>
      <c r="D1200" t="s">
        <v>156</v>
      </c>
      <c r="E1200" t="s">
        <v>35</v>
      </c>
      <c r="F1200" t="s">
        <v>75</v>
      </c>
      <c r="G1200" t="s">
        <v>107</v>
      </c>
      <c r="H1200" s="3">
        <v>32198.6</v>
      </c>
      <c r="I1200" s="4">
        <v>1</v>
      </c>
      <c r="J1200" s="3">
        <v>5120.17</v>
      </c>
      <c r="K1200" t="str">
        <f t="shared" si="36"/>
        <v>May</v>
      </c>
      <c r="L1200">
        <f t="shared" si="37"/>
        <v>2025</v>
      </c>
    </row>
    <row r="1201" spans="1:12" x14ac:dyDescent="0.3">
      <c r="A1201" s="2">
        <v>45794</v>
      </c>
      <c r="B1201" t="s">
        <v>34</v>
      </c>
      <c r="C1201" t="s">
        <v>69</v>
      </c>
      <c r="D1201" t="s">
        <v>156</v>
      </c>
      <c r="E1201" t="s">
        <v>18</v>
      </c>
      <c r="F1201" t="s">
        <v>40</v>
      </c>
      <c r="G1201" t="s">
        <v>117</v>
      </c>
      <c r="H1201" s="3">
        <v>2792.22</v>
      </c>
      <c r="I1201" s="4">
        <v>1</v>
      </c>
      <c r="J1201" s="3">
        <v>251.22</v>
      </c>
      <c r="K1201" t="str">
        <f t="shared" si="36"/>
        <v>May</v>
      </c>
      <c r="L1201">
        <f t="shared" si="37"/>
        <v>2025</v>
      </c>
    </row>
    <row r="1202" spans="1:12" x14ac:dyDescent="0.3">
      <c r="A1202" s="2">
        <v>45795</v>
      </c>
      <c r="B1202" t="s">
        <v>16</v>
      </c>
      <c r="C1202" t="s">
        <v>12</v>
      </c>
      <c r="D1202" t="s">
        <v>156</v>
      </c>
      <c r="E1202" t="s">
        <v>35</v>
      </c>
      <c r="F1202" t="s">
        <v>75</v>
      </c>
      <c r="G1202" t="s">
        <v>76</v>
      </c>
      <c r="H1202" s="3">
        <v>190397.59</v>
      </c>
      <c r="I1202" s="4">
        <v>5</v>
      </c>
      <c r="J1202" s="3">
        <v>17668.59</v>
      </c>
      <c r="K1202" t="str">
        <f t="shared" si="36"/>
        <v>May</v>
      </c>
      <c r="L1202">
        <f t="shared" si="37"/>
        <v>2025</v>
      </c>
    </row>
    <row r="1203" spans="1:12" x14ac:dyDescent="0.3">
      <c r="A1203" s="2">
        <v>45795</v>
      </c>
      <c r="B1203" t="s">
        <v>45</v>
      </c>
      <c r="C1203" t="s">
        <v>17</v>
      </c>
      <c r="D1203" t="s">
        <v>156</v>
      </c>
      <c r="E1203" t="s">
        <v>26</v>
      </c>
      <c r="F1203" t="s">
        <v>27</v>
      </c>
      <c r="G1203" t="s">
        <v>31</v>
      </c>
      <c r="H1203" s="3">
        <v>16390.96</v>
      </c>
      <c r="I1203" s="4">
        <v>2</v>
      </c>
      <c r="J1203" s="3">
        <v>2766.93</v>
      </c>
      <c r="K1203" t="str">
        <f t="shared" si="36"/>
        <v>May</v>
      </c>
      <c r="L1203">
        <f t="shared" si="37"/>
        <v>2025</v>
      </c>
    </row>
    <row r="1204" spans="1:12" x14ac:dyDescent="0.3">
      <c r="A1204" s="2">
        <v>45795</v>
      </c>
      <c r="B1204" t="s">
        <v>103</v>
      </c>
      <c r="C1204" t="s">
        <v>12</v>
      </c>
      <c r="D1204" t="s">
        <v>156</v>
      </c>
      <c r="E1204" t="s">
        <v>13</v>
      </c>
      <c r="F1204" t="s">
        <v>23</v>
      </c>
      <c r="G1204" t="s">
        <v>79</v>
      </c>
      <c r="H1204" s="3">
        <v>60101.17</v>
      </c>
      <c r="I1204" s="4">
        <v>1</v>
      </c>
      <c r="J1204" s="3">
        <v>5420.67</v>
      </c>
      <c r="K1204" t="str">
        <f t="shared" si="36"/>
        <v>May</v>
      </c>
      <c r="L1204">
        <f t="shared" si="37"/>
        <v>2025</v>
      </c>
    </row>
    <row r="1205" spans="1:12" x14ac:dyDescent="0.3">
      <c r="A1205" s="2">
        <v>45795</v>
      </c>
      <c r="B1205" t="s">
        <v>95</v>
      </c>
      <c r="C1205" t="s">
        <v>69</v>
      </c>
      <c r="D1205" t="s">
        <v>156</v>
      </c>
      <c r="E1205" t="s">
        <v>42</v>
      </c>
      <c r="F1205" t="s">
        <v>43</v>
      </c>
      <c r="G1205" t="s">
        <v>87</v>
      </c>
      <c r="H1205" s="3">
        <v>43958.58</v>
      </c>
      <c r="I1205" s="4">
        <v>4</v>
      </c>
      <c r="J1205" s="3">
        <v>10504.6</v>
      </c>
      <c r="K1205" t="str">
        <f t="shared" si="36"/>
        <v>May</v>
      </c>
      <c r="L1205">
        <f t="shared" si="37"/>
        <v>2025</v>
      </c>
    </row>
    <row r="1206" spans="1:12" x14ac:dyDescent="0.3">
      <c r="A1206" s="2">
        <v>45798</v>
      </c>
      <c r="B1206" t="s">
        <v>34</v>
      </c>
      <c r="C1206" t="s">
        <v>61</v>
      </c>
      <c r="D1206" t="s">
        <v>156</v>
      </c>
      <c r="E1206" t="s">
        <v>35</v>
      </c>
      <c r="F1206" t="s">
        <v>50</v>
      </c>
      <c r="G1206" t="s">
        <v>118</v>
      </c>
      <c r="H1206" s="3">
        <v>7194.29</v>
      </c>
      <c r="I1206" s="4">
        <v>1</v>
      </c>
      <c r="J1206" s="3">
        <v>-322.81</v>
      </c>
      <c r="K1206" t="str">
        <f t="shared" si="36"/>
        <v>May</v>
      </c>
      <c r="L1206">
        <f t="shared" si="37"/>
        <v>2025</v>
      </c>
    </row>
    <row r="1207" spans="1:12" x14ac:dyDescent="0.3">
      <c r="A1207" s="2">
        <v>45798</v>
      </c>
      <c r="B1207" t="s">
        <v>16</v>
      </c>
      <c r="C1207" t="s">
        <v>61</v>
      </c>
      <c r="D1207" t="s">
        <v>156</v>
      </c>
      <c r="E1207" t="s">
        <v>42</v>
      </c>
      <c r="F1207" t="s">
        <v>90</v>
      </c>
      <c r="G1207" t="s">
        <v>91</v>
      </c>
      <c r="H1207" s="3">
        <v>3804.13</v>
      </c>
      <c r="I1207" s="4">
        <v>2</v>
      </c>
      <c r="J1207" s="3">
        <v>717.6</v>
      </c>
      <c r="K1207" t="str">
        <f t="shared" si="36"/>
        <v>May</v>
      </c>
      <c r="L1207">
        <f t="shared" si="37"/>
        <v>2025</v>
      </c>
    </row>
    <row r="1208" spans="1:12" x14ac:dyDescent="0.3">
      <c r="A1208" s="2">
        <v>45799</v>
      </c>
      <c r="B1208" t="s">
        <v>32</v>
      </c>
      <c r="C1208" t="s">
        <v>69</v>
      </c>
      <c r="D1208" t="s">
        <v>156</v>
      </c>
      <c r="E1208" t="s">
        <v>35</v>
      </c>
      <c r="F1208" t="s">
        <v>75</v>
      </c>
      <c r="G1208" t="s">
        <v>110</v>
      </c>
      <c r="H1208" s="3">
        <v>42161.23</v>
      </c>
      <c r="I1208" s="4">
        <v>1</v>
      </c>
      <c r="J1208" s="3">
        <v>5156.62</v>
      </c>
      <c r="K1208" t="str">
        <f t="shared" si="36"/>
        <v>May</v>
      </c>
      <c r="L1208">
        <f t="shared" si="37"/>
        <v>2025</v>
      </c>
    </row>
    <row r="1209" spans="1:12" x14ac:dyDescent="0.3">
      <c r="A1209" s="2">
        <v>45799</v>
      </c>
      <c r="B1209" t="s">
        <v>113</v>
      </c>
      <c r="C1209" t="s">
        <v>66</v>
      </c>
      <c r="D1209" t="s">
        <v>156</v>
      </c>
      <c r="E1209" t="s">
        <v>42</v>
      </c>
      <c r="F1209" t="s">
        <v>43</v>
      </c>
      <c r="G1209" t="s">
        <v>89</v>
      </c>
      <c r="H1209" s="3">
        <v>61822.44</v>
      </c>
      <c r="I1209" s="4">
        <v>2</v>
      </c>
      <c r="J1209" s="3">
        <v>12358.86</v>
      </c>
      <c r="K1209" t="str">
        <f t="shared" si="36"/>
        <v>May</v>
      </c>
      <c r="L1209">
        <f t="shared" si="37"/>
        <v>2025</v>
      </c>
    </row>
    <row r="1210" spans="1:12" x14ac:dyDescent="0.3">
      <c r="A1210" s="2">
        <v>45799</v>
      </c>
      <c r="B1210" t="s">
        <v>95</v>
      </c>
      <c r="C1210" t="s">
        <v>69</v>
      </c>
      <c r="D1210" t="s">
        <v>156</v>
      </c>
      <c r="E1210" t="s">
        <v>18</v>
      </c>
      <c r="F1210" t="s">
        <v>40</v>
      </c>
      <c r="G1210" t="s">
        <v>117</v>
      </c>
      <c r="H1210" s="3">
        <v>7483.93</v>
      </c>
      <c r="I1210" s="4">
        <v>3</v>
      </c>
      <c r="J1210" s="3">
        <v>943.81</v>
      </c>
      <c r="K1210" t="str">
        <f t="shared" si="36"/>
        <v>May</v>
      </c>
      <c r="L1210">
        <f t="shared" si="37"/>
        <v>2025</v>
      </c>
    </row>
    <row r="1211" spans="1:12" x14ac:dyDescent="0.3">
      <c r="A1211" s="2">
        <v>45800</v>
      </c>
      <c r="B1211" t="s">
        <v>21</v>
      </c>
      <c r="C1211" t="s">
        <v>62</v>
      </c>
      <c r="D1211" t="s">
        <v>156</v>
      </c>
      <c r="E1211" t="s">
        <v>35</v>
      </c>
      <c r="F1211" t="s">
        <v>75</v>
      </c>
      <c r="G1211" t="s">
        <v>76</v>
      </c>
      <c r="H1211" s="3">
        <v>178601.63</v>
      </c>
      <c r="I1211" s="4">
        <v>4</v>
      </c>
      <c r="J1211" s="3">
        <v>34542.68</v>
      </c>
      <c r="K1211" t="str">
        <f t="shared" si="36"/>
        <v>May</v>
      </c>
      <c r="L1211">
        <f t="shared" si="37"/>
        <v>2025</v>
      </c>
    </row>
    <row r="1212" spans="1:12" x14ac:dyDescent="0.3">
      <c r="A1212" s="2">
        <v>45801</v>
      </c>
      <c r="B1212" t="s">
        <v>78</v>
      </c>
      <c r="C1212" t="s">
        <v>61</v>
      </c>
      <c r="D1212" t="s">
        <v>156</v>
      </c>
      <c r="E1212" t="s">
        <v>13</v>
      </c>
      <c r="F1212" t="s">
        <v>14</v>
      </c>
      <c r="G1212" t="s">
        <v>111</v>
      </c>
      <c r="H1212" s="3">
        <v>4936.3900000000003</v>
      </c>
      <c r="I1212" s="4">
        <v>3</v>
      </c>
      <c r="J1212" s="3">
        <v>459.55</v>
      </c>
      <c r="K1212" t="str">
        <f t="shared" si="36"/>
        <v>May</v>
      </c>
      <c r="L1212">
        <f t="shared" si="37"/>
        <v>2025</v>
      </c>
    </row>
    <row r="1213" spans="1:12" x14ac:dyDescent="0.3">
      <c r="A1213" s="2">
        <v>45801</v>
      </c>
      <c r="B1213" t="s">
        <v>55</v>
      </c>
      <c r="C1213" t="s">
        <v>12</v>
      </c>
      <c r="D1213" t="s">
        <v>156</v>
      </c>
      <c r="E1213" t="s">
        <v>26</v>
      </c>
      <c r="F1213" t="s">
        <v>27</v>
      </c>
      <c r="G1213" t="s">
        <v>31</v>
      </c>
      <c r="H1213" s="3">
        <v>19259.53</v>
      </c>
      <c r="I1213" s="4">
        <v>2</v>
      </c>
      <c r="J1213" s="3">
        <v>3122.98</v>
      </c>
      <c r="K1213" t="str">
        <f t="shared" si="36"/>
        <v>May</v>
      </c>
      <c r="L1213">
        <f t="shared" si="37"/>
        <v>2025</v>
      </c>
    </row>
    <row r="1214" spans="1:12" x14ac:dyDescent="0.3">
      <c r="A1214" s="2">
        <v>45803</v>
      </c>
      <c r="B1214" t="s">
        <v>38</v>
      </c>
      <c r="C1214" t="s">
        <v>81</v>
      </c>
      <c r="D1214" t="s">
        <v>156</v>
      </c>
      <c r="E1214" t="s">
        <v>26</v>
      </c>
      <c r="F1214" t="s">
        <v>53</v>
      </c>
      <c r="G1214" t="s">
        <v>104</v>
      </c>
      <c r="H1214" s="3">
        <v>84760.61</v>
      </c>
      <c r="I1214" s="4">
        <v>1</v>
      </c>
      <c r="J1214" s="3">
        <v>-2110.0100000000002</v>
      </c>
      <c r="K1214" t="str">
        <f t="shared" si="36"/>
        <v>May</v>
      </c>
      <c r="L1214">
        <f t="shared" si="37"/>
        <v>2025</v>
      </c>
    </row>
    <row r="1215" spans="1:12" x14ac:dyDescent="0.3">
      <c r="A1215" s="2">
        <v>45804</v>
      </c>
      <c r="B1215" t="s">
        <v>116</v>
      </c>
      <c r="C1215" t="s">
        <v>46</v>
      </c>
      <c r="D1215" t="s">
        <v>156</v>
      </c>
      <c r="E1215" t="s">
        <v>35</v>
      </c>
      <c r="F1215" t="s">
        <v>75</v>
      </c>
      <c r="G1215" t="s">
        <v>76</v>
      </c>
      <c r="H1215" s="3">
        <v>219348.81</v>
      </c>
      <c r="I1215" s="4">
        <v>5</v>
      </c>
      <c r="J1215" s="3">
        <v>30538.16</v>
      </c>
      <c r="K1215" t="str">
        <f t="shared" si="36"/>
        <v>May</v>
      </c>
      <c r="L1215">
        <f t="shared" si="37"/>
        <v>2025</v>
      </c>
    </row>
    <row r="1216" spans="1:12" x14ac:dyDescent="0.3">
      <c r="A1216" s="2">
        <v>45804</v>
      </c>
      <c r="B1216" t="s">
        <v>80</v>
      </c>
      <c r="C1216" t="s">
        <v>62</v>
      </c>
      <c r="D1216" t="s">
        <v>156</v>
      </c>
      <c r="E1216" t="s">
        <v>42</v>
      </c>
      <c r="F1216" t="s">
        <v>90</v>
      </c>
      <c r="G1216" t="s">
        <v>120</v>
      </c>
      <c r="H1216" s="3">
        <v>5034.59</v>
      </c>
      <c r="I1216" s="4">
        <v>1</v>
      </c>
      <c r="J1216" s="3">
        <v>987.8</v>
      </c>
      <c r="K1216" t="str">
        <f t="shared" si="36"/>
        <v>May</v>
      </c>
      <c r="L1216">
        <f t="shared" si="37"/>
        <v>2025</v>
      </c>
    </row>
    <row r="1217" spans="1:12" x14ac:dyDescent="0.3">
      <c r="A1217" s="2">
        <v>45804</v>
      </c>
      <c r="B1217" t="s">
        <v>74</v>
      </c>
      <c r="C1217" t="s">
        <v>49</v>
      </c>
      <c r="D1217" t="s">
        <v>156</v>
      </c>
      <c r="E1217" t="s">
        <v>18</v>
      </c>
      <c r="F1217" t="s">
        <v>19</v>
      </c>
      <c r="G1217" t="s">
        <v>33</v>
      </c>
      <c r="H1217" s="3">
        <v>54539.9</v>
      </c>
      <c r="I1217" s="4">
        <v>1</v>
      </c>
      <c r="J1217" s="3">
        <v>6411.16</v>
      </c>
      <c r="K1217" t="str">
        <f t="shared" si="36"/>
        <v>May</v>
      </c>
      <c r="L1217">
        <f t="shared" si="37"/>
        <v>2025</v>
      </c>
    </row>
    <row r="1218" spans="1:12" x14ac:dyDescent="0.3">
      <c r="A1218" s="2">
        <v>45805</v>
      </c>
      <c r="B1218" t="s">
        <v>103</v>
      </c>
      <c r="C1218" t="s">
        <v>58</v>
      </c>
      <c r="D1218" t="s">
        <v>156</v>
      </c>
      <c r="E1218" t="s">
        <v>13</v>
      </c>
      <c r="F1218" t="s">
        <v>23</v>
      </c>
      <c r="G1218" t="s">
        <v>47</v>
      </c>
      <c r="H1218" s="3">
        <v>335089.78999999998</v>
      </c>
      <c r="I1218" s="4">
        <v>5</v>
      </c>
      <c r="J1218" s="3">
        <v>39240</v>
      </c>
      <c r="K1218" t="str">
        <f t="shared" si="36"/>
        <v>May</v>
      </c>
      <c r="L1218">
        <f t="shared" si="37"/>
        <v>2025</v>
      </c>
    </row>
    <row r="1219" spans="1:12" x14ac:dyDescent="0.3">
      <c r="A1219" s="2">
        <v>45805</v>
      </c>
      <c r="B1219" t="s">
        <v>34</v>
      </c>
      <c r="C1219" t="s">
        <v>30</v>
      </c>
      <c r="D1219" t="s">
        <v>156</v>
      </c>
      <c r="E1219" t="s">
        <v>42</v>
      </c>
      <c r="F1219" t="s">
        <v>90</v>
      </c>
      <c r="G1219" t="s">
        <v>120</v>
      </c>
      <c r="H1219" s="3">
        <v>5216.3900000000003</v>
      </c>
      <c r="I1219" s="4">
        <v>1</v>
      </c>
      <c r="J1219" s="3">
        <v>1111.08</v>
      </c>
      <c r="K1219" t="str">
        <f t="shared" ref="K1219:K1282" si="38">TEXT(A1219,"mmmm")</f>
        <v>May</v>
      </c>
      <c r="L1219">
        <f t="shared" ref="L1219:L1282" si="39">YEAR(A1219)</f>
        <v>2025</v>
      </c>
    </row>
    <row r="1220" spans="1:12" x14ac:dyDescent="0.3">
      <c r="A1220" s="2">
        <v>45806</v>
      </c>
      <c r="B1220" t="s">
        <v>48</v>
      </c>
      <c r="C1220" t="s">
        <v>66</v>
      </c>
      <c r="D1220" t="s">
        <v>156</v>
      </c>
      <c r="E1220" t="s">
        <v>26</v>
      </c>
      <c r="F1220" t="s">
        <v>53</v>
      </c>
      <c r="G1220" t="s">
        <v>104</v>
      </c>
      <c r="H1220" s="3">
        <v>217853.67</v>
      </c>
      <c r="I1220" s="4">
        <v>3</v>
      </c>
      <c r="J1220" s="3">
        <v>18791.27</v>
      </c>
      <c r="K1220" t="str">
        <f t="shared" si="38"/>
        <v>May</v>
      </c>
      <c r="L1220">
        <f t="shared" si="39"/>
        <v>2025</v>
      </c>
    </row>
    <row r="1221" spans="1:12" x14ac:dyDescent="0.3">
      <c r="A1221" s="2">
        <v>45807</v>
      </c>
      <c r="B1221" t="s">
        <v>113</v>
      </c>
      <c r="C1221" t="s">
        <v>39</v>
      </c>
      <c r="D1221" t="s">
        <v>156</v>
      </c>
      <c r="E1221" t="s">
        <v>35</v>
      </c>
      <c r="F1221" t="s">
        <v>63</v>
      </c>
      <c r="G1221" t="s">
        <v>114</v>
      </c>
      <c r="H1221" s="3">
        <v>56542.45</v>
      </c>
      <c r="I1221" s="4">
        <v>2</v>
      </c>
      <c r="J1221" s="3">
        <v>9757.32</v>
      </c>
      <c r="K1221" t="str">
        <f t="shared" si="38"/>
        <v>May</v>
      </c>
      <c r="L1221">
        <f t="shared" si="39"/>
        <v>2025</v>
      </c>
    </row>
    <row r="1222" spans="1:12" x14ac:dyDescent="0.3">
      <c r="A1222" s="2">
        <v>45808</v>
      </c>
      <c r="B1222" t="s">
        <v>116</v>
      </c>
      <c r="C1222" t="s">
        <v>12</v>
      </c>
      <c r="D1222" t="s">
        <v>156</v>
      </c>
      <c r="E1222" t="s">
        <v>35</v>
      </c>
      <c r="F1222" t="s">
        <v>63</v>
      </c>
      <c r="G1222" t="s">
        <v>112</v>
      </c>
      <c r="H1222" s="3">
        <v>31798.75</v>
      </c>
      <c r="I1222" s="4">
        <v>1</v>
      </c>
      <c r="J1222" s="3">
        <v>3884.03</v>
      </c>
      <c r="K1222" t="str">
        <f t="shared" si="38"/>
        <v>May</v>
      </c>
      <c r="L1222">
        <f t="shared" si="39"/>
        <v>2025</v>
      </c>
    </row>
    <row r="1223" spans="1:12" x14ac:dyDescent="0.3">
      <c r="A1223" s="2">
        <v>45809</v>
      </c>
      <c r="B1223" t="s">
        <v>25</v>
      </c>
      <c r="C1223" t="s">
        <v>22</v>
      </c>
      <c r="D1223" t="s">
        <v>156</v>
      </c>
      <c r="E1223" t="s">
        <v>35</v>
      </c>
      <c r="F1223" t="s">
        <v>36</v>
      </c>
      <c r="G1223" t="s">
        <v>37</v>
      </c>
      <c r="H1223" s="3">
        <v>129115.97</v>
      </c>
      <c r="I1223" s="4">
        <v>5</v>
      </c>
      <c r="J1223" s="3">
        <v>25172.69</v>
      </c>
      <c r="K1223" t="str">
        <f t="shared" si="38"/>
        <v>June</v>
      </c>
      <c r="L1223">
        <f t="shared" si="39"/>
        <v>2025</v>
      </c>
    </row>
    <row r="1224" spans="1:12" x14ac:dyDescent="0.3">
      <c r="A1224" s="2">
        <v>45809</v>
      </c>
      <c r="B1224" t="s">
        <v>101</v>
      </c>
      <c r="C1224" t="s">
        <v>12</v>
      </c>
      <c r="D1224" t="s">
        <v>156</v>
      </c>
      <c r="E1224" t="s">
        <v>35</v>
      </c>
      <c r="F1224" t="s">
        <v>50</v>
      </c>
      <c r="G1224" t="s">
        <v>121</v>
      </c>
      <c r="H1224" s="3">
        <v>9866.58</v>
      </c>
      <c r="I1224" s="4">
        <v>2</v>
      </c>
      <c r="J1224" s="3">
        <v>1556.36</v>
      </c>
      <c r="K1224" t="str">
        <f t="shared" si="38"/>
        <v>June</v>
      </c>
      <c r="L1224">
        <f t="shared" si="39"/>
        <v>2025</v>
      </c>
    </row>
    <row r="1225" spans="1:12" x14ac:dyDescent="0.3">
      <c r="A1225" s="2">
        <v>45810</v>
      </c>
      <c r="B1225" t="s">
        <v>80</v>
      </c>
      <c r="C1225" t="s">
        <v>68</v>
      </c>
      <c r="D1225" t="s">
        <v>156</v>
      </c>
      <c r="E1225" t="s">
        <v>18</v>
      </c>
      <c r="F1225" t="s">
        <v>19</v>
      </c>
      <c r="G1225" t="s">
        <v>106</v>
      </c>
      <c r="H1225" s="3">
        <v>83100.100000000006</v>
      </c>
      <c r="I1225" s="4">
        <v>1</v>
      </c>
      <c r="J1225" s="3">
        <v>9823.4599999999991</v>
      </c>
      <c r="K1225" t="str">
        <f t="shared" si="38"/>
        <v>June</v>
      </c>
      <c r="L1225">
        <f t="shared" si="39"/>
        <v>2025</v>
      </c>
    </row>
    <row r="1226" spans="1:12" x14ac:dyDescent="0.3">
      <c r="A1226" s="2">
        <v>45810</v>
      </c>
      <c r="B1226" t="s">
        <v>73</v>
      </c>
      <c r="C1226" t="s">
        <v>62</v>
      </c>
      <c r="D1226" t="s">
        <v>156</v>
      </c>
      <c r="E1226" t="s">
        <v>26</v>
      </c>
      <c r="F1226" t="s">
        <v>27</v>
      </c>
      <c r="G1226" t="s">
        <v>94</v>
      </c>
      <c r="H1226" s="3">
        <v>11377.04</v>
      </c>
      <c r="I1226" s="4">
        <v>1</v>
      </c>
      <c r="J1226" s="3">
        <v>1276.1199999999999</v>
      </c>
      <c r="K1226" t="str">
        <f t="shared" si="38"/>
        <v>June</v>
      </c>
      <c r="L1226">
        <f t="shared" si="39"/>
        <v>2025</v>
      </c>
    </row>
    <row r="1227" spans="1:12" x14ac:dyDescent="0.3">
      <c r="A1227" s="2">
        <v>45813</v>
      </c>
      <c r="B1227" t="s">
        <v>45</v>
      </c>
      <c r="C1227" t="s">
        <v>69</v>
      </c>
      <c r="D1227" t="s">
        <v>156</v>
      </c>
      <c r="E1227" t="s">
        <v>26</v>
      </c>
      <c r="F1227" t="s">
        <v>27</v>
      </c>
      <c r="G1227" t="s">
        <v>94</v>
      </c>
      <c r="H1227" s="3">
        <v>22996.46</v>
      </c>
      <c r="I1227" s="4">
        <v>2</v>
      </c>
      <c r="J1227" s="3">
        <v>2181.5700000000002</v>
      </c>
      <c r="K1227" t="str">
        <f t="shared" si="38"/>
        <v>June</v>
      </c>
      <c r="L1227">
        <f t="shared" si="39"/>
        <v>2025</v>
      </c>
    </row>
    <row r="1228" spans="1:12" x14ac:dyDescent="0.3">
      <c r="A1228" s="2">
        <v>45815</v>
      </c>
      <c r="B1228" t="s">
        <v>78</v>
      </c>
      <c r="C1228" t="s">
        <v>66</v>
      </c>
      <c r="D1228" t="s">
        <v>156</v>
      </c>
      <c r="E1228" t="s">
        <v>13</v>
      </c>
      <c r="F1228" t="s">
        <v>14</v>
      </c>
      <c r="G1228" t="s">
        <v>111</v>
      </c>
      <c r="H1228" s="3">
        <v>1763.03</v>
      </c>
      <c r="I1228" s="4">
        <v>1</v>
      </c>
      <c r="J1228" s="3">
        <v>178.8</v>
      </c>
      <c r="K1228" t="str">
        <f t="shared" si="38"/>
        <v>June</v>
      </c>
      <c r="L1228">
        <f t="shared" si="39"/>
        <v>2025</v>
      </c>
    </row>
    <row r="1229" spans="1:12" x14ac:dyDescent="0.3">
      <c r="A1229" s="2">
        <v>45815</v>
      </c>
      <c r="B1229" t="s">
        <v>65</v>
      </c>
      <c r="C1229" t="s">
        <v>17</v>
      </c>
      <c r="D1229" t="s">
        <v>156</v>
      </c>
      <c r="E1229" t="s">
        <v>42</v>
      </c>
      <c r="F1229" t="s">
        <v>90</v>
      </c>
      <c r="G1229" t="s">
        <v>120</v>
      </c>
      <c r="H1229" s="3">
        <v>5244.01</v>
      </c>
      <c r="I1229" s="4">
        <v>1</v>
      </c>
      <c r="J1229" s="3">
        <v>1192.97</v>
      </c>
      <c r="K1229" t="str">
        <f t="shared" si="38"/>
        <v>June</v>
      </c>
      <c r="L1229">
        <f t="shared" si="39"/>
        <v>2025</v>
      </c>
    </row>
    <row r="1230" spans="1:12" x14ac:dyDescent="0.3">
      <c r="A1230" s="2">
        <v>45816</v>
      </c>
      <c r="B1230" t="s">
        <v>74</v>
      </c>
      <c r="C1230" t="s">
        <v>66</v>
      </c>
      <c r="D1230" t="s">
        <v>156</v>
      </c>
      <c r="E1230" t="s">
        <v>26</v>
      </c>
      <c r="F1230" t="s">
        <v>27</v>
      </c>
      <c r="G1230" t="s">
        <v>28</v>
      </c>
      <c r="H1230" s="3">
        <v>23896.54</v>
      </c>
      <c r="I1230" s="4">
        <v>1</v>
      </c>
      <c r="J1230" s="3">
        <v>4226.8999999999996</v>
      </c>
      <c r="K1230" t="str">
        <f t="shared" si="38"/>
        <v>June</v>
      </c>
      <c r="L1230">
        <f t="shared" si="39"/>
        <v>2025</v>
      </c>
    </row>
    <row r="1231" spans="1:12" x14ac:dyDescent="0.3">
      <c r="A1231" s="2">
        <v>45817</v>
      </c>
      <c r="B1231" t="s">
        <v>71</v>
      </c>
      <c r="C1231" t="s">
        <v>68</v>
      </c>
      <c r="D1231" t="s">
        <v>156</v>
      </c>
      <c r="E1231" t="s">
        <v>18</v>
      </c>
      <c r="F1231" t="s">
        <v>40</v>
      </c>
      <c r="G1231" t="s">
        <v>105</v>
      </c>
      <c r="H1231" s="3">
        <v>2074.27</v>
      </c>
      <c r="I1231" s="4">
        <v>1</v>
      </c>
      <c r="J1231" s="3">
        <v>294.73</v>
      </c>
      <c r="K1231" t="str">
        <f t="shared" si="38"/>
        <v>June</v>
      </c>
      <c r="L1231">
        <f t="shared" si="39"/>
        <v>2025</v>
      </c>
    </row>
    <row r="1232" spans="1:12" x14ac:dyDescent="0.3">
      <c r="A1232" s="2">
        <v>45817</v>
      </c>
      <c r="B1232" t="s">
        <v>16</v>
      </c>
      <c r="C1232" t="s">
        <v>66</v>
      </c>
      <c r="D1232" t="s">
        <v>156</v>
      </c>
      <c r="E1232" t="s">
        <v>26</v>
      </c>
      <c r="F1232" t="s">
        <v>27</v>
      </c>
      <c r="G1232" t="s">
        <v>31</v>
      </c>
      <c r="H1232" s="3">
        <v>28781.16</v>
      </c>
      <c r="I1232" s="4">
        <v>3</v>
      </c>
      <c r="J1232" s="3">
        <v>3043.98</v>
      </c>
      <c r="K1232" t="str">
        <f t="shared" si="38"/>
        <v>June</v>
      </c>
      <c r="L1232">
        <f t="shared" si="39"/>
        <v>2025</v>
      </c>
    </row>
    <row r="1233" spans="1:12" x14ac:dyDescent="0.3">
      <c r="A1233" s="2">
        <v>45817</v>
      </c>
      <c r="B1233" t="s">
        <v>65</v>
      </c>
      <c r="C1233" t="s">
        <v>68</v>
      </c>
      <c r="D1233" t="s">
        <v>156</v>
      </c>
      <c r="E1233" t="s">
        <v>35</v>
      </c>
      <c r="F1233" t="s">
        <v>36</v>
      </c>
      <c r="G1233" t="s">
        <v>99</v>
      </c>
      <c r="H1233" s="3">
        <v>71328.600000000006</v>
      </c>
      <c r="I1233" s="4">
        <v>2</v>
      </c>
      <c r="J1233" s="3">
        <v>9836.7099999999991</v>
      </c>
      <c r="K1233" t="str">
        <f t="shared" si="38"/>
        <v>June</v>
      </c>
      <c r="L1233">
        <f t="shared" si="39"/>
        <v>2025</v>
      </c>
    </row>
    <row r="1234" spans="1:12" x14ac:dyDescent="0.3">
      <c r="A1234" s="2">
        <v>45818</v>
      </c>
      <c r="B1234" t="s">
        <v>52</v>
      </c>
      <c r="C1234" t="s">
        <v>56</v>
      </c>
      <c r="D1234" t="s">
        <v>156</v>
      </c>
      <c r="E1234" t="s">
        <v>13</v>
      </c>
      <c r="F1234" t="s">
        <v>23</v>
      </c>
      <c r="G1234" t="s">
        <v>79</v>
      </c>
      <c r="H1234" s="3">
        <v>65726.36</v>
      </c>
      <c r="I1234" s="4">
        <v>1</v>
      </c>
      <c r="J1234" s="3">
        <v>-4311.32</v>
      </c>
      <c r="K1234" t="str">
        <f t="shared" si="38"/>
        <v>June</v>
      </c>
      <c r="L1234">
        <f t="shared" si="39"/>
        <v>2025</v>
      </c>
    </row>
    <row r="1235" spans="1:12" x14ac:dyDescent="0.3">
      <c r="A1235" s="2">
        <v>45818</v>
      </c>
      <c r="B1235" t="s">
        <v>52</v>
      </c>
      <c r="C1235" t="s">
        <v>62</v>
      </c>
      <c r="D1235" t="s">
        <v>156</v>
      </c>
      <c r="E1235" t="s">
        <v>26</v>
      </c>
      <c r="F1235" t="s">
        <v>53</v>
      </c>
      <c r="G1235" t="s">
        <v>104</v>
      </c>
      <c r="H1235" s="3">
        <v>219596.98</v>
      </c>
      <c r="I1235" s="4">
        <v>3</v>
      </c>
      <c r="J1235" s="3">
        <v>25165.63</v>
      </c>
      <c r="K1235" t="str">
        <f t="shared" si="38"/>
        <v>June</v>
      </c>
      <c r="L1235">
        <f t="shared" si="39"/>
        <v>2025</v>
      </c>
    </row>
    <row r="1236" spans="1:12" x14ac:dyDescent="0.3">
      <c r="A1236" s="2">
        <v>45819</v>
      </c>
      <c r="B1236" t="s">
        <v>52</v>
      </c>
      <c r="C1236" t="s">
        <v>56</v>
      </c>
      <c r="D1236" t="s">
        <v>156</v>
      </c>
      <c r="E1236" t="s">
        <v>35</v>
      </c>
      <c r="F1236" t="s">
        <v>63</v>
      </c>
      <c r="G1236" t="s">
        <v>64</v>
      </c>
      <c r="H1236" s="3">
        <v>30070.74</v>
      </c>
      <c r="I1236" s="4">
        <v>1</v>
      </c>
      <c r="J1236" s="3">
        <v>4823.83</v>
      </c>
      <c r="K1236" t="str">
        <f t="shared" si="38"/>
        <v>June</v>
      </c>
      <c r="L1236">
        <f t="shared" si="39"/>
        <v>2025</v>
      </c>
    </row>
    <row r="1237" spans="1:12" x14ac:dyDescent="0.3">
      <c r="A1237" s="2">
        <v>45819</v>
      </c>
      <c r="B1237" t="s">
        <v>11</v>
      </c>
      <c r="C1237" t="s">
        <v>61</v>
      </c>
      <c r="D1237" t="s">
        <v>156</v>
      </c>
      <c r="E1237" t="s">
        <v>13</v>
      </c>
      <c r="F1237" t="s">
        <v>23</v>
      </c>
      <c r="G1237" t="s">
        <v>85</v>
      </c>
      <c r="H1237" s="3">
        <v>168044.57</v>
      </c>
      <c r="I1237" s="4">
        <v>4</v>
      </c>
      <c r="J1237" s="3">
        <v>23737.85</v>
      </c>
      <c r="K1237" t="str">
        <f t="shared" si="38"/>
        <v>June</v>
      </c>
      <c r="L1237">
        <f t="shared" si="39"/>
        <v>2025</v>
      </c>
    </row>
    <row r="1238" spans="1:12" x14ac:dyDescent="0.3">
      <c r="A1238" s="2">
        <v>45820</v>
      </c>
      <c r="B1238" t="s">
        <v>80</v>
      </c>
      <c r="C1238" t="s">
        <v>68</v>
      </c>
      <c r="D1238" t="s">
        <v>156</v>
      </c>
      <c r="E1238" t="s">
        <v>26</v>
      </c>
      <c r="F1238" t="s">
        <v>27</v>
      </c>
      <c r="G1238" t="s">
        <v>82</v>
      </c>
      <c r="H1238" s="3">
        <v>29661.5</v>
      </c>
      <c r="I1238" s="4">
        <v>1</v>
      </c>
      <c r="J1238" s="3">
        <v>4500.82</v>
      </c>
      <c r="K1238" t="str">
        <f t="shared" si="38"/>
        <v>June</v>
      </c>
      <c r="L1238">
        <f t="shared" si="39"/>
        <v>2025</v>
      </c>
    </row>
    <row r="1239" spans="1:12" x14ac:dyDescent="0.3">
      <c r="A1239" s="2">
        <v>45821</v>
      </c>
      <c r="B1239" t="s">
        <v>83</v>
      </c>
      <c r="C1239" t="s">
        <v>66</v>
      </c>
      <c r="D1239" t="s">
        <v>156</v>
      </c>
      <c r="E1239" t="s">
        <v>26</v>
      </c>
      <c r="F1239" t="s">
        <v>53</v>
      </c>
      <c r="G1239" t="s">
        <v>96</v>
      </c>
      <c r="H1239" s="3">
        <v>134257.25</v>
      </c>
      <c r="I1239" s="4">
        <v>2</v>
      </c>
      <c r="J1239" s="3">
        <v>20775.98</v>
      </c>
      <c r="K1239" t="str">
        <f t="shared" si="38"/>
        <v>June</v>
      </c>
      <c r="L1239">
        <f t="shared" si="39"/>
        <v>2025</v>
      </c>
    </row>
    <row r="1240" spans="1:12" x14ac:dyDescent="0.3">
      <c r="A1240" s="2">
        <v>45823</v>
      </c>
      <c r="B1240" t="s">
        <v>45</v>
      </c>
      <c r="C1240" t="s">
        <v>12</v>
      </c>
      <c r="D1240" t="s">
        <v>156</v>
      </c>
      <c r="E1240" t="s">
        <v>26</v>
      </c>
      <c r="F1240" t="s">
        <v>53</v>
      </c>
      <c r="G1240" t="s">
        <v>100</v>
      </c>
      <c r="H1240" s="3">
        <v>90477.42</v>
      </c>
      <c r="I1240" s="4">
        <v>1</v>
      </c>
      <c r="J1240" s="3">
        <v>14385.95</v>
      </c>
      <c r="K1240" t="str">
        <f t="shared" si="38"/>
        <v>June</v>
      </c>
      <c r="L1240">
        <f t="shared" si="39"/>
        <v>2025</v>
      </c>
    </row>
    <row r="1241" spans="1:12" x14ac:dyDescent="0.3">
      <c r="A1241" s="2">
        <v>45824</v>
      </c>
      <c r="B1241" t="s">
        <v>116</v>
      </c>
      <c r="C1241" t="s">
        <v>69</v>
      </c>
      <c r="D1241" t="s">
        <v>156</v>
      </c>
      <c r="E1241" t="s">
        <v>35</v>
      </c>
      <c r="F1241" t="s">
        <v>63</v>
      </c>
      <c r="G1241" t="s">
        <v>112</v>
      </c>
      <c r="H1241" s="3">
        <v>146871.99</v>
      </c>
      <c r="I1241" s="4">
        <v>5</v>
      </c>
      <c r="J1241" s="3">
        <v>15967.29</v>
      </c>
      <c r="K1241" t="str">
        <f t="shared" si="38"/>
        <v>June</v>
      </c>
      <c r="L1241">
        <f t="shared" si="39"/>
        <v>2025</v>
      </c>
    </row>
    <row r="1242" spans="1:12" x14ac:dyDescent="0.3">
      <c r="A1242" s="2">
        <v>45824</v>
      </c>
      <c r="B1242" t="s">
        <v>21</v>
      </c>
      <c r="C1242" t="s">
        <v>56</v>
      </c>
      <c r="D1242" t="s">
        <v>156</v>
      </c>
      <c r="E1242" t="s">
        <v>13</v>
      </c>
      <c r="F1242" t="s">
        <v>14</v>
      </c>
      <c r="G1242" t="s">
        <v>88</v>
      </c>
      <c r="H1242" s="3">
        <v>1234.8499999999999</v>
      </c>
      <c r="I1242" s="4">
        <v>1</v>
      </c>
      <c r="J1242" s="3">
        <v>175.28</v>
      </c>
      <c r="K1242" t="str">
        <f t="shared" si="38"/>
        <v>June</v>
      </c>
      <c r="L1242">
        <f t="shared" si="39"/>
        <v>2025</v>
      </c>
    </row>
    <row r="1243" spans="1:12" x14ac:dyDescent="0.3">
      <c r="A1243" s="2">
        <v>45824</v>
      </c>
      <c r="B1243" t="s">
        <v>65</v>
      </c>
      <c r="C1243" t="s">
        <v>61</v>
      </c>
      <c r="D1243" t="s">
        <v>156</v>
      </c>
      <c r="E1243" t="s">
        <v>35</v>
      </c>
      <c r="F1243" t="s">
        <v>63</v>
      </c>
      <c r="G1243" t="s">
        <v>114</v>
      </c>
      <c r="H1243" s="3">
        <v>103402.85</v>
      </c>
      <c r="I1243" s="4">
        <v>4</v>
      </c>
      <c r="J1243" s="3">
        <v>10617.03</v>
      </c>
      <c r="K1243" t="str">
        <f t="shared" si="38"/>
        <v>June</v>
      </c>
      <c r="L1243">
        <f t="shared" si="39"/>
        <v>2025</v>
      </c>
    </row>
    <row r="1244" spans="1:12" x14ac:dyDescent="0.3">
      <c r="A1244" s="2">
        <v>45826</v>
      </c>
      <c r="B1244" t="s">
        <v>93</v>
      </c>
      <c r="C1244" t="s">
        <v>46</v>
      </c>
      <c r="D1244" t="s">
        <v>156</v>
      </c>
      <c r="E1244" t="s">
        <v>35</v>
      </c>
      <c r="F1244" t="s">
        <v>75</v>
      </c>
      <c r="G1244" t="s">
        <v>110</v>
      </c>
      <c r="H1244" s="3">
        <v>138428.31</v>
      </c>
      <c r="I1244" s="4">
        <v>3</v>
      </c>
      <c r="J1244" s="3">
        <v>23968.28</v>
      </c>
      <c r="K1244" t="str">
        <f t="shared" si="38"/>
        <v>June</v>
      </c>
      <c r="L1244">
        <f t="shared" si="39"/>
        <v>2025</v>
      </c>
    </row>
    <row r="1245" spans="1:12" x14ac:dyDescent="0.3">
      <c r="A1245" s="2">
        <v>45826</v>
      </c>
      <c r="B1245" t="s">
        <v>32</v>
      </c>
      <c r="C1245" t="s">
        <v>61</v>
      </c>
      <c r="D1245" t="s">
        <v>156</v>
      </c>
      <c r="E1245" t="s">
        <v>18</v>
      </c>
      <c r="F1245" t="s">
        <v>40</v>
      </c>
      <c r="G1245" t="s">
        <v>105</v>
      </c>
      <c r="H1245" s="3">
        <v>2107.4299999999998</v>
      </c>
      <c r="I1245" s="4">
        <v>1</v>
      </c>
      <c r="J1245" s="3">
        <v>189.35</v>
      </c>
      <c r="K1245" t="str">
        <f t="shared" si="38"/>
        <v>June</v>
      </c>
      <c r="L1245">
        <f t="shared" si="39"/>
        <v>2025</v>
      </c>
    </row>
    <row r="1246" spans="1:12" x14ac:dyDescent="0.3">
      <c r="A1246" s="2">
        <v>45827</v>
      </c>
      <c r="B1246" t="s">
        <v>48</v>
      </c>
      <c r="C1246" t="s">
        <v>22</v>
      </c>
      <c r="D1246" t="s">
        <v>156</v>
      </c>
      <c r="E1246" t="s">
        <v>18</v>
      </c>
      <c r="F1246" t="s">
        <v>40</v>
      </c>
      <c r="G1246" t="s">
        <v>41</v>
      </c>
      <c r="H1246" s="3">
        <v>17983.61</v>
      </c>
      <c r="I1246" s="4">
        <v>1</v>
      </c>
      <c r="J1246" s="3">
        <v>2911.61</v>
      </c>
      <c r="K1246" t="str">
        <f t="shared" si="38"/>
        <v>June</v>
      </c>
      <c r="L1246">
        <f t="shared" si="39"/>
        <v>2025</v>
      </c>
    </row>
    <row r="1247" spans="1:12" x14ac:dyDescent="0.3">
      <c r="A1247" s="2">
        <v>45829</v>
      </c>
      <c r="B1247" t="s">
        <v>67</v>
      </c>
      <c r="C1247" t="s">
        <v>49</v>
      </c>
      <c r="D1247" t="s">
        <v>156</v>
      </c>
      <c r="E1247" t="s">
        <v>18</v>
      </c>
      <c r="F1247" t="s">
        <v>40</v>
      </c>
      <c r="G1247" t="s">
        <v>117</v>
      </c>
      <c r="H1247" s="3">
        <v>4954.78</v>
      </c>
      <c r="I1247" s="4">
        <v>2</v>
      </c>
      <c r="J1247" s="3">
        <v>751.59</v>
      </c>
      <c r="K1247" t="str">
        <f t="shared" si="38"/>
        <v>June</v>
      </c>
      <c r="L1247">
        <f t="shared" si="39"/>
        <v>2025</v>
      </c>
    </row>
    <row r="1248" spans="1:12" x14ac:dyDescent="0.3">
      <c r="A1248" s="2">
        <v>45832</v>
      </c>
      <c r="B1248" t="s">
        <v>109</v>
      </c>
      <c r="C1248" t="s">
        <v>12</v>
      </c>
      <c r="D1248" t="s">
        <v>156</v>
      </c>
      <c r="E1248" t="s">
        <v>26</v>
      </c>
      <c r="F1248" t="s">
        <v>53</v>
      </c>
      <c r="G1248" t="s">
        <v>104</v>
      </c>
      <c r="H1248" s="3">
        <v>80656.84</v>
      </c>
      <c r="I1248" s="4">
        <v>1</v>
      </c>
      <c r="J1248" s="3">
        <v>11925</v>
      </c>
      <c r="K1248" t="str">
        <f t="shared" si="38"/>
        <v>June</v>
      </c>
      <c r="L1248">
        <f t="shared" si="39"/>
        <v>2025</v>
      </c>
    </row>
    <row r="1249" spans="1:12" x14ac:dyDescent="0.3">
      <c r="A1249" s="2">
        <v>45832</v>
      </c>
      <c r="B1249" t="s">
        <v>34</v>
      </c>
      <c r="C1249" t="s">
        <v>61</v>
      </c>
      <c r="D1249" t="s">
        <v>156</v>
      </c>
      <c r="E1249" t="s">
        <v>35</v>
      </c>
      <c r="F1249" t="s">
        <v>63</v>
      </c>
      <c r="G1249" t="s">
        <v>112</v>
      </c>
      <c r="H1249" s="3">
        <v>30770.18</v>
      </c>
      <c r="I1249" s="4">
        <v>1</v>
      </c>
      <c r="J1249" s="3">
        <v>5259.49</v>
      </c>
      <c r="K1249" t="str">
        <f t="shared" si="38"/>
        <v>June</v>
      </c>
      <c r="L1249">
        <f t="shared" si="39"/>
        <v>2025</v>
      </c>
    </row>
    <row r="1250" spans="1:12" x14ac:dyDescent="0.3">
      <c r="A1250" s="2">
        <v>45833</v>
      </c>
      <c r="B1250" t="s">
        <v>21</v>
      </c>
      <c r="C1250" t="s">
        <v>56</v>
      </c>
      <c r="D1250" t="s">
        <v>156</v>
      </c>
      <c r="E1250" t="s">
        <v>42</v>
      </c>
      <c r="F1250" t="s">
        <v>43</v>
      </c>
      <c r="G1250" t="s">
        <v>89</v>
      </c>
      <c r="H1250" s="3">
        <v>69221.31</v>
      </c>
      <c r="I1250" s="4">
        <v>2</v>
      </c>
      <c r="J1250" s="3">
        <v>16226.53</v>
      </c>
      <c r="K1250" t="str">
        <f t="shared" si="38"/>
        <v>June</v>
      </c>
      <c r="L1250">
        <f t="shared" si="39"/>
        <v>2025</v>
      </c>
    </row>
    <row r="1251" spans="1:12" x14ac:dyDescent="0.3">
      <c r="A1251" s="2">
        <v>45833</v>
      </c>
      <c r="B1251" t="s">
        <v>32</v>
      </c>
      <c r="C1251" t="s">
        <v>17</v>
      </c>
      <c r="D1251" t="s">
        <v>156</v>
      </c>
      <c r="E1251" t="s">
        <v>13</v>
      </c>
      <c r="F1251" t="s">
        <v>23</v>
      </c>
      <c r="G1251" t="s">
        <v>47</v>
      </c>
      <c r="H1251" s="3">
        <v>357225.08</v>
      </c>
      <c r="I1251" s="4">
        <v>5</v>
      </c>
      <c r="J1251" s="3">
        <v>49667.11</v>
      </c>
      <c r="K1251" t="str">
        <f t="shared" si="38"/>
        <v>June</v>
      </c>
      <c r="L1251">
        <f t="shared" si="39"/>
        <v>2025</v>
      </c>
    </row>
    <row r="1252" spans="1:12" x14ac:dyDescent="0.3">
      <c r="A1252" s="2">
        <v>45834</v>
      </c>
      <c r="B1252" t="s">
        <v>74</v>
      </c>
      <c r="C1252" t="s">
        <v>39</v>
      </c>
      <c r="D1252" t="s">
        <v>156</v>
      </c>
      <c r="E1252" t="s">
        <v>42</v>
      </c>
      <c r="F1252" t="s">
        <v>90</v>
      </c>
      <c r="G1252" t="s">
        <v>91</v>
      </c>
      <c r="H1252" s="3">
        <v>5173.53</v>
      </c>
      <c r="I1252" s="4">
        <v>3</v>
      </c>
      <c r="J1252" s="3">
        <v>671.78</v>
      </c>
      <c r="K1252" t="str">
        <f t="shared" si="38"/>
        <v>June</v>
      </c>
      <c r="L1252">
        <f t="shared" si="39"/>
        <v>2025</v>
      </c>
    </row>
    <row r="1253" spans="1:12" x14ac:dyDescent="0.3">
      <c r="A1253" s="2">
        <v>45835</v>
      </c>
      <c r="B1253" t="s">
        <v>32</v>
      </c>
      <c r="C1253" t="s">
        <v>69</v>
      </c>
      <c r="D1253" t="s">
        <v>156</v>
      </c>
      <c r="E1253" t="s">
        <v>18</v>
      </c>
      <c r="F1253" t="s">
        <v>19</v>
      </c>
      <c r="G1253" t="s">
        <v>72</v>
      </c>
      <c r="H1253" s="3">
        <v>64333.51</v>
      </c>
      <c r="I1253" s="4">
        <v>1</v>
      </c>
      <c r="J1253" s="3">
        <v>6809.47</v>
      </c>
      <c r="K1253" t="str">
        <f t="shared" si="38"/>
        <v>June</v>
      </c>
      <c r="L1253">
        <f t="shared" si="39"/>
        <v>2025</v>
      </c>
    </row>
    <row r="1254" spans="1:12" x14ac:dyDescent="0.3">
      <c r="A1254" s="2">
        <v>45835</v>
      </c>
      <c r="B1254" t="s">
        <v>113</v>
      </c>
      <c r="C1254" t="s">
        <v>22</v>
      </c>
      <c r="D1254" t="s">
        <v>156</v>
      </c>
      <c r="E1254" t="s">
        <v>13</v>
      </c>
      <c r="F1254" t="s">
        <v>14</v>
      </c>
      <c r="G1254" t="s">
        <v>15</v>
      </c>
      <c r="H1254" s="3">
        <v>2442.2399999999998</v>
      </c>
      <c r="I1254" s="4">
        <v>1</v>
      </c>
      <c r="J1254" s="3">
        <v>283.76</v>
      </c>
      <c r="K1254" t="str">
        <f t="shared" si="38"/>
        <v>June</v>
      </c>
      <c r="L1254">
        <f t="shared" si="39"/>
        <v>2025</v>
      </c>
    </row>
    <row r="1255" spans="1:12" x14ac:dyDescent="0.3">
      <c r="A1255" s="2">
        <v>45835</v>
      </c>
      <c r="B1255" t="s">
        <v>25</v>
      </c>
      <c r="C1255" t="s">
        <v>61</v>
      </c>
      <c r="D1255" t="s">
        <v>156</v>
      </c>
      <c r="E1255" t="s">
        <v>13</v>
      </c>
      <c r="F1255" t="s">
        <v>14</v>
      </c>
      <c r="G1255" t="s">
        <v>111</v>
      </c>
      <c r="H1255" s="3">
        <v>1979.64</v>
      </c>
      <c r="I1255" s="4">
        <v>1</v>
      </c>
      <c r="J1255" s="3">
        <v>194.76</v>
      </c>
      <c r="K1255" t="str">
        <f t="shared" si="38"/>
        <v>June</v>
      </c>
      <c r="L1255">
        <f t="shared" si="39"/>
        <v>2025</v>
      </c>
    </row>
    <row r="1256" spans="1:12" x14ac:dyDescent="0.3">
      <c r="A1256" s="2">
        <v>45835</v>
      </c>
      <c r="B1256" t="s">
        <v>67</v>
      </c>
      <c r="C1256" t="s">
        <v>66</v>
      </c>
      <c r="D1256" t="s">
        <v>156</v>
      </c>
      <c r="E1256" t="s">
        <v>35</v>
      </c>
      <c r="F1256" t="s">
        <v>63</v>
      </c>
      <c r="G1256" t="s">
        <v>64</v>
      </c>
      <c r="H1256" s="3">
        <v>29924.400000000001</v>
      </c>
      <c r="I1256" s="4">
        <v>1</v>
      </c>
      <c r="J1256" s="3">
        <v>4684.04</v>
      </c>
      <c r="K1256" t="str">
        <f t="shared" si="38"/>
        <v>June</v>
      </c>
      <c r="L1256">
        <f t="shared" si="39"/>
        <v>2025</v>
      </c>
    </row>
    <row r="1257" spans="1:12" x14ac:dyDescent="0.3">
      <c r="A1257" s="2">
        <v>45837</v>
      </c>
      <c r="B1257" t="s">
        <v>95</v>
      </c>
      <c r="C1257" t="s">
        <v>46</v>
      </c>
      <c r="D1257" t="s">
        <v>156</v>
      </c>
      <c r="E1257" t="s">
        <v>18</v>
      </c>
      <c r="F1257" t="s">
        <v>40</v>
      </c>
      <c r="G1257" t="s">
        <v>102</v>
      </c>
      <c r="H1257" s="3">
        <v>2513.1999999999998</v>
      </c>
      <c r="I1257" s="4">
        <v>2</v>
      </c>
      <c r="J1257" s="3">
        <v>233.74</v>
      </c>
      <c r="K1257" t="str">
        <f t="shared" si="38"/>
        <v>June</v>
      </c>
      <c r="L1257">
        <f t="shared" si="39"/>
        <v>2025</v>
      </c>
    </row>
    <row r="1258" spans="1:12" x14ac:dyDescent="0.3">
      <c r="A1258" s="2">
        <v>45837</v>
      </c>
      <c r="B1258" t="s">
        <v>25</v>
      </c>
      <c r="C1258" t="s">
        <v>22</v>
      </c>
      <c r="D1258" t="s">
        <v>156</v>
      </c>
      <c r="E1258" t="s">
        <v>18</v>
      </c>
      <c r="F1258" t="s">
        <v>19</v>
      </c>
      <c r="G1258" t="s">
        <v>59</v>
      </c>
      <c r="H1258" s="3">
        <v>151359.47</v>
      </c>
      <c r="I1258" s="4">
        <v>3</v>
      </c>
      <c r="J1258" s="3">
        <v>10733.2</v>
      </c>
      <c r="K1258" t="str">
        <f t="shared" si="38"/>
        <v>June</v>
      </c>
      <c r="L1258">
        <f t="shared" si="39"/>
        <v>2025</v>
      </c>
    </row>
    <row r="1259" spans="1:12" x14ac:dyDescent="0.3">
      <c r="A1259" s="2">
        <v>45838</v>
      </c>
      <c r="B1259" t="s">
        <v>92</v>
      </c>
      <c r="C1259" t="s">
        <v>56</v>
      </c>
      <c r="D1259" t="s">
        <v>156</v>
      </c>
      <c r="E1259" t="s">
        <v>18</v>
      </c>
      <c r="F1259" t="s">
        <v>40</v>
      </c>
      <c r="G1259" t="s">
        <v>41</v>
      </c>
      <c r="H1259" s="3">
        <v>16070.13</v>
      </c>
      <c r="I1259" s="4">
        <v>1</v>
      </c>
      <c r="J1259" s="3">
        <v>1325.85</v>
      </c>
      <c r="K1259" t="str">
        <f t="shared" si="38"/>
        <v>June</v>
      </c>
      <c r="L1259">
        <f t="shared" si="39"/>
        <v>2025</v>
      </c>
    </row>
    <row r="1260" spans="1:12" x14ac:dyDescent="0.3">
      <c r="A1260" s="2">
        <v>45838</v>
      </c>
      <c r="B1260" t="s">
        <v>45</v>
      </c>
      <c r="C1260" t="s">
        <v>30</v>
      </c>
      <c r="D1260" t="s">
        <v>156</v>
      </c>
      <c r="E1260" t="s">
        <v>18</v>
      </c>
      <c r="F1260" t="s">
        <v>40</v>
      </c>
      <c r="G1260" t="s">
        <v>117</v>
      </c>
      <c r="H1260" s="3">
        <v>2903.35</v>
      </c>
      <c r="I1260" s="4">
        <v>1</v>
      </c>
      <c r="J1260" s="3">
        <v>426.2</v>
      </c>
      <c r="K1260" t="str">
        <f t="shared" si="38"/>
        <v>June</v>
      </c>
      <c r="L1260">
        <f t="shared" si="39"/>
        <v>2025</v>
      </c>
    </row>
    <row r="1261" spans="1:12" x14ac:dyDescent="0.3">
      <c r="A1261" s="2">
        <v>45838</v>
      </c>
      <c r="B1261" t="s">
        <v>65</v>
      </c>
      <c r="C1261" t="s">
        <v>22</v>
      </c>
      <c r="D1261" t="s">
        <v>156</v>
      </c>
      <c r="E1261" t="s">
        <v>35</v>
      </c>
      <c r="F1261" t="s">
        <v>75</v>
      </c>
      <c r="G1261" t="s">
        <v>76</v>
      </c>
      <c r="H1261" s="3">
        <v>40895.199999999997</v>
      </c>
      <c r="I1261" s="4">
        <v>1</v>
      </c>
      <c r="J1261" s="3">
        <v>7760.12</v>
      </c>
      <c r="K1261" t="str">
        <f t="shared" si="38"/>
        <v>June</v>
      </c>
      <c r="L1261">
        <f t="shared" si="39"/>
        <v>2025</v>
      </c>
    </row>
    <row r="1262" spans="1:12" x14ac:dyDescent="0.3">
      <c r="A1262" s="2">
        <v>45838</v>
      </c>
      <c r="B1262" t="s">
        <v>86</v>
      </c>
      <c r="C1262" t="s">
        <v>46</v>
      </c>
      <c r="D1262" t="s">
        <v>156</v>
      </c>
      <c r="E1262" t="s">
        <v>13</v>
      </c>
      <c r="F1262" t="s">
        <v>23</v>
      </c>
      <c r="G1262" t="s">
        <v>24</v>
      </c>
      <c r="H1262" s="3">
        <v>254952.21</v>
      </c>
      <c r="I1262" s="4">
        <v>4</v>
      </c>
      <c r="J1262" s="3">
        <v>30969.78</v>
      </c>
      <c r="K1262" t="str">
        <f t="shared" si="38"/>
        <v>June</v>
      </c>
      <c r="L1262">
        <f t="shared" si="39"/>
        <v>2025</v>
      </c>
    </row>
    <row r="1263" spans="1:12" x14ac:dyDescent="0.3">
      <c r="A1263" s="2">
        <v>45839</v>
      </c>
      <c r="B1263" t="s">
        <v>11</v>
      </c>
      <c r="C1263" t="s">
        <v>22</v>
      </c>
      <c r="D1263" t="s">
        <v>156</v>
      </c>
      <c r="E1263" t="s">
        <v>42</v>
      </c>
      <c r="F1263" t="s">
        <v>90</v>
      </c>
      <c r="G1263" t="s">
        <v>91</v>
      </c>
      <c r="H1263" s="3">
        <v>3767.04</v>
      </c>
      <c r="I1263" s="4">
        <v>2</v>
      </c>
      <c r="J1263" s="3">
        <v>859.75</v>
      </c>
      <c r="K1263" t="str">
        <f t="shared" si="38"/>
        <v>July</v>
      </c>
      <c r="L1263">
        <f t="shared" si="39"/>
        <v>2025</v>
      </c>
    </row>
    <row r="1264" spans="1:12" x14ac:dyDescent="0.3">
      <c r="A1264" s="2">
        <v>45840</v>
      </c>
      <c r="B1264" t="s">
        <v>116</v>
      </c>
      <c r="C1264" t="s">
        <v>61</v>
      </c>
      <c r="D1264" t="s">
        <v>156</v>
      </c>
      <c r="E1264" t="s">
        <v>35</v>
      </c>
      <c r="F1264" t="s">
        <v>50</v>
      </c>
      <c r="G1264" t="s">
        <v>119</v>
      </c>
      <c r="H1264" s="3">
        <v>7636.88</v>
      </c>
      <c r="I1264" s="4">
        <v>3</v>
      </c>
      <c r="J1264" s="3">
        <v>865.09</v>
      </c>
      <c r="K1264" t="str">
        <f t="shared" si="38"/>
        <v>July</v>
      </c>
      <c r="L1264">
        <f t="shared" si="39"/>
        <v>2025</v>
      </c>
    </row>
    <row r="1265" spans="1:12" x14ac:dyDescent="0.3">
      <c r="A1265" s="2">
        <v>45840</v>
      </c>
      <c r="B1265" t="s">
        <v>32</v>
      </c>
      <c r="C1265" t="s">
        <v>56</v>
      </c>
      <c r="D1265" t="s">
        <v>156</v>
      </c>
      <c r="E1265" t="s">
        <v>35</v>
      </c>
      <c r="F1265" t="s">
        <v>75</v>
      </c>
      <c r="G1265" t="s">
        <v>110</v>
      </c>
      <c r="H1265" s="3">
        <v>41941.18</v>
      </c>
      <c r="I1265" s="4">
        <v>1</v>
      </c>
      <c r="J1265" s="3">
        <v>7124.77</v>
      </c>
      <c r="K1265" t="str">
        <f t="shared" si="38"/>
        <v>July</v>
      </c>
      <c r="L1265">
        <f t="shared" si="39"/>
        <v>2025</v>
      </c>
    </row>
    <row r="1266" spans="1:12" x14ac:dyDescent="0.3">
      <c r="A1266" s="2">
        <v>45840</v>
      </c>
      <c r="B1266" t="s">
        <v>34</v>
      </c>
      <c r="C1266" t="s">
        <v>62</v>
      </c>
      <c r="D1266" t="s">
        <v>156</v>
      </c>
      <c r="E1266" t="s">
        <v>18</v>
      </c>
      <c r="F1266" t="s">
        <v>40</v>
      </c>
      <c r="G1266" t="s">
        <v>102</v>
      </c>
      <c r="H1266" s="3">
        <v>2635.97</v>
      </c>
      <c r="I1266" s="4">
        <v>2</v>
      </c>
      <c r="J1266" s="3">
        <v>325.14</v>
      </c>
      <c r="K1266" t="str">
        <f t="shared" si="38"/>
        <v>July</v>
      </c>
      <c r="L1266">
        <f t="shared" si="39"/>
        <v>2025</v>
      </c>
    </row>
    <row r="1267" spans="1:12" x14ac:dyDescent="0.3">
      <c r="A1267" s="2">
        <v>45840</v>
      </c>
      <c r="B1267" t="s">
        <v>38</v>
      </c>
      <c r="C1267" t="s">
        <v>58</v>
      </c>
      <c r="D1267" t="s">
        <v>156</v>
      </c>
      <c r="E1267" t="s">
        <v>42</v>
      </c>
      <c r="F1267" t="s">
        <v>90</v>
      </c>
      <c r="G1267" t="s">
        <v>91</v>
      </c>
      <c r="H1267" s="3">
        <v>1727.96</v>
      </c>
      <c r="I1267" s="4">
        <v>1</v>
      </c>
      <c r="J1267" s="3">
        <v>332.4</v>
      </c>
      <c r="K1267" t="str">
        <f t="shared" si="38"/>
        <v>July</v>
      </c>
      <c r="L1267">
        <f t="shared" si="39"/>
        <v>2025</v>
      </c>
    </row>
    <row r="1268" spans="1:12" x14ac:dyDescent="0.3">
      <c r="A1268" s="2">
        <v>45840</v>
      </c>
      <c r="B1268" t="s">
        <v>11</v>
      </c>
      <c r="C1268" t="s">
        <v>69</v>
      </c>
      <c r="D1268" t="s">
        <v>156</v>
      </c>
      <c r="E1268" t="s">
        <v>35</v>
      </c>
      <c r="F1268" t="s">
        <v>75</v>
      </c>
      <c r="G1268" t="s">
        <v>76</v>
      </c>
      <c r="H1268" s="3">
        <v>176925.08</v>
      </c>
      <c r="I1268" s="4">
        <v>4</v>
      </c>
      <c r="J1268" s="3">
        <v>18007.72</v>
      </c>
      <c r="K1268" t="str">
        <f t="shared" si="38"/>
        <v>July</v>
      </c>
      <c r="L1268">
        <f t="shared" si="39"/>
        <v>2025</v>
      </c>
    </row>
    <row r="1269" spans="1:12" x14ac:dyDescent="0.3">
      <c r="A1269" s="2">
        <v>45842</v>
      </c>
      <c r="B1269" t="s">
        <v>103</v>
      </c>
      <c r="C1269" t="s">
        <v>81</v>
      </c>
      <c r="D1269" t="s">
        <v>156</v>
      </c>
      <c r="E1269" t="s">
        <v>18</v>
      </c>
      <c r="F1269" t="s">
        <v>40</v>
      </c>
      <c r="G1269" t="s">
        <v>117</v>
      </c>
      <c r="H1269" s="3">
        <v>7896.48</v>
      </c>
      <c r="I1269" s="4">
        <v>3</v>
      </c>
      <c r="J1269" s="3">
        <v>1278.05</v>
      </c>
      <c r="K1269" t="str">
        <f t="shared" si="38"/>
        <v>July</v>
      </c>
      <c r="L1269">
        <f t="shared" si="39"/>
        <v>2025</v>
      </c>
    </row>
    <row r="1270" spans="1:12" x14ac:dyDescent="0.3">
      <c r="A1270" s="2">
        <v>45845</v>
      </c>
      <c r="B1270" t="s">
        <v>55</v>
      </c>
      <c r="C1270" t="s">
        <v>68</v>
      </c>
      <c r="D1270" t="s">
        <v>156</v>
      </c>
      <c r="E1270" t="s">
        <v>26</v>
      </c>
      <c r="F1270" t="s">
        <v>27</v>
      </c>
      <c r="G1270" t="s">
        <v>31</v>
      </c>
      <c r="H1270" s="3">
        <v>8329.7800000000007</v>
      </c>
      <c r="I1270" s="4">
        <v>1</v>
      </c>
      <c r="J1270" s="3">
        <v>1035.5</v>
      </c>
      <c r="K1270" t="str">
        <f t="shared" si="38"/>
        <v>July</v>
      </c>
      <c r="L1270">
        <f t="shared" si="39"/>
        <v>2025</v>
      </c>
    </row>
    <row r="1271" spans="1:12" x14ac:dyDescent="0.3">
      <c r="A1271" s="2">
        <v>45846</v>
      </c>
      <c r="B1271" t="s">
        <v>11</v>
      </c>
      <c r="C1271" t="s">
        <v>17</v>
      </c>
      <c r="D1271" t="s">
        <v>156</v>
      </c>
      <c r="E1271" t="s">
        <v>26</v>
      </c>
      <c r="F1271" t="s">
        <v>27</v>
      </c>
      <c r="G1271" t="s">
        <v>31</v>
      </c>
      <c r="H1271" s="3">
        <v>38564.480000000003</v>
      </c>
      <c r="I1271" s="4">
        <v>4</v>
      </c>
      <c r="J1271" s="3">
        <v>5701.01</v>
      </c>
      <c r="K1271" t="str">
        <f t="shared" si="38"/>
        <v>July</v>
      </c>
      <c r="L1271">
        <f t="shared" si="39"/>
        <v>2025</v>
      </c>
    </row>
    <row r="1272" spans="1:12" x14ac:dyDescent="0.3">
      <c r="A1272" s="2">
        <v>45846</v>
      </c>
      <c r="B1272" t="s">
        <v>48</v>
      </c>
      <c r="C1272" t="s">
        <v>39</v>
      </c>
      <c r="D1272" t="s">
        <v>156</v>
      </c>
      <c r="E1272" t="s">
        <v>18</v>
      </c>
      <c r="F1272" t="s">
        <v>19</v>
      </c>
      <c r="G1272" t="s">
        <v>72</v>
      </c>
      <c r="H1272" s="3">
        <v>230133.14</v>
      </c>
      <c r="I1272" s="4">
        <v>4</v>
      </c>
      <c r="J1272" s="3">
        <v>38114.269999999997</v>
      </c>
      <c r="K1272" t="str">
        <f t="shared" si="38"/>
        <v>July</v>
      </c>
      <c r="L1272">
        <f t="shared" si="39"/>
        <v>2025</v>
      </c>
    </row>
    <row r="1273" spans="1:12" x14ac:dyDescent="0.3">
      <c r="A1273" s="2">
        <v>45847</v>
      </c>
      <c r="B1273" t="s">
        <v>86</v>
      </c>
      <c r="C1273" t="s">
        <v>66</v>
      </c>
      <c r="D1273" t="s">
        <v>156</v>
      </c>
      <c r="E1273" t="s">
        <v>18</v>
      </c>
      <c r="F1273" t="s">
        <v>19</v>
      </c>
      <c r="G1273" t="s">
        <v>20</v>
      </c>
      <c r="H1273" s="3">
        <v>202398.07999999999</v>
      </c>
      <c r="I1273" s="4">
        <v>3</v>
      </c>
      <c r="J1273" s="3">
        <v>16559.95</v>
      </c>
      <c r="K1273" t="str">
        <f t="shared" si="38"/>
        <v>July</v>
      </c>
      <c r="L1273">
        <f t="shared" si="39"/>
        <v>2025</v>
      </c>
    </row>
    <row r="1274" spans="1:12" x14ac:dyDescent="0.3">
      <c r="A1274" s="2">
        <v>45847</v>
      </c>
      <c r="B1274" t="s">
        <v>116</v>
      </c>
      <c r="C1274" t="s">
        <v>17</v>
      </c>
      <c r="D1274" t="s">
        <v>156</v>
      </c>
      <c r="E1274" t="s">
        <v>26</v>
      </c>
      <c r="F1274" t="s">
        <v>27</v>
      </c>
      <c r="G1274" t="s">
        <v>94</v>
      </c>
      <c r="H1274" s="3">
        <v>36252.21</v>
      </c>
      <c r="I1274" s="4">
        <v>3</v>
      </c>
      <c r="J1274" s="3">
        <v>4412.96</v>
      </c>
      <c r="K1274" t="str">
        <f t="shared" si="38"/>
        <v>July</v>
      </c>
      <c r="L1274">
        <f t="shared" si="39"/>
        <v>2025</v>
      </c>
    </row>
    <row r="1275" spans="1:12" x14ac:dyDescent="0.3">
      <c r="A1275" s="2">
        <v>45848</v>
      </c>
      <c r="B1275" t="s">
        <v>67</v>
      </c>
      <c r="C1275" t="s">
        <v>39</v>
      </c>
      <c r="D1275" t="s">
        <v>156</v>
      </c>
      <c r="E1275" t="s">
        <v>42</v>
      </c>
      <c r="F1275" t="s">
        <v>43</v>
      </c>
      <c r="G1275" t="s">
        <v>87</v>
      </c>
      <c r="H1275" s="3">
        <v>30941.32</v>
      </c>
      <c r="I1275" s="4">
        <v>3</v>
      </c>
      <c r="J1275" s="3">
        <v>5865.58</v>
      </c>
      <c r="K1275" t="str">
        <f t="shared" si="38"/>
        <v>July</v>
      </c>
      <c r="L1275">
        <f t="shared" si="39"/>
        <v>2025</v>
      </c>
    </row>
    <row r="1276" spans="1:12" x14ac:dyDescent="0.3">
      <c r="A1276" s="2">
        <v>45849</v>
      </c>
      <c r="B1276" t="s">
        <v>67</v>
      </c>
      <c r="C1276" t="s">
        <v>39</v>
      </c>
      <c r="D1276" t="s">
        <v>156</v>
      </c>
      <c r="E1276" t="s">
        <v>42</v>
      </c>
      <c r="F1276" t="s">
        <v>90</v>
      </c>
      <c r="G1276" t="s">
        <v>97</v>
      </c>
      <c r="H1276" s="3">
        <v>2167.84</v>
      </c>
      <c r="I1276" s="4">
        <v>1</v>
      </c>
      <c r="J1276" s="3">
        <v>384.69</v>
      </c>
      <c r="K1276" t="str">
        <f t="shared" si="38"/>
        <v>July</v>
      </c>
      <c r="L1276">
        <f t="shared" si="39"/>
        <v>2025</v>
      </c>
    </row>
    <row r="1277" spans="1:12" x14ac:dyDescent="0.3">
      <c r="A1277" s="2">
        <v>45849</v>
      </c>
      <c r="B1277" t="s">
        <v>80</v>
      </c>
      <c r="C1277" t="s">
        <v>62</v>
      </c>
      <c r="D1277" t="s">
        <v>156</v>
      </c>
      <c r="E1277" t="s">
        <v>35</v>
      </c>
      <c r="F1277" t="s">
        <v>75</v>
      </c>
      <c r="G1277" t="s">
        <v>107</v>
      </c>
      <c r="H1277" s="3">
        <v>191031.31</v>
      </c>
      <c r="I1277" s="4">
        <v>5</v>
      </c>
      <c r="J1277" s="3">
        <v>19382.18</v>
      </c>
      <c r="K1277" t="str">
        <f t="shared" si="38"/>
        <v>July</v>
      </c>
      <c r="L1277">
        <f t="shared" si="39"/>
        <v>2025</v>
      </c>
    </row>
    <row r="1278" spans="1:12" x14ac:dyDescent="0.3">
      <c r="A1278" s="2">
        <v>45850</v>
      </c>
      <c r="B1278" t="s">
        <v>32</v>
      </c>
      <c r="C1278" t="s">
        <v>12</v>
      </c>
      <c r="D1278" t="s">
        <v>156</v>
      </c>
      <c r="E1278" t="s">
        <v>26</v>
      </c>
      <c r="F1278" t="s">
        <v>53</v>
      </c>
      <c r="G1278" t="s">
        <v>54</v>
      </c>
      <c r="H1278" s="3">
        <v>38046.32</v>
      </c>
      <c r="I1278" s="4">
        <v>1</v>
      </c>
      <c r="J1278" s="3">
        <v>5614.2</v>
      </c>
      <c r="K1278" t="str">
        <f t="shared" si="38"/>
        <v>July</v>
      </c>
      <c r="L1278">
        <f t="shared" si="39"/>
        <v>2025</v>
      </c>
    </row>
    <row r="1279" spans="1:12" x14ac:dyDescent="0.3">
      <c r="A1279" s="2">
        <v>45851</v>
      </c>
      <c r="B1279" t="s">
        <v>113</v>
      </c>
      <c r="C1279" t="s">
        <v>49</v>
      </c>
      <c r="D1279" t="s">
        <v>156</v>
      </c>
      <c r="E1279" t="s">
        <v>13</v>
      </c>
      <c r="F1279" t="s">
        <v>14</v>
      </c>
      <c r="G1279" t="s">
        <v>111</v>
      </c>
      <c r="H1279" s="3">
        <v>1656.57</v>
      </c>
      <c r="I1279" s="4">
        <v>1</v>
      </c>
      <c r="J1279" s="3">
        <v>110.46</v>
      </c>
      <c r="K1279" t="str">
        <f t="shared" si="38"/>
        <v>July</v>
      </c>
      <c r="L1279">
        <f t="shared" si="39"/>
        <v>2025</v>
      </c>
    </row>
    <row r="1280" spans="1:12" x14ac:dyDescent="0.3">
      <c r="A1280" s="2">
        <v>45852</v>
      </c>
      <c r="B1280" t="s">
        <v>113</v>
      </c>
      <c r="C1280" t="s">
        <v>39</v>
      </c>
      <c r="D1280" t="s">
        <v>156</v>
      </c>
      <c r="E1280" t="s">
        <v>13</v>
      </c>
      <c r="F1280" t="s">
        <v>14</v>
      </c>
      <c r="G1280" t="s">
        <v>15</v>
      </c>
      <c r="H1280" s="3">
        <v>4373.0200000000004</v>
      </c>
      <c r="I1280" s="4">
        <v>2</v>
      </c>
      <c r="J1280" s="3">
        <v>607.66999999999996</v>
      </c>
      <c r="K1280" t="str">
        <f t="shared" si="38"/>
        <v>July</v>
      </c>
      <c r="L1280">
        <f t="shared" si="39"/>
        <v>2025</v>
      </c>
    </row>
    <row r="1281" spans="1:12" x14ac:dyDescent="0.3">
      <c r="A1281" s="2">
        <v>45852</v>
      </c>
      <c r="B1281" t="s">
        <v>21</v>
      </c>
      <c r="C1281" t="s">
        <v>58</v>
      </c>
      <c r="D1281" t="s">
        <v>156</v>
      </c>
      <c r="E1281" t="s">
        <v>18</v>
      </c>
      <c r="F1281" t="s">
        <v>19</v>
      </c>
      <c r="G1281" t="s">
        <v>72</v>
      </c>
      <c r="H1281" s="3">
        <v>56964.39</v>
      </c>
      <c r="I1281" s="4">
        <v>1</v>
      </c>
      <c r="J1281" s="3">
        <v>8694.9699999999993</v>
      </c>
      <c r="K1281" t="str">
        <f t="shared" si="38"/>
        <v>July</v>
      </c>
      <c r="L1281">
        <f t="shared" si="39"/>
        <v>2025</v>
      </c>
    </row>
    <row r="1282" spans="1:12" x14ac:dyDescent="0.3">
      <c r="A1282" s="2">
        <v>45852</v>
      </c>
      <c r="B1282" t="s">
        <v>21</v>
      </c>
      <c r="C1282" t="s">
        <v>17</v>
      </c>
      <c r="D1282" t="s">
        <v>156</v>
      </c>
      <c r="E1282" t="s">
        <v>18</v>
      </c>
      <c r="F1282" t="s">
        <v>40</v>
      </c>
      <c r="G1282" t="s">
        <v>102</v>
      </c>
      <c r="H1282" s="3">
        <v>2525.29</v>
      </c>
      <c r="I1282" s="4">
        <v>2</v>
      </c>
      <c r="J1282" s="3">
        <v>415.73</v>
      </c>
      <c r="K1282" t="str">
        <f t="shared" si="38"/>
        <v>July</v>
      </c>
      <c r="L1282">
        <f t="shared" si="39"/>
        <v>2025</v>
      </c>
    </row>
    <row r="1283" spans="1:12" x14ac:dyDescent="0.3">
      <c r="A1283" s="2">
        <v>45853</v>
      </c>
      <c r="B1283" t="s">
        <v>60</v>
      </c>
      <c r="C1283" t="s">
        <v>81</v>
      </c>
      <c r="D1283" t="s">
        <v>156</v>
      </c>
      <c r="E1283" t="s">
        <v>13</v>
      </c>
      <c r="F1283" t="s">
        <v>23</v>
      </c>
      <c r="G1283" t="s">
        <v>85</v>
      </c>
      <c r="H1283" s="3">
        <v>74609.41</v>
      </c>
      <c r="I1283" s="4">
        <v>2</v>
      </c>
      <c r="J1283" s="3">
        <v>5367.71</v>
      </c>
      <c r="K1283" t="str">
        <f t="shared" ref="K1283:K1346" si="40">TEXT(A1283,"mmmm")</f>
        <v>July</v>
      </c>
      <c r="L1283">
        <f t="shared" ref="L1283:L1346" si="41">YEAR(A1283)</f>
        <v>2025</v>
      </c>
    </row>
    <row r="1284" spans="1:12" x14ac:dyDescent="0.3">
      <c r="A1284" s="2">
        <v>45853</v>
      </c>
      <c r="B1284" t="s">
        <v>60</v>
      </c>
      <c r="C1284" t="s">
        <v>17</v>
      </c>
      <c r="D1284" t="s">
        <v>156</v>
      </c>
      <c r="E1284" t="s">
        <v>42</v>
      </c>
      <c r="F1284" t="s">
        <v>90</v>
      </c>
      <c r="G1284" t="s">
        <v>97</v>
      </c>
      <c r="H1284" s="3">
        <v>4387.7700000000004</v>
      </c>
      <c r="I1284" s="4">
        <v>2</v>
      </c>
      <c r="J1284" s="3">
        <v>766.1</v>
      </c>
      <c r="K1284" t="str">
        <f t="shared" si="40"/>
        <v>July</v>
      </c>
      <c r="L1284">
        <f t="shared" si="41"/>
        <v>2025</v>
      </c>
    </row>
    <row r="1285" spans="1:12" x14ac:dyDescent="0.3">
      <c r="A1285" s="2">
        <v>45854</v>
      </c>
      <c r="B1285" t="s">
        <v>74</v>
      </c>
      <c r="C1285" t="s">
        <v>69</v>
      </c>
      <c r="D1285" t="s">
        <v>156</v>
      </c>
      <c r="E1285" t="s">
        <v>42</v>
      </c>
      <c r="F1285" t="s">
        <v>90</v>
      </c>
      <c r="G1285" t="s">
        <v>91</v>
      </c>
      <c r="H1285" s="3">
        <v>5131.75</v>
      </c>
      <c r="I1285" s="4">
        <v>3</v>
      </c>
      <c r="J1285" s="3">
        <v>716.46</v>
      </c>
      <c r="K1285" t="str">
        <f t="shared" si="40"/>
        <v>July</v>
      </c>
      <c r="L1285">
        <f t="shared" si="41"/>
        <v>2025</v>
      </c>
    </row>
    <row r="1286" spans="1:12" x14ac:dyDescent="0.3">
      <c r="A1286" s="2">
        <v>45855</v>
      </c>
      <c r="B1286" t="s">
        <v>52</v>
      </c>
      <c r="C1286" t="s">
        <v>56</v>
      </c>
      <c r="D1286" t="s">
        <v>156</v>
      </c>
      <c r="E1286" t="s">
        <v>18</v>
      </c>
      <c r="F1286" t="s">
        <v>19</v>
      </c>
      <c r="G1286" t="s">
        <v>20</v>
      </c>
      <c r="H1286" s="3">
        <v>59788.26</v>
      </c>
      <c r="I1286" s="4">
        <v>1</v>
      </c>
      <c r="J1286" s="3">
        <v>8381.24</v>
      </c>
      <c r="K1286" t="str">
        <f t="shared" si="40"/>
        <v>July</v>
      </c>
      <c r="L1286">
        <f t="shared" si="41"/>
        <v>2025</v>
      </c>
    </row>
    <row r="1287" spans="1:12" x14ac:dyDescent="0.3">
      <c r="A1287" s="2">
        <v>45855</v>
      </c>
      <c r="B1287" t="s">
        <v>25</v>
      </c>
      <c r="C1287" t="s">
        <v>30</v>
      </c>
      <c r="D1287" t="s">
        <v>156</v>
      </c>
      <c r="E1287" t="s">
        <v>13</v>
      </c>
      <c r="F1287" t="s">
        <v>23</v>
      </c>
      <c r="G1287" t="s">
        <v>47</v>
      </c>
      <c r="H1287" s="3">
        <v>205352.28</v>
      </c>
      <c r="I1287" s="4">
        <v>3</v>
      </c>
      <c r="J1287" s="3">
        <v>14466.22</v>
      </c>
      <c r="K1287" t="str">
        <f t="shared" si="40"/>
        <v>July</v>
      </c>
      <c r="L1287">
        <f t="shared" si="41"/>
        <v>2025</v>
      </c>
    </row>
    <row r="1288" spans="1:12" x14ac:dyDescent="0.3">
      <c r="A1288" s="2">
        <v>45856</v>
      </c>
      <c r="B1288" t="s">
        <v>86</v>
      </c>
      <c r="C1288" t="s">
        <v>49</v>
      </c>
      <c r="D1288" t="s">
        <v>156</v>
      </c>
      <c r="E1288" t="s">
        <v>42</v>
      </c>
      <c r="F1288" t="s">
        <v>43</v>
      </c>
      <c r="G1288" t="s">
        <v>44</v>
      </c>
      <c r="H1288" s="3">
        <v>14939.49</v>
      </c>
      <c r="I1288" s="4">
        <v>1</v>
      </c>
      <c r="J1288" s="3">
        <v>3286.03</v>
      </c>
      <c r="K1288" t="str">
        <f t="shared" si="40"/>
        <v>July</v>
      </c>
      <c r="L1288">
        <f t="shared" si="41"/>
        <v>2025</v>
      </c>
    </row>
    <row r="1289" spans="1:12" x14ac:dyDescent="0.3">
      <c r="A1289" s="2">
        <v>45857</v>
      </c>
      <c r="B1289" t="s">
        <v>78</v>
      </c>
      <c r="C1289" t="s">
        <v>69</v>
      </c>
      <c r="D1289" t="s">
        <v>156</v>
      </c>
      <c r="E1289" t="s">
        <v>18</v>
      </c>
      <c r="F1289" t="s">
        <v>40</v>
      </c>
      <c r="G1289" t="s">
        <v>102</v>
      </c>
      <c r="H1289" s="3">
        <v>1456.69</v>
      </c>
      <c r="I1289" s="4">
        <v>1</v>
      </c>
      <c r="J1289" s="3">
        <v>243.72</v>
      </c>
      <c r="K1289" t="str">
        <f t="shared" si="40"/>
        <v>July</v>
      </c>
      <c r="L1289">
        <f t="shared" si="41"/>
        <v>2025</v>
      </c>
    </row>
    <row r="1290" spans="1:12" x14ac:dyDescent="0.3">
      <c r="A1290" s="2">
        <v>45858</v>
      </c>
      <c r="B1290" t="s">
        <v>113</v>
      </c>
      <c r="C1290" t="s">
        <v>12</v>
      </c>
      <c r="D1290" t="s">
        <v>156</v>
      </c>
      <c r="E1290" t="s">
        <v>18</v>
      </c>
      <c r="F1290" t="s">
        <v>19</v>
      </c>
      <c r="G1290" t="s">
        <v>72</v>
      </c>
      <c r="H1290" s="3">
        <v>56728.42</v>
      </c>
      <c r="I1290" s="4">
        <v>1</v>
      </c>
      <c r="J1290" s="3">
        <v>7567.98</v>
      </c>
      <c r="K1290" t="str">
        <f t="shared" si="40"/>
        <v>July</v>
      </c>
      <c r="L1290">
        <f t="shared" si="41"/>
        <v>2025</v>
      </c>
    </row>
    <row r="1291" spans="1:12" x14ac:dyDescent="0.3">
      <c r="A1291" s="2">
        <v>45858</v>
      </c>
      <c r="B1291" t="s">
        <v>109</v>
      </c>
      <c r="C1291" t="s">
        <v>66</v>
      </c>
      <c r="D1291" t="s">
        <v>156</v>
      </c>
      <c r="E1291" t="s">
        <v>35</v>
      </c>
      <c r="F1291" t="s">
        <v>75</v>
      </c>
      <c r="G1291" t="s">
        <v>76</v>
      </c>
      <c r="H1291" s="3">
        <v>41024.949999999997</v>
      </c>
      <c r="I1291" s="4">
        <v>1</v>
      </c>
      <c r="J1291" s="3">
        <v>5089.25</v>
      </c>
      <c r="K1291" t="str">
        <f t="shared" si="40"/>
        <v>July</v>
      </c>
      <c r="L1291">
        <f t="shared" si="41"/>
        <v>2025</v>
      </c>
    </row>
    <row r="1292" spans="1:12" x14ac:dyDescent="0.3">
      <c r="A1292" s="2">
        <v>45858</v>
      </c>
      <c r="B1292" t="s">
        <v>60</v>
      </c>
      <c r="C1292" t="s">
        <v>22</v>
      </c>
      <c r="D1292" t="s">
        <v>156</v>
      </c>
      <c r="E1292" t="s">
        <v>26</v>
      </c>
      <c r="F1292" t="s">
        <v>27</v>
      </c>
      <c r="G1292" t="s">
        <v>94</v>
      </c>
      <c r="H1292" s="3">
        <v>12327.79</v>
      </c>
      <c r="I1292" s="4">
        <v>1</v>
      </c>
      <c r="J1292" s="3">
        <v>1887.36</v>
      </c>
      <c r="K1292" t="str">
        <f t="shared" si="40"/>
        <v>July</v>
      </c>
      <c r="L1292">
        <f t="shared" si="41"/>
        <v>2025</v>
      </c>
    </row>
    <row r="1293" spans="1:12" x14ac:dyDescent="0.3">
      <c r="A1293" s="2">
        <v>45859</v>
      </c>
      <c r="B1293" t="s">
        <v>80</v>
      </c>
      <c r="C1293" t="s">
        <v>62</v>
      </c>
      <c r="D1293" t="s">
        <v>156</v>
      </c>
      <c r="E1293" t="s">
        <v>13</v>
      </c>
      <c r="F1293" t="s">
        <v>14</v>
      </c>
      <c r="G1293" t="s">
        <v>15</v>
      </c>
      <c r="H1293" s="3">
        <v>2428.2399999999998</v>
      </c>
      <c r="I1293" s="4">
        <v>1</v>
      </c>
      <c r="J1293" s="3">
        <v>314.7</v>
      </c>
      <c r="K1293" t="str">
        <f t="shared" si="40"/>
        <v>July</v>
      </c>
      <c r="L1293">
        <f t="shared" si="41"/>
        <v>2025</v>
      </c>
    </row>
    <row r="1294" spans="1:12" x14ac:dyDescent="0.3">
      <c r="A1294" s="2">
        <v>45859</v>
      </c>
      <c r="B1294" t="s">
        <v>34</v>
      </c>
      <c r="C1294" t="s">
        <v>58</v>
      </c>
      <c r="D1294" t="s">
        <v>156</v>
      </c>
      <c r="E1294" t="s">
        <v>18</v>
      </c>
      <c r="F1294" t="s">
        <v>40</v>
      </c>
      <c r="G1294" t="s">
        <v>102</v>
      </c>
      <c r="H1294" s="3">
        <v>1457.95</v>
      </c>
      <c r="I1294" s="4">
        <v>1</v>
      </c>
      <c r="J1294" s="3">
        <v>-113.81</v>
      </c>
      <c r="K1294" t="str">
        <f t="shared" si="40"/>
        <v>July</v>
      </c>
      <c r="L1294">
        <f t="shared" si="41"/>
        <v>2025</v>
      </c>
    </row>
    <row r="1295" spans="1:12" x14ac:dyDescent="0.3">
      <c r="A1295" s="2">
        <v>45859</v>
      </c>
      <c r="B1295" t="s">
        <v>80</v>
      </c>
      <c r="C1295" t="s">
        <v>69</v>
      </c>
      <c r="D1295" t="s">
        <v>156</v>
      </c>
      <c r="E1295" t="s">
        <v>42</v>
      </c>
      <c r="F1295" t="s">
        <v>43</v>
      </c>
      <c r="G1295" t="s">
        <v>89</v>
      </c>
      <c r="H1295" s="3">
        <v>99370.33</v>
      </c>
      <c r="I1295" s="4">
        <v>3</v>
      </c>
      <c r="J1295" s="3">
        <v>13672.57</v>
      </c>
      <c r="K1295" t="str">
        <f t="shared" si="40"/>
        <v>July</v>
      </c>
      <c r="L1295">
        <f t="shared" si="41"/>
        <v>2025</v>
      </c>
    </row>
    <row r="1296" spans="1:12" x14ac:dyDescent="0.3">
      <c r="A1296" s="2">
        <v>45860</v>
      </c>
      <c r="B1296" t="s">
        <v>109</v>
      </c>
      <c r="C1296" t="s">
        <v>68</v>
      </c>
      <c r="D1296" t="s">
        <v>156</v>
      </c>
      <c r="E1296" t="s">
        <v>18</v>
      </c>
      <c r="F1296" t="s">
        <v>40</v>
      </c>
      <c r="G1296" t="s">
        <v>117</v>
      </c>
      <c r="H1296" s="3">
        <v>2473.1799999999998</v>
      </c>
      <c r="I1296" s="4">
        <v>1</v>
      </c>
      <c r="J1296" s="3">
        <v>256.18</v>
      </c>
      <c r="K1296" t="str">
        <f t="shared" si="40"/>
        <v>July</v>
      </c>
      <c r="L1296">
        <f t="shared" si="41"/>
        <v>2025</v>
      </c>
    </row>
    <row r="1297" spans="1:12" x14ac:dyDescent="0.3">
      <c r="A1297" s="2">
        <v>45861</v>
      </c>
      <c r="B1297" t="s">
        <v>74</v>
      </c>
      <c r="C1297" t="s">
        <v>62</v>
      </c>
      <c r="D1297" t="s">
        <v>156</v>
      </c>
      <c r="E1297" t="s">
        <v>13</v>
      </c>
      <c r="F1297" t="s">
        <v>23</v>
      </c>
      <c r="G1297" t="s">
        <v>108</v>
      </c>
      <c r="H1297" s="3">
        <v>51711.040000000001</v>
      </c>
      <c r="I1297" s="4">
        <v>1</v>
      </c>
      <c r="J1297" s="3">
        <v>5894.83</v>
      </c>
      <c r="K1297" t="str">
        <f t="shared" si="40"/>
        <v>July</v>
      </c>
      <c r="L1297">
        <f t="shared" si="41"/>
        <v>2025</v>
      </c>
    </row>
    <row r="1298" spans="1:12" x14ac:dyDescent="0.3">
      <c r="A1298" s="2">
        <v>45861</v>
      </c>
      <c r="B1298" t="s">
        <v>11</v>
      </c>
      <c r="C1298" t="s">
        <v>62</v>
      </c>
      <c r="D1298" t="s">
        <v>156</v>
      </c>
      <c r="E1298" t="s">
        <v>18</v>
      </c>
      <c r="F1298" t="s">
        <v>19</v>
      </c>
      <c r="G1298" t="s">
        <v>106</v>
      </c>
      <c r="H1298" s="3">
        <v>410166.44</v>
      </c>
      <c r="I1298" s="4">
        <v>5</v>
      </c>
      <c r="J1298" s="3">
        <v>64874.54</v>
      </c>
      <c r="K1298" t="str">
        <f t="shared" si="40"/>
        <v>July</v>
      </c>
      <c r="L1298">
        <f t="shared" si="41"/>
        <v>2025</v>
      </c>
    </row>
    <row r="1299" spans="1:12" x14ac:dyDescent="0.3">
      <c r="A1299" s="2">
        <v>45862</v>
      </c>
      <c r="B1299" t="s">
        <v>55</v>
      </c>
      <c r="C1299" t="s">
        <v>46</v>
      </c>
      <c r="D1299" t="s">
        <v>156</v>
      </c>
      <c r="E1299" t="s">
        <v>42</v>
      </c>
      <c r="F1299" t="s">
        <v>90</v>
      </c>
      <c r="G1299" t="s">
        <v>97</v>
      </c>
      <c r="H1299" s="3">
        <v>9422.8799999999992</v>
      </c>
      <c r="I1299" s="4">
        <v>4</v>
      </c>
      <c r="J1299" s="3">
        <v>1460.67</v>
      </c>
      <c r="K1299" t="str">
        <f t="shared" si="40"/>
        <v>July</v>
      </c>
      <c r="L1299">
        <f t="shared" si="41"/>
        <v>2025</v>
      </c>
    </row>
    <row r="1300" spans="1:12" x14ac:dyDescent="0.3">
      <c r="A1300" s="2">
        <v>45862</v>
      </c>
      <c r="B1300" t="s">
        <v>52</v>
      </c>
      <c r="C1300" t="s">
        <v>69</v>
      </c>
      <c r="D1300" t="s">
        <v>156</v>
      </c>
      <c r="E1300" t="s">
        <v>42</v>
      </c>
      <c r="F1300" t="s">
        <v>43</v>
      </c>
      <c r="G1300" t="s">
        <v>44</v>
      </c>
      <c r="H1300" s="3">
        <v>27099.49</v>
      </c>
      <c r="I1300" s="4">
        <v>2</v>
      </c>
      <c r="J1300" s="3">
        <v>6158.34</v>
      </c>
      <c r="K1300" t="str">
        <f t="shared" si="40"/>
        <v>July</v>
      </c>
      <c r="L1300">
        <f t="shared" si="41"/>
        <v>2025</v>
      </c>
    </row>
    <row r="1301" spans="1:12" x14ac:dyDescent="0.3">
      <c r="A1301" s="2">
        <v>45862</v>
      </c>
      <c r="B1301" t="s">
        <v>34</v>
      </c>
      <c r="C1301" t="s">
        <v>69</v>
      </c>
      <c r="D1301" t="s">
        <v>156</v>
      </c>
      <c r="E1301" t="s">
        <v>18</v>
      </c>
      <c r="F1301" t="s">
        <v>40</v>
      </c>
      <c r="G1301" t="s">
        <v>102</v>
      </c>
      <c r="H1301" s="3">
        <v>2841.19</v>
      </c>
      <c r="I1301" s="4">
        <v>2</v>
      </c>
      <c r="J1301" s="3">
        <v>441.91</v>
      </c>
      <c r="K1301" t="str">
        <f t="shared" si="40"/>
        <v>July</v>
      </c>
      <c r="L1301">
        <f t="shared" si="41"/>
        <v>2025</v>
      </c>
    </row>
    <row r="1302" spans="1:12" x14ac:dyDescent="0.3">
      <c r="A1302" s="2">
        <v>45863</v>
      </c>
      <c r="B1302" t="s">
        <v>101</v>
      </c>
      <c r="C1302" t="s">
        <v>30</v>
      </c>
      <c r="D1302" t="s">
        <v>156</v>
      </c>
      <c r="E1302" t="s">
        <v>13</v>
      </c>
      <c r="F1302" t="s">
        <v>14</v>
      </c>
      <c r="G1302" t="s">
        <v>88</v>
      </c>
      <c r="H1302" s="3">
        <v>4248.47</v>
      </c>
      <c r="I1302" s="4">
        <v>3</v>
      </c>
      <c r="J1302" s="3">
        <v>421.68</v>
      </c>
      <c r="K1302" t="str">
        <f t="shared" si="40"/>
        <v>July</v>
      </c>
      <c r="L1302">
        <f t="shared" si="41"/>
        <v>2025</v>
      </c>
    </row>
    <row r="1303" spans="1:12" x14ac:dyDescent="0.3">
      <c r="A1303" s="2">
        <v>45866</v>
      </c>
      <c r="B1303" t="s">
        <v>109</v>
      </c>
      <c r="C1303" t="s">
        <v>62</v>
      </c>
      <c r="D1303" t="s">
        <v>156</v>
      </c>
      <c r="E1303" t="s">
        <v>26</v>
      </c>
      <c r="F1303" t="s">
        <v>53</v>
      </c>
      <c r="G1303" t="s">
        <v>98</v>
      </c>
      <c r="H1303" s="3">
        <v>28459.9</v>
      </c>
      <c r="I1303" s="4">
        <v>1</v>
      </c>
      <c r="J1303" s="3">
        <v>4154.0200000000004</v>
      </c>
      <c r="K1303" t="str">
        <f t="shared" si="40"/>
        <v>July</v>
      </c>
      <c r="L1303">
        <f t="shared" si="41"/>
        <v>2025</v>
      </c>
    </row>
    <row r="1304" spans="1:12" x14ac:dyDescent="0.3">
      <c r="A1304" s="2">
        <v>45867</v>
      </c>
      <c r="B1304" t="s">
        <v>78</v>
      </c>
      <c r="C1304" t="s">
        <v>30</v>
      </c>
      <c r="D1304" t="s">
        <v>156</v>
      </c>
      <c r="E1304" t="s">
        <v>35</v>
      </c>
      <c r="F1304" t="s">
        <v>63</v>
      </c>
      <c r="G1304" t="s">
        <v>114</v>
      </c>
      <c r="H1304" s="3">
        <v>26596.48</v>
      </c>
      <c r="I1304" s="4">
        <v>1</v>
      </c>
      <c r="J1304" s="3">
        <v>4953.71</v>
      </c>
      <c r="K1304" t="str">
        <f t="shared" si="40"/>
        <v>July</v>
      </c>
      <c r="L1304">
        <f t="shared" si="41"/>
        <v>2025</v>
      </c>
    </row>
    <row r="1305" spans="1:12" x14ac:dyDescent="0.3">
      <c r="A1305" s="2">
        <v>45867</v>
      </c>
      <c r="B1305" t="s">
        <v>83</v>
      </c>
      <c r="C1305" t="s">
        <v>46</v>
      </c>
      <c r="D1305" t="s">
        <v>156</v>
      </c>
      <c r="E1305" t="s">
        <v>13</v>
      </c>
      <c r="F1305" t="s">
        <v>23</v>
      </c>
      <c r="G1305" t="s">
        <v>47</v>
      </c>
      <c r="H1305" s="3">
        <v>62922</v>
      </c>
      <c r="I1305" s="4">
        <v>1</v>
      </c>
      <c r="J1305" s="3">
        <v>4300.72</v>
      </c>
      <c r="K1305" t="str">
        <f t="shared" si="40"/>
        <v>July</v>
      </c>
      <c r="L1305">
        <f t="shared" si="41"/>
        <v>2025</v>
      </c>
    </row>
    <row r="1306" spans="1:12" x14ac:dyDescent="0.3">
      <c r="A1306" s="2">
        <v>45869</v>
      </c>
      <c r="B1306" t="s">
        <v>101</v>
      </c>
      <c r="C1306" t="s">
        <v>69</v>
      </c>
      <c r="D1306" t="s">
        <v>156</v>
      </c>
      <c r="E1306" t="s">
        <v>18</v>
      </c>
      <c r="F1306" t="s">
        <v>19</v>
      </c>
      <c r="G1306" t="s">
        <v>59</v>
      </c>
      <c r="H1306" s="3">
        <v>157744.81</v>
      </c>
      <c r="I1306" s="4">
        <v>3</v>
      </c>
      <c r="J1306" s="3">
        <v>20331.28</v>
      </c>
      <c r="K1306" t="str">
        <f t="shared" si="40"/>
        <v>July</v>
      </c>
      <c r="L1306">
        <f t="shared" si="41"/>
        <v>2025</v>
      </c>
    </row>
    <row r="1307" spans="1:12" x14ac:dyDescent="0.3">
      <c r="A1307" s="2">
        <v>45870</v>
      </c>
      <c r="B1307" t="s">
        <v>45</v>
      </c>
      <c r="C1307" t="s">
        <v>56</v>
      </c>
      <c r="D1307" t="s">
        <v>156</v>
      </c>
      <c r="E1307" t="s">
        <v>35</v>
      </c>
      <c r="F1307" t="s">
        <v>50</v>
      </c>
      <c r="G1307" t="s">
        <v>119</v>
      </c>
      <c r="H1307" s="3">
        <v>2745.45</v>
      </c>
      <c r="I1307" s="4">
        <v>1</v>
      </c>
      <c r="J1307" s="3">
        <v>226.96</v>
      </c>
      <c r="K1307" t="str">
        <f t="shared" si="40"/>
        <v>August</v>
      </c>
      <c r="L1307">
        <f t="shared" si="41"/>
        <v>2025</v>
      </c>
    </row>
    <row r="1308" spans="1:12" x14ac:dyDescent="0.3">
      <c r="A1308" s="2">
        <v>45870</v>
      </c>
      <c r="B1308" t="s">
        <v>92</v>
      </c>
      <c r="C1308" t="s">
        <v>58</v>
      </c>
      <c r="D1308" t="s">
        <v>156</v>
      </c>
      <c r="E1308" t="s">
        <v>35</v>
      </c>
      <c r="F1308" t="s">
        <v>36</v>
      </c>
      <c r="G1308" t="s">
        <v>84</v>
      </c>
      <c r="H1308" s="3">
        <v>27384.52</v>
      </c>
      <c r="I1308" s="4">
        <v>1</v>
      </c>
      <c r="J1308" s="3">
        <v>4374.41</v>
      </c>
      <c r="K1308" t="str">
        <f t="shared" si="40"/>
        <v>August</v>
      </c>
      <c r="L1308">
        <f t="shared" si="41"/>
        <v>2025</v>
      </c>
    </row>
    <row r="1309" spans="1:12" x14ac:dyDescent="0.3">
      <c r="A1309" s="2">
        <v>45870</v>
      </c>
      <c r="B1309" t="s">
        <v>71</v>
      </c>
      <c r="C1309" t="s">
        <v>58</v>
      </c>
      <c r="D1309" t="s">
        <v>156</v>
      </c>
      <c r="E1309" t="s">
        <v>18</v>
      </c>
      <c r="F1309" t="s">
        <v>40</v>
      </c>
      <c r="G1309" t="s">
        <v>102</v>
      </c>
      <c r="H1309" s="3">
        <v>4947.28</v>
      </c>
      <c r="I1309" s="4">
        <v>4</v>
      </c>
      <c r="J1309" s="3">
        <v>587.86</v>
      </c>
      <c r="K1309" t="str">
        <f t="shared" si="40"/>
        <v>August</v>
      </c>
      <c r="L1309">
        <f t="shared" si="41"/>
        <v>2025</v>
      </c>
    </row>
    <row r="1310" spans="1:12" x14ac:dyDescent="0.3">
      <c r="A1310" s="2">
        <v>45871</v>
      </c>
      <c r="B1310" t="s">
        <v>25</v>
      </c>
      <c r="C1310" t="s">
        <v>61</v>
      </c>
      <c r="D1310" t="s">
        <v>156</v>
      </c>
      <c r="E1310" t="s">
        <v>42</v>
      </c>
      <c r="F1310" t="s">
        <v>43</v>
      </c>
      <c r="G1310" t="s">
        <v>44</v>
      </c>
      <c r="H1310" s="3">
        <v>14910.45</v>
      </c>
      <c r="I1310" s="4">
        <v>1</v>
      </c>
      <c r="J1310" s="3">
        <v>2917.23</v>
      </c>
      <c r="K1310" t="str">
        <f t="shared" si="40"/>
        <v>August</v>
      </c>
      <c r="L1310">
        <f t="shared" si="41"/>
        <v>2025</v>
      </c>
    </row>
    <row r="1311" spans="1:12" x14ac:dyDescent="0.3">
      <c r="A1311" s="2">
        <v>45871</v>
      </c>
      <c r="B1311" t="s">
        <v>74</v>
      </c>
      <c r="C1311" t="s">
        <v>49</v>
      </c>
      <c r="D1311" t="s">
        <v>156</v>
      </c>
      <c r="E1311" t="s">
        <v>13</v>
      </c>
      <c r="F1311" t="s">
        <v>14</v>
      </c>
      <c r="G1311" t="s">
        <v>88</v>
      </c>
      <c r="H1311" s="3">
        <v>1244.8499999999999</v>
      </c>
      <c r="I1311" s="4">
        <v>1</v>
      </c>
      <c r="J1311" s="3">
        <v>121.49</v>
      </c>
      <c r="K1311" t="str">
        <f t="shared" si="40"/>
        <v>August</v>
      </c>
      <c r="L1311">
        <f t="shared" si="41"/>
        <v>2025</v>
      </c>
    </row>
    <row r="1312" spans="1:12" x14ac:dyDescent="0.3">
      <c r="A1312" s="2">
        <v>45873</v>
      </c>
      <c r="B1312" t="s">
        <v>45</v>
      </c>
      <c r="C1312" t="s">
        <v>30</v>
      </c>
      <c r="D1312" t="s">
        <v>156</v>
      </c>
      <c r="E1312" t="s">
        <v>18</v>
      </c>
      <c r="F1312" t="s">
        <v>40</v>
      </c>
      <c r="G1312" t="s">
        <v>41</v>
      </c>
      <c r="H1312" s="3">
        <v>31826.38</v>
      </c>
      <c r="I1312" s="4">
        <v>2</v>
      </c>
      <c r="J1312" s="3">
        <v>3707.31</v>
      </c>
      <c r="K1312" t="str">
        <f t="shared" si="40"/>
        <v>August</v>
      </c>
      <c r="L1312">
        <f t="shared" si="41"/>
        <v>2025</v>
      </c>
    </row>
    <row r="1313" spans="1:12" x14ac:dyDescent="0.3">
      <c r="A1313" s="2">
        <v>45874</v>
      </c>
      <c r="B1313" t="s">
        <v>67</v>
      </c>
      <c r="C1313" t="s">
        <v>62</v>
      </c>
      <c r="D1313" t="s">
        <v>156</v>
      </c>
      <c r="E1313" t="s">
        <v>18</v>
      </c>
      <c r="F1313" t="s">
        <v>40</v>
      </c>
      <c r="G1313" t="s">
        <v>117</v>
      </c>
      <c r="H1313" s="3">
        <v>2650.52</v>
      </c>
      <c r="I1313" s="4">
        <v>1</v>
      </c>
      <c r="J1313" s="3">
        <v>207.26</v>
      </c>
      <c r="K1313" t="str">
        <f t="shared" si="40"/>
        <v>August</v>
      </c>
      <c r="L1313">
        <f t="shared" si="41"/>
        <v>2025</v>
      </c>
    </row>
    <row r="1314" spans="1:12" x14ac:dyDescent="0.3">
      <c r="A1314" s="2">
        <v>45877</v>
      </c>
      <c r="B1314" t="s">
        <v>60</v>
      </c>
      <c r="C1314" t="s">
        <v>58</v>
      </c>
      <c r="D1314" t="s">
        <v>156</v>
      </c>
      <c r="E1314" t="s">
        <v>13</v>
      </c>
      <c r="F1314" t="s">
        <v>23</v>
      </c>
      <c r="G1314" t="s">
        <v>77</v>
      </c>
      <c r="H1314" s="3">
        <v>69722.679999999993</v>
      </c>
      <c r="I1314" s="4">
        <v>2</v>
      </c>
      <c r="J1314" s="3">
        <v>6930.09</v>
      </c>
      <c r="K1314" t="str">
        <f t="shared" si="40"/>
        <v>August</v>
      </c>
      <c r="L1314">
        <f t="shared" si="41"/>
        <v>2025</v>
      </c>
    </row>
    <row r="1315" spans="1:12" x14ac:dyDescent="0.3">
      <c r="A1315" s="2">
        <v>45877</v>
      </c>
      <c r="B1315" t="s">
        <v>21</v>
      </c>
      <c r="C1315" t="s">
        <v>56</v>
      </c>
      <c r="D1315" t="s">
        <v>156</v>
      </c>
      <c r="E1315" t="s">
        <v>35</v>
      </c>
      <c r="F1315" t="s">
        <v>36</v>
      </c>
      <c r="G1315" t="s">
        <v>37</v>
      </c>
      <c r="H1315" s="3">
        <v>28972.58</v>
      </c>
      <c r="I1315" s="4">
        <v>1</v>
      </c>
      <c r="J1315" s="3">
        <v>5203.01</v>
      </c>
      <c r="K1315" t="str">
        <f t="shared" si="40"/>
        <v>August</v>
      </c>
      <c r="L1315">
        <f t="shared" si="41"/>
        <v>2025</v>
      </c>
    </row>
    <row r="1316" spans="1:12" x14ac:dyDescent="0.3">
      <c r="A1316" s="2">
        <v>45878</v>
      </c>
      <c r="B1316" t="s">
        <v>74</v>
      </c>
      <c r="C1316" t="s">
        <v>39</v>
      </c>
      <c r="D1316" t="s">
        <v>156</v>
      </c>
      <c r="E1316" t="s">
        <v>13</v>
      </c>
      <c r="F1316" t="s">
        <v>14</v>
      </c>
      <c r="G1316" t="s">
        <v>57</v>
      </c>
      <c r="H1316" s="3">
        <v>3096.93</v>
      </c>
      <c r="I1316" s="4">
        <v>2</v>
      </c>
      <c r="J1316" s="3">
        <v>320.64999999999998</v>
      </c>
      <c r="K1316" t="str">
        <f t="shared" si="40"/>
        <v>August</v>
      </c>
      <c r="L1316">
        <f t="shared" si="41"/>
        <v>2025</v>
      </c>
    </row>
    <row r="1317" spans="1:12" x14ac:dyDescent="0.3">
      <c r="A1317" s="2">
        <v>45879</v>
      </c>
      <c r="B1317" t="s">
        <v>116</v>
      </c>
      <c r="C1317" t="s">
        <v>12</v>
      </c>
      <c r="D1317" t="s">
        <v>156</v>
      </c>
      <c r="E1317" t="s">
        <v>42</v>
      </c>
      <c r="F1317" t="s">
        <v>90</v>
      </c>
      <c r="G1317" t="s">
        <v>91</v>
      </c>
      <c r="H1317" s="3">
        <v>1874.66</v>
      </c>
      <c r="I1317" s="4">
        <v>1</v>
      </c>
      <c r="J1317" s="3">
        <v>341.68</v>
      </c>
      <c r="K1317" t="str">
        <f t="shared" si="40"/>
        <v>August</v>
      </c>
      <c r="L1317">
        <f t="shared" si="41"/>
        <v>2025</v>
      </c>
    </row>
    <row r="1318" spans="1:12" x14ac:dyDescent="0.3">
      <c r="A1318" s="2">
        <v>45879</v>
      </c>
      <c r="B1318" t="s">
        <v>93</v>
      </c>
      <c r="C1318" t="s">
        <v>12</v>
      </c>
      <c r="D1318" t="s">
        <v>156</v>
      </c>
      <c r="E1318" t="s">
        <v>18</v>
      </c>
      <c r="F1318" t="s">
        <v>40</v>
      </c>
      <c r="G1318" t="s">
        <v>105</v>
      </c>
      <c r="H1318" s="3">
        <v>4990.83</v>
      </c>
      <c r="I1318" s="4">
        <v>2</v>
      </c>
      <c r="J1318" s="3">
        <v>449.51</v>
      </c>
      <c r="K1318" t="str">
        <f t="shared" si="40"/>
        <v>August</v>
      </c>
      <c r="L1318">
        <f t="shared" si="41"/>
        <v>2025</v>
      </c>
    </row>
    <row r="1319" spans="1:12" x14ac:dyDescent="0.3">
      <c r="A1319" s="2">
        <v>45880</v>
      </c>
      <c r="B1319" t="s">
        <v>95</v>
      </c>
      <c r="C1319" t="s">
        <v>61</v>
      </c>
      <c r="D1319" t="s">
        <v>156</v>
      </c>
      <c r="E1319" t="s">
        <v>13</v>
      </c>
      <c r="F1319" t="s">
        <v>14</v>
      </c>
      <c r="G1319" t="s">
        <v>111</v>
      </c>
      <c r="H1319" s="3">
        <v>1752.71</v>
      </c>
      <c r="I1319" s="4">
        <v>1</v>
      </c>
      <c r="J1319" s="3">
        <v>217.19</v>
      </c>
      <c r="K1319" t="str">
        <f t="shared" si="40"/>
        <v>August</v>
      </c>
      <c r="L1319">
        <f t="shared" si="41"/>
        <v>2025</v>
      </c>
    </row>
    <row r="1320" spans="1:12" x14ac:dyDescent="0.3">
      <c r="A1320" s="2">
        <v>45880</v>
      </c>
      <c r="B1320" t="s">
        <v>34</v>
      </c>
      <c r="C1320" t="s">
        <v>66</v>
      </c>
      <c r="D1320" t="s">
        <v>156</v>
      </c>
      <c r="E1320" t="s">
        <v>18</v>
      </c>
      <c r="F1320" t="s">
        <v>40</v>
      </c>
      <c r="G1320" t="s">
        <v>102</v>
      </c>
      <c r="H1320" s="3">
        <v>2617.62</v>
      </c>
      <c r="I1320" s="4">
        <v>2</v>
      </c>
      <c r="J1320" s="3">
        <v>330.02</v>
      </c>
      <c r="K1320" t="str">
        <f t="shared" si="40"/>
        <v>August</v>
      </c>
      <c r="L1320">
        <f t="shared" si="41"/>
        <v>2025</v>
      </c>
    </row>
    <row r="1321" spans="1:12" x14ac:dyDescent="0.3">
      <c r="A1321" s="2">
        <v>45880</v>
      </c>
      <c r="B1321" t="s">
        <v>95</v>
      </c>
      <c r="C1321" t="s">
        <v>49</v>
      </c>
      <c r="D1321" t="s">
        <v>156</v>
      </c>
      <c r="E1321" t="s">
        <v>18</v>
      </c>
      <c r="F1321" t="s">
        <v>19</v>
      </c>
      <c r="G1321" t="s">
        <v>106</v>
      </c>
      <c r="H1321" s="3">
        <v>94885.45</v>
      </c>
      <c r="I1321" s="4">
        <v>1</v>
      </c>
      <c r="J1321" s="3">
        <v>8655.2199999999993</v>
      </c>
      <c r="K1321" t="str">
        <f t="shared" si="40"/>
        <v>August</v>
      </c>
      <c r="L1321">
        <f t="shared" si="41"/>
        <v>2025</v>
      </c>
    </row>
    <row r="1322" spans="1:12" x14ac:dyDescent="0.3">
      <c r="A1322" s="2">
        <v>45882</v>
      </c>
      <c r="B1322" t="s">
        <v>38</v>
      </c>
      <c r="C1322" t="s">
        <v>12</v>
      </c>
      <c r="D1322" t="s">
        <v>156</v>
      </c>
      <c r="E1322" t="s">
        <v>35</v>
      </c>
      <c r="F1322" t="s">
        <v>36</v>
      </c>
      <c r="G1322" t="s">
        <v>37</v>
      </c>
      <c r="H1322" s="3">
        <v>27475.62</v>
      </c>
      <c r="I1322" s="4">
        <v>1</v>
      </c>
      <c r="J1322" s="3">
        <v>3464.62</v>
      </c>
      <c r="K1322" t="str">
        <f t="shared" si="40"/>
        <v>August</v>
      </c>
      <c r="L1322">
        <f t="shared" si="41"/>
        <v>2025</v>
      </c>
    </row>
    <row r="1323" spans="1:12" x14ac:dyDescent="0.3">
      <c r="A1323" s="2">
        <v>45885</v>
      </c>
      <c r="B1323" t="s">
        <v>55</v>
      </c>
      <c r="C1323" t="s">
        <v>30</v>
      </c>
      <c r="D1323" t="s">
        <v>156</v>
      </c>
      <c r="E1323" t="s">
        <v>18</v>
      </c>
      <c r="F1323" t="s">
        <v>40</v>
      </c>
      <c r="G1323" t="s">
        <v>102</v>
      </c>
      <c r="H1323" s="3">
        <v>1414.47</v>
      </c>
      <c r="I1323" s="4">
        <v>1</v>
      </c>
      <c r="J1323" s="3">
        <v>237.42</v>
      </c>
      <c r="K1323" t="str">
        <f t="shared" si="40"/>
        <v>August</v>
      </c>
      <c r="L1323">
        <f t="shared" si="41"/>
        <v>2025</v>
      </c>
    </row>
    <row r="1324" spans="1:12" x14ac:dyDescent="0.3">
      <c r="A1324" s="2">
        <v>45886</v>
      </c>
      <c r="B1324" t="s">
        <v>71</v>
      </c>
      <c r="C1324" t="s">
        <v>56</v>
      </c>
      <c r="D1324" t="s">
        <v>156</v>
      </c>
      <c r="E1324" t="s">
        <v>42</v>
      </c>
      <c r="F1324" t="s">
        <v>90</v>
      </c>
      <c r="G1324" t="s">
        <v>91</v>
      </c>
      <c r="H1324" s="3">
        <v>3674.61</v>
      </c>
      <c r="I1324" s="4">
        <v>2</v>
      </c>
      <c r="J1324" s="3">
        <v>789.01</v>
      </c>
      <c r="K1324" t="str">
        <f t="shared" si="40"/>
        <v>August</v>
      </c>
      <c r="L1324">
        <f t="shared" si="41"/>
        <v>2025</v>
      </c>
    </row>
    <row r="1325" spans="1:12" x14ac:dyDescent="0.3">
      <c r="A1325" s="2">
        <v>45886</v>
      </c>
      <c r="B1325" t="s">
        <v>55</v>
      </c>
      <c r="C1325" t="s">
        <v>22</v>
      </c>
      <c r="D1325" t="s">
        <v>156</v>
      </c>
      <c r="E1325" t="s">
        <v>18</v>
      </c>
      <c r="F1325" t="s">
        <v>40</v>
      </c>
      <c r="G1325" t="s">
        <v>41</v>
      </c>
      <c r="H1325" s="3">
        <v>50067.55</v>
      </c>
      <c r="I1325" s="4">
        <v>3</v>
      </c>
      <c r="J1325" s="3">
        <v>7182.61</v>
      </c>
      <c r="K1325" t="str">
        <f t="shared" si="40"/>
        <v>August</v>
      </c>
      <c r="L1325">
        <f t="shared" si="41"/>
        <v>2025</v>
      </c>
    </row>
    <row r="1326" spans="1:12" x14ac:dyDescent="0.3">
      <c r="A1326" s="2">
        <v>45887</v>
      </c>
      <c r="B1326" t="s">
        <v>16</v>
      </c>
      <c r="C1326" t="s">
        <v>39</v>
      </c>
      <c r="D1326" t="s">
        <v>156</v>
      </c>
      <c r="E1326" t="s">
        <v>18</v>
      </c>
      <c r="F1326" t="s">
        <v>19</v>
      </c>
      <c r="G1326" t="s">
        <v>59</v>
      </c>
      <c r="H1326" s="3">
        <v>107257.74</v>
      </c>
      <c r="I1326" s="4">
        <v>2</v>
      </c>
      <c r="J1326" s="3">
        <v>-6812.77</v>
      </c>
      <c r="K1326" t="str">
        <f t="shared" si="40"/>
        <v>August</v>
      </c>
      <c r="L1326">
        <f t="shared" si="41"/>
        <v>2025</v>
      </c>
    </row>
    <row r="1327" spans="1:12" x14ac:dyDescent="0.3">
      <c r="A1327" s="2">
        <v>45888</v>
      </c>
      <c r="B1327" t="s">
        <v>92</v>
      </c>
      <c r="C1327" t="s">
        <v>56</v>
      </c>
      <c r="D1327" t="s">
        <v>156</v>
      </c>
      <c r="E1327" t="s">
        <v>18</v>
      </c>
      <c r="F1327" t="s">
        <v>19</v>
      </c>
      <c r="G1327" t="s">
        <v>20</v>
      </c>
      <c r="H1327" s="3">
        <v>67430.53</v>
      </c>
      <c r="I1327" s="4">
        <v>1</v>
      </c>
      <c r="J1327" s="3">
        <v>10546.71</v>
      </c>
      <c r="K1327" t="str">
        <f t="shared" si="40"/>
        <v>August</v>
      </c>
      <c r="L1327">
        <f t="shared" si="41"/>
        <v>2025</v>
      </c>
    </row>
    <row r="1328" spans="1:12" x14ac:dyDescent="0.3">
      <c r="A1328" s="2">
        <v>45888</v>
      </c>
      <c r="B1328" t="s">
        <v>103</v>
      </c>
      <c r="C1328" t="s">
        <v>61</v>
      </c>
      <c r="D1328" t="s">
        <v>156</v>
      </c>
      <c r="E1328" t="s">
        <v>26</v>
      </c>
      <c r="F1328" t="s">
        <v>53</v>
      </c>
      <c r="G1328" t="s">
        <v>96</v>
      </c>
      <c r="H1328" s="3">
        <v>182366.01</v>
      </c>
      <c r="I1328" s="4">
        <v>3</v>
      </c>
      <c r="J1328" s="3">
        <v>21414.47</v>
      </c>
      <c r="K1328" t="str">
        <f t="shared" si="40"/>
        <v>August</v>
      </c>
      <c r="L1328">
        <f t="shared" si="41"/>
        <v>2025</v>
      </c>
    </row>
    <row r="1329" spans="1:12" x14ac:dyDescent="0.3">
      <c r="A1329" s="2">
        <v>45888</v>
      </c>
      <c r="B1329" t="s">
        <v>116</v>
      </c>
      <c r="C1329" t="s">
        <v>22</v>
      </c>
      <c r="D1329" t="s">
        <v>156</v>
      </c>
      <c r="E1329" t="s">
        <v>18</v>
      </c>
      <c r="F1329" t="s">
        <v>19</v>
      </c>
      <c r="G1329" t="s">
        <v>20</v>
      </c>
      <c r="H1329" s="3">
        <v>127031.85</v>
      </c>
      <c r="I1329" s="4">
        <v>2</v>
      </c>
      <c r="J1329" s="3">
        <v>16687.03</v>
      </c>
      <c r="K1329" t="str">
        <f t="shared" si="40"/>
        <v>August</v>
      </c>
      <c r="L1329">
        <f t="shared" si="41"/>
        <v>2025</v>
      </c>
    </row>
    <row r="1330" spans="1:12" x14ac:dyDescent="0.3">
      <c r="A1330" s="2">
        <v>45889</v>
      </c>
      <c r="B1330" t="s">
        <v>21</v>
      </c>
      <c r="C1330" t="s">
        <v>66</v>
      </c>
      <c r="D1330" t="s">
        <v>156</v>
      </c>
      <c r="E1330" t="s">
        <v>26</v>
      </c>
      <c r="F1330" t="s">
        <v>27</v>
      </c>
      <c r="G1330" t="s">
        <v>94</v>
      </c>
      <c r="H1330" s="3">
        <v>23873.3</v>
      </c>
      <c r="I1330" s="4">
        <v>2</v>
      </c>
      <c r="J1330" s="3">
        <v>3550.88</v>
      </c>
      <c r="K1330" t="str">
        <f t="shared" si="40"/>
        <v>August</v>
      </c>
      <c r="L1330">
        <f t="shared" si="41"/>
        <v>2025</v>
      </c>
    </row>
    <row r="1331" spans="1:12" x14ac:dyDescent="0.3">
      <c r="A1331" s="2">
        <v>45889</v>
      </c>
      <c r="B1331" t="s">
        <v>65</v>
      </c>
      <c r="C1331" t="s">
        <v>30</v>
      </c>
      <c r="D1331" t="s">
        <v>156</v>
      </c>
      <c r="E1331" t="s">
        <v>26</v>
      </c>
      <c r="F1331" t="s">
        <v>53</v>
      </c>
      <c r="G1331" t="s">
        <v>54</v>
      </c>
      <c r="H1331" s="3">
        <v>41698.22</v>
      </c>
      <c r="I1331" s="4">
        <v>1</v>
      </c>
      <c r="J1331" s="3">
        <v>3640.32</v>
      </c>
      <c r="K1331" t="str">
        <f t="shared" si="40"/>
        <v>August</v>
      </c>
      <c r="L1331">
        <f t="shared" si="41"/>
        <v>2025</v>
      </c>
    </row>
    <row r="1332" spans="1:12" x14ac:dyDescent="0.3">
      <c r="A1332" s="2">
        <v>45889</v>
      </c>
      <c r="B1332" t="s">
        <v>25</v>
      </c>
      <c r="C1332" t="s">
        <v>49</v>
      </c>
      <c r="D1332" t="s">
        <v>156</v>
      </c>
      <c r="E1332" t="s">
        <v>35</v>
      </c>
      <c r="F1332" t="s">
        <v>50</v>
      </c>
      <c r="G1332" t="s">
        <v>121</v>
      </c>
      <c r="H1332" s="3">
        <v>4453.07</v>
      </c>
      <c r="I1332" s="4">
        <v>1</v>
      </c>
      <c r="J1332" s="3">
        <v>556.64</v>
      </c>
      <c r="K1332" t="str">
        <f t="shared" si="40"/>
        <v>August</v>
      </c>
      <c r="L1332">
        <f t="shared" si="41"/>
        <v>2025</v>
      </c>
    </row>
    <row r="1333" spans="1:12" x14ac:dyDescent="0.3">
      <c r="A1333" s="2">
        <v>45889</v>
      </c>
      <c r="B1333" t="s">
        <v>116</v>
      </c>
      <c r="C1333" t="s">
        <v>66</v>
      </c>
      <c r="D1333" t="s">
        <v>156</v>
      </c>
      <c r="E1333" t="s">
        <v>18</v>
      </c>
      <c r="F1333" t="s">
        <v>19</v>
      </c>
      <c r="G1333" t="s">
        <v>59</v>
      </c>
      <c r="H1333" s="3">
        <v>146452.24</v>
      </c>
      <c r="I1333" s="4">
        <v>3</v>
      </c>
      <c r="J1333" s="3">
        <v>11442.43</v>
      </c>
      <c r="K1333" t="str">
        <f t="shared" si="40"/>
        <v>August</v>
      </c>
      <c r="L1333">
        <f t="shared" si="41"/>
        <v>2025</v>
      </c>
    </row>
    <row r="1334" spans="1:12" x14ac:dyDescent="0.3">
      <c r="A1334" s="2">
        <v>45890</v>
      </c>
      <c r="B1334" t="s">
        <v>21</v>
      </c>
      <c r="C1334" t="s">
        <v>17</v>
      </c>
      <c r="D1334" t="s">
        <v>156</v>
      </c>
      <c r="E1334" t="s">
        <v>13</v>
      </c>
      <c r="F1334" t="s">
        <v>23</v>
      </c>
      <c r="G1334" t="s">
        <v>108</v>
      </c>
      <c r="H1334" s="3">
        <v>57142.74</v>
      </c>
      <c r="I1334" s="4">
        <v>1</v>
      </c>
      <c r="J1334" s="3">
        <v>5309.7</v>
      </c>
      <c r="K1334" t="str">
        <f t="shared" si="40"/>
        <v>August</v>
      </c>
      <c r="L1334">
        <f t="shared" si="41"/>
        <v>2025</v>
      </c>
    </row>
    <row r="1335" spans="1:12" x14ac:dyDescent="0.3">
      <c r="A1335" s="2">
        <v>45890</v>
      </c>
      <c r="B1335" t="s">
        <v>48</v>
      </c>
      <c r="C1335" t="s">
        <v>62</v>
      </c>
      <c r="D1335" t="s">
        <v>156</v>
      </c>
      <c r="E1335" t="s">
        <v>18</v>
      </c>
      <c r="F1335" t="s">
        <v>40</v>
      </c>
      <c r="G1335" t="s">
        <v>41</v>
      </c>
      <c r="H1335" s="3">
        <v>51469.15</v>
      </c>
      <c r="I1335" s="4">
        <v>3</v>
      </c>
      <c r="J1335" s="3">
        <v>4989.84</v>
      </c>
      <c r="K1335" t="str">
        <f t="shared" si="40"/>
        <v>August</v>
      </c>
      <c r="L1335">
        <f t="shared" si="41"/>
        <v>2025</v>
      </c>
    </row>
    <row r="1336" spans="1:12" x14ac:dyDescent="0.3">
      <c r="A1336" s="2">
        <v>45891</v>
      </c>
      <c r="B1336" t="s">
        <v>92</v>
      </c>
      <c r="C1336" t="s">
        <v>30</v>
      </c>
      <c r="D1336" t="s">
        <v>156</v>
      </c>
      <c r="E1336" t="s">
        <v>13</v>
      </c>
      <c r="F1336" t="s">
        <v>23</v>
      </c>
      <c r="G1336" t="s">
        <v>79</v>
      </c>
      <c r="H1336" s="3">
        <v>69398.899999999994</v>
      </c>
      <c r="I1336" s="4">
        <v>1</v>
      </c>
      <c r="J1336" s="3">
        <v>4541.62</v>
      </c>
      <c r="K1336" t="str">
        <f t="shared" si="40"/>
        <v>August</v>
      </c>
      <c r="L1336">
        <f t="shared" si="41"/>
        <v>2025</v>
      </c>
    </row>
    <row r="1337" spans="1:12" x14ac:dyDescent="0.3">
      <c r="A1337" s="2">
        <v>45894</v>
      </c>
      <c r="B1337" t="s">
        <v>38</v>
      </c>
      <c r="C1337" t="s">
        <v>39</v>
      </c>
      <c r="D1337" t="s">
        <v>156</v>
      </c>
      <c r="E1337" t="s">
        <v>18</v>
      </c>
      <c r="F1337" t="s">
        <v>40</v>
      </c>
      <c r="G1337" t="s">
        <v>102</v>
      </c>
      <c r="H1337" s="3">
        <v>2626.81</v>
      </c>
      <c r="I1337" s="4">
        <v>2</v>
      </c>
      <c r="J1337" s="3">
        <v>248.17</v>
      </c>
      <c r="K1337" t="str">
        <f t="shared" si="40"/>
        <v>August</v>
      </c>
      <c r="L1337">
        <f t="shared" si="41"/>
        <v>2025</v>
      </c>
    </row>
    <row r="1338" spans="1:12" x14ac:dyDescent="0.3">
      <c r="A1338" s="2">
        <v>45895</v>
      </c>
      <c r="B1338" t="s">
        <v>11</v>
      </c>
      <c r="C1338" t="s">
        <v>49</v>
      </c>
      <c r="D1338" t="s">
        <v>156</v>
      </c>
      <c r="E1338" t="s">
        <v>35</v>
      </c>
      <c r="F1338" t="s">
        <v>50</v>
      </c>
      <c r="G1338" t="s">
        <v>121</v>
      </c>
      <c r="H1338" s="3">
        <v>4406.03</v>
      </c>
      <c r="I1338" s="4">
        <v>1</v>
      </c>
      <c r="J1338" s="3">
        <v>539.80999999999995</v>
      </c>
      <c r="K1338" t="str">
        <f t="shared" si="40"/>
        <v>August</v>
      </c>
      <c r="L1338">
        <f t="shared" si="41"/>
        <v>2025</v>
      </c>
    </row>
    <row r="1339" spans="1:12" x14ac:dyDescent="0.3">
      <c r="A1339" s="2">
        <v>45896</v>
      </c>
      <c r="B1339" t="s">
        <v>65</v>
      </c>
      <c r="C1339" t="s">
        <v>56</v>
      </c>
      <c r="D1339" t="s">
        <v>156</v>
      </c>
      <c r="E1339" t="s">
        <v>42</v>
      </c>
      <c r="F1339" t="s">
        <v>90</v>
      </c>
      <c r="G1339" t="s">
        <v>91</v>
      </c>
      <c r="H1339" s="3">
        <v>1778.46</v>
      </c>
      <c r="I1339" s="4">
        <v>1</v>
      </c>
      <c r="J1339" s="3">
        <v>355.45</v>
      </c>
      <c r="K1339" t="str">
        <f t="shared" si="40"/>
        <v>August</v>
      </c>
      <c r="L1339">
        <f t="shared" si="41"/>
        <v>2025</v>
      </c>
    </row>
    <row r="1340" spans="1:12" x14ac:dyDescent="0.3">
      <c r="A1340" s="2">
        <v>45897</v>
      </c>
      <c r="B1340" t="s">
        <v>32</v>
      </c>
      <c r="C1340" t="s">
        <v>17</v>
      </c>
      <c r="D1340" t="s">
        <v>156</v>
      </c>
      <c r="E1340" t="s">
        <v>26</v>
      </c>
      <c r="F1340" t="s">
        <v>53</v>
      </c>
      <c r="G1340" t="s">
        <v>54</v>
      </c>
      <c r="H1340" s="3">
        <v>109249.95</v>
      </c>
      <c r="I1340" s="4">
        <v>3</v>
      </c>
      <c r="J1340" s="3">
        <v>11962.63</v>
      </c>
      <c r="K1340" t="str">
        <f t="shared" si="40"/>
        <v>August</v>
      </c>
      <c r="L1340">
        <f t="shared" si="41"/>
        <v>2025</v>
      </c>
    </row>
    <row r="1341" spans="1:12" x14ac:dyDescent="0.3">
      <c r="A1341" s="2">
        <v>45898</v>
      </c>
      <c r="B1341" t="s">
        <v>60</v>
      </c>
      <c r="C1341" t="s">
        <v>61</v>
      </c>
      <c r="D1341" t="s">
        <v>156</v>
      </c>
      <c r="E1341" t="s">
        <v>26</v>
      </c>
      <c r="F1341" t="s">
        <v>53</v>
      </c>
      <c r="G1341" t="s">
        <v>96</v>
      </c>
      <c r="H1341" s="3">
        <v>132797.4</v>
      </c>
      <c r="I1341" s="4">
        <v>2</v>
      </c>
      <c r="J1341" s="3">
        <v>16396.12</v>
      </c>
      <c r="K1341" t="str">
        <f t="shared" si="40"/>
        <v>August</v>
      </c>
      <c r="L1341">
        <f t="shared" si="41"/>
        <v>2025</v>
      </c>
    </row>
    <row r="1342" spans="1:12" x14ac:dyDescent="0.3">
      <c r="A1342" s="2">
        <v>45898</v>
      </c>
      <c r="B1342" t="s">
        <v>92</v>
      </c>
      <c r="C1342" t="s">
        <v>81</v>
      </c>
      <c r="D1342" t="s">
        <v>156</v>
      </c>
      <c r="E1342" t="s">
        <v>42</v>
      </c>
      <c r="F1342" t="s">
        <v>90</v>
      </c>
      <c r="G1342" t="s">
        <v>91</v>
      </c>
      <c r="H1342" s="3">
        <v>1848.52</v>
      </c>
      <c r="I1342" s="4">
        <v>1</v>
      </c>
      <c r="J1342" s="3">
        <v>369.01</v>
      </c>
      <c r="K1342" t="str">
        <f t="shared" si="40"/>
        <v>August</v>
      </c>
      <c r="L1342">
        <f t="shared" si="41"/>
        <v>2025</v>
      </c>
    </row>
    <row r="1343" spans="1:12" x14ac:dyDescent="0.3">
      <c r="A1343" s="2">
        <v>45899</v>
      </c>
      <c r="B1343" t="s">
        <v>32</v>
      </c>
      <c r="C1343" t="s">
        <v>46</v>
      </c>
      <c r="D1343" t="s">
        <v>156</v>
      </c>
      <c r="E1343" t="s">
        <v>42</v>
      </c>
      <c r="F1343" t="s">
        <v>43</v>
      </c>
      <c r="G1343" t="s">
        <v>44</v>
      </c>
      <c r="H1343" s="3">
        <v>13056.01</v>
      </c>
      <c r="I1343" s="4">
        <v>1</v>
      </c>
      <c r="J1343" s="3">
        <v>2144.5</v>
      </c>
      <c r="K1343" t="str">
        <f t="shared" si="40"/>
        <v>August</v>
      </c>
      <c r="L1343">
        <f t="shared" si="41"/>
        <v>2025</v>
      </c>
    </row>
    <row r="1344" spans="1:12" x14ac:dyDescent="0.3">
      <c r="A1344" s="2">
        <v>45900</v>
      </c>
      <c r="B1344" t="s">
        <v>16</v>
      </c>
      <c r="C1344" t="s">
        <v>46</v>
      </c>
      <c r="D1344" t="s">
        <v>156</v>
      </c>
      <c r="E1344" t="s">
        <v>26</v>
      </c>
      <c r="F1344" t="s">
        <v>27</v>
      </c>
      <c r="G1344" t="s">
        <v>28</v>
      </c>
      <c r="H1344" s="3">
        <v>22741.26</v>
      </c>
      <c r="I1344" s="4">
        <v>1</v>
      </c>
      <c r="J1344" s="3">
        <v>3379.23</v>
      </c>
      <c r="K1344" t="str">
        <f t="shared" si="40"/>
        <v>August</v>
      </c>
      <c r="L1344">
        <f t="shared" si="41"/>
        <v>2025</v>
      </c>
    </row>
    <row r="1345" spans="1:12" x14ac:dyDescent="0.3">
      <c r="A1345" s="2">
        <v>45901</v>
      </c>
      <c r="B1345" t="s">
        <v>103</v>
      </c>
      <c r="C1345" t="s">
        <v>30</v>
      </c>
      <c r="D1345" t="s">
        <v>156</v>
      </c>
      <c r="E1345" t="s">
        <v>42</v>
      </c>
      <c r="F1345" t="s">
        <v>90</v>
      </c>
      <c r="G1345" t="s">
        <v>120</v>
      </c>
      <c r="H1345" s="3">
        <v>10768.45</v>
      </c>
      <c r="I1345" s="4">
        <v>2</v>
      </c>
      <c r="J1345" s="3">
        <v>1953.83</v>
      </c>
      <c r="K1345" t="str">
        <f t="shared" si="40"/>
        <v>September</v>
      </c>
      <c r="L1345">
        <f t="shared" si="41"/>
        <v>2025</v>
      </c>
    </row>
    <row r="1346" spans="1:12" x14ac:dyDescent="0.3">
      <c r="A1346" s="2">
        <v>45903</v>
      </c>
      <c r="B1346" t="s">
        <v>65</v>
      </c>
      <c r="C1346" t="s">
        <v>12</v>
      </c>
      <c r="D1346" t="s">
        <v>156</v>
      </c>
      <c r="E1346" t="s">
        <v>26</v>
      </c>
      <c r="F1346" t="s">
        <v>53</v>
      </c>
      <c r="G1346" t="s">
        <v>104</v>
      </c>
      <c r="H1346" s="3">
        <v>164881.25</v>
      </c>
      <c r="I1346" s="4">
        <v>2</v>
      </c>
      <c r="J1346" s="3">
        <v>18667.12</v>
      </c>
      <c r="K1346" t="str">
        <f t="shared" si="40"/>
        <v>September</v>
      </c>
      <c r="L1346">
        <f t="shared" si="41"/>
        <v>2025</v>
      </c>
    </row>
    <row r="1347" spans="1:12" x14ac:dyDescent="0.3">
      <c r="A1347" s="2">
        <v>45904</v>
      </c>
      <c r="B1347" t="s">
        <v>67</v>
      </c>
      <c r="C1347" t="s">
        <v>30</v>
      </c>
      <c r="D1347" t="s">
        <v>156</v>
      </c>
      <c r="E1347" t="s">
        <v>42</v>
      </c>
      <c r="F1347" t="s">
        <v>90</v>
      </c>
      <c r="G1347" t="s">
        <v>97</v>
      </c>
      <c r="H1347" s="3">
        <v>7398.42</v>
      </c>
      <c r="I1347" s="4">
        <v>3</v>
      </c>
      <c r="J1347" s="3">
        <v>1235.25</v>
      </c>
      <c r="K1347" t="str">
        <f t="shared" ref="K1347:K1410" si="42">TEXT(A1347,"mmmm")</f>
        <v>September</v>
      </c>
      <c r="L1347">
        <f t="shared" ref="L1347:L1410" si="43">YEAR(A1347)</f>
        <v>2025</v>
      </c>
    </row>
    <row r="1348" spans="1:12" x14ac:dyDescent="0.3">
      <c r="A1348" s="2">
        <v>45905</v>
      </c>
      <c r="B1348" t="s">
        <v>25</v>
      </c>
      <c r="C1348" t="s">
        <v>22</v>
      </c>
      <c r="D1348" t="s">
        <v>156</v>
      </c>
      <c r="E1348" t="s">
        <v>18</v>
      </c>
      <c r="F1348" t="s">
        <v>19</v>
      </c>
      <c r="G1348" t="s">
        <v>33</v>
      </c>
      <c r="H1348" s="3">
        <v>54153.72</v>
      </c>
      <c r="I1348" s="4">
        <v>1</v>
      </c>
      <c r="J1348" s="3">
        <v>7478.99</v>
      </c>
      <c r="K1348" t="str">
        <f t="shared" si="42"/>
        <v>September</v>
      </c>
      <c r="L1348">
        <f t="shared" si="43"/>
        <v>2025</v>
      </c>
    </row>
    <row r="1349" spans="1:12" x14ac:dyDescent="0.3">
      <c r="A1349" s="2">
        <v>45905</v>
      </c>
      <c r="B1349" t="s">
        <v>60</v>
      </c>
      <c r="C1349" t="s">
        <v>69</v>
      </c>
      <c r="D1349" t="s">
        <v>156</v>
      </c>
      <c r="E1349" t="s">
        <v>42</v>
      </c>
      <c r="F1349" t="s">
        <v>90</v>
      </c>
      <c r="G1349" t="s">
        <v>91</v>
      </c>
      <c r="H1349" s="3">
        <v>1952.29</v>
      </c>
      <c r="I1349" s="4">
        <v>1</v>
      </c>
      <c r="J1349" s="3">
        <v>452.78</v>
      </c>
      <c r="K1349" t="str">
        <f t="shared" si="42"/>
        <v>September</v>
      </c>
      <c r="L1349">
        <f t="shared" si="43"/>
        <v>2025</v>
      </c>
    </row>
    <row r="1350" spans="1:12" x14ac:dyDescent="0.3">
      <c r="A1350" s="2">
        <v>45906</v>
      </c>
      <c r="B1350" t="s">
        <v>29</v>
      </c>
      <c r="C1350" t="s">
        <v>68</v>
      </c>
      <c r="D1350" t="s">
        <v>156</v>
      </c>
      <c r="E1350" t="s">
        <v>26</v>
      </c>
      <c r="F1350" t="s">
        <v>53</v>
      </c>
      <c r="G1350" t="s">
        <v>100</v>
      </c>
      <c r="H1350" s="3">
        <v>197868.94</v>
      </c>
      <c r="I1350" s="4">
        <v>2</v>
      </c>
      <c r="J1350" s="3">
        <v>34478.01</v>
      </c>
      <c r="K1350" t="str">
        <f t="shared" si="42"/>
        <v>September</v>
      </c>
      <c r="L1350">
        <f t="shared" si="43"/>
        <v>2025</v>
      </c>
    </row>
    <row r="1351" spans="1:12" x14ac:dyDescent="0.3">
      <c r="A1351" s="2">
        <v>45906</v>
      </c>
      <c r="B1351" t="s">
        <v>78</v>
      </c>
      <c r="C1351" t="s">
        <v>66</v>
      </c>
      <c r="D1351" t="s">
        <v>156</v>
      </c>
      <c r="E1351" t="s">
        <v>42</v>
      </c>
      <c r="F1351" t="s">
        <v>43</v>
      </c>
      <c r="G1351" t="s">
        <v>89</v>
      </c>
      <c r="H1351" s="3">
        <v>90309.6</v>
      </c>
      <c r="I1351" s="4">
        <v>3</v>
      </c>
      <c r="J1351" s="3">
        <v>14811.45</v>
      </c>
      <c r="K1351" t="str">
        <f t="shared" si="42"/>
        <v>September</v>
      </c>
      <c r="L1351">
        <f t="shared" si="43"/>
        <v>2025</v>
      </c>
    </row>
    <row r="1352" spans="1:12" x14ac:dyDescent="0.3">
      <c r="A1352" s="2">
        <v>45907</v>
      </c>
      <c r="B1352" t="s">
        <v>83</v>
      </c>
      <c r="C1352" t="s">
        <v>81</v>
      </c>
      <c r="D1352" t="s">
        <v>156</v>
      </c>
      <c r="E1352" t="s">
        <v>42</v>
      </c>
      <c r="F1352" t="s">
        <v>90</v>
      </c>
      <c r="G1352" t="s">
        <v>97</v>
      </c>
      <c r="H1352" s="3">
        <v>9002.65</v>
      </c>
      <c r="I1352" s="4">
        <v>4</v>
      </c>
      <c r="J1352" s="3">
        <v>1877.7</v>
      </c>
      <c r="K1352" t="str">
        <f t="shared" si="42"/>
        <v>September</v>
      </c>
      <c r="L1352">
        <f t="shared" si="43"/>
        <v>2025</v>
      </c>
    </row>
    <row r="1353" spans="1:12" x14ac:dyDescent="0.3">
      <c r="A1353" s="2">
        <v>45908</v>
      </c>
      <c r="B1353" t="s">
        <v>103</v>
      </c>
      <c r="C1353" t="s">
        <v>56</v>
      </c>
      <c r="D1353" t="s">
        <v>156</v>
      </c>
      <c r="E1353" t="s">
        <v>18</v>
      </c>
      <c r="F1353" t="s">
        <v>40</v>
      </c>
      <c r="G1353" t="s">
        <v>105</v>
      </c>
      <c r="H1353" s="3">
        <v>2413.52</v>
      </c>
      <c r="I1353" s="4">
        <v>1</v>
      </c>
      <c r="J1353" s="3">
        <v>347.9</v>
      </c>
      <c r="K1353" t="str">
        <f t="shared" si="42"/>
        <v>September</v>
      </c>
      <c r="L1353">
        <f t="shared" si="43"/>
        <v>2025</v>
      </c>
    </row>
    <row r="1354" spans="1:12" x14ac:dyDescent="0.3">
      <c r="A1354" s="2">
        <v>45909</v>
      </c>
      <c r="B1354" t="s">
        <v>73</v>
      </c>
      <c r="C1354" t="s">
        <v>12</v>
      </c>
      <c r="D1354" t="s">
        <v>156</v>
      </c>
      <c r="E1354" t="s">
        <v>18</v>
      </c>
      <c r="F1354" t="s">
        <v>19</v>
      </c>
      <c r="G1354" t="s">
        <v>59</v>
      </c>
      <c r="H1354" s="3">
        <v>147223.06</v>
      </c>
      <c r="I1354" s="4">
        <v>3</v>
      </c>
      <c r="J1354" s="3">
        <v>21547.41</v>
      </c>
      <c r="K1354" t="str">
        <f t="shared" si="42"/>
        <v>September</v>
      </c>
      <c r="L1354">
        <f t="shared" si="43"/>
        <v>2025</v>
      </c>
    </row>
    <row r="1355" spans="1:12" x14ac:dyDescent="0.3">
      <c r="A1355" s="2">
        <v>45911</v>
      </c>
      <c r="B1355" t="s">
        <v>74</v>
      </c>
      <c r="C1355" t="s">
        <v>81</v>
      </c>
      <c r="D1355" t="s">
        <v>156</v>
      </c>
      <c r="E1355" t="s">
        <v>13</v>
      </c>
      <c r="F1355" t="s">
        <v>23</v>
      </c>
      <c r="G1355" t="s">
        <v>85</v>
      </c>
      <c r="H1355" s="3">
        <v>44104.53</v>
      </c>
      <c r="I1355" s="4">
        <v>1</v>
      </c>
      <c r="J1355" s="3">
        <v>4925.32</v>
      </c>
      <c r="K1355" t="str">
        <f t="shared" si="42"/>
        <v>September</v>
      </c>
      <c r="L1355">
        <f t="shared" si="43"/>
        <v>2025</v>
      </c>
    </row>
    <row r="1356" spans="1:12" x14ac:dyDescent="0.3">
      <c r="A1356" s="2">
        <v>45914</v>
      </c>
      <c r="B1356" t="s">
        <v>11</v>
      </c>
      <c r="C1356" t="s">
        <v>56</v>
      </c>
      <c r="D1356" t="s">
        <v>156</v>
      </c>
      <c r="E1356" t="s">
        <v>13</v>
      </c>
      <c r="F1356" t="s">
        <v>14</v>
      </c>
      <c r="G1356" t="s">
        <v>15</v>
      </c>
      <c r="H1356" s="3">
        <v>2155.96</v>
      </c>
      <c r="I1356" s="4">
        <v>1</v>
      </c>
      <c r="J1356" s="3">
        <v>240.75</v>
      </c>
      <c r="K1356" t="str">
        <f t="shared" si="42"/>
        <v>September</v>
      </c>
      <c r="L1356">
        <f t="shared" si="43"/>
        <v>2025</v>
      </c>
    </row>
    <row r="1357" spans="1:12" x14ac:dyDescent="0.3">
      <c r="A1357" s="2">
        <v>45914</v>
      </c>
      <c r="B1357" t="s">
        <v>86</v>
      </c>
      <c r="C1357" t="s">
        <v>49</v>
      </c>
      <c r="D1357" t="s">
        <v>156</v>
      </c>
      <c r="E1357" t="s">
        <v>35</v>
      </c>
      <c r="F1357" t="s">
        <v>50</v>
      </c>
      <c r="G1357" t="s">
        <v>51</v>
      </c>
      <c r="H1357" s="3">
        <v>22518.85</v>
      </c>
      <c r="I1357" s="4">
        <v>3</v>
      </c>
      <c r="J1357" s="3">
        <v>3409.85</v>
      </c>
      <c r="K1357" t="str">
        <f t="shared" si="42"/>
        <v>September</v>
      </c>
      <c r="L1357">
        <f t="shared" si="43"/>
        <v>2025</v>
      </c>
    </row>
    <row r="1358" spans="1:12" x14ac:dyDescent="0.3">
      <c r="A1358" s="2">
        <v>45915</v>
      </c>
      <c r="B1358" t="s">
        <v>32</v>
      </c>
      <c r="C1358" t="s">
        <v>58</v>
      </c>
      <c r="D1358" t="s">
        <v>156</v>
      </c>
      <c r="E1358" t="s">
        <v>42</v>
      </c>
      <c r="F1358" t="s">
        <v>90</v>
      </c>
      <c r="G1358" t="s">
        <v>120</v>
      </c>
      <c r="H1358" s="3">
        <v>11917.29</v>
      </c>
      <c r="I1358" s="4">
        <v>2</v>
      </c>
      <c r="J1358" s="3">
        <v>2540.38</v>
      </c>
      <c r="K1358" t="str">
        <f t="shared" si="42"/>
        <v>September</v>
      </c>
      <c r="L1358">
        <f t="shared" si="43"/>
        <v>2025</v>
      </c>
    </row>
    <row r="1359" spans="1:12" x14ac:dyDescent="0.3">
      <c r="A1359" s="2">
        <v>45915</v>
      </c>
      <c r="B1359" t="s">
        <v>11</v>
      </c>
      <c r="C1359" t="s">
        <v>30</v>
      </c>
      <c r="D1359" t="s">
        <v>156</v>
      </c>
      <c r="E1359" t="s">
        <v>18</v>
      </c>
      <c r="F1359" t="s">
        <v>40</v>
      </c>
      <c r="G1359" t="s">
        <v>105</v>
      </c>
      <c r="H1359" s="3">
        <v>2123.16</v>
      </c>
      <c r="I1359" s="4">
        <v>1</v>
      </c>
      <c r="J1359" s="3">
        <v>200.08</v>
      </c>
      <c r="K1359" t="str">
        <f t="shared" si="42"/>
        <v>September</v>
      </c>
      <c r="L1359">
        <f t="shared" si="43"/>
        <v>2025</v>
      </c>
    </row>
    <row r="1360" spans="1:12" x14ac:dyDescent="0.3">
      <c r="A1360" s="2">
        <v>45915</v>
      </c>
      <c r="B1360" t="s">
        <v>103</v>
      </c>
      <c r="C1360" t="s">
        <v>12</v>
      </c>
      <c r="D1360" t="s">
        <v>156</v>
      </c>
      <c r="E1360" t="s">
        <v>13</v>
      </c>
      <c r="F1360" t="s">
        <v>14</v>
      </c>
      <c r="G1360" t="s">
        <v>111</v>
      </c>
      <c r="H1360" s="3">
        <v>1743.86</v>
      </c>
      <c r="I1360" s="4">
        <v>1</v>
      </c>
      <c r="J1360" s="3">
        <v>222.73</v>
      </c>
      <c r="K1360" t="str">
        <f t="shared" si="42"/>
        <v>September</v>
      </c>
      <c r="L1360">
        <f t="shared" si="43"/>
        <v>2025</v>
      </c>
    </row>
    <row r="1361" spans="1:12" x14ac:dyDescent="0.3">
      <c r="A1361" s="2">
        <v>45916</v>
      </c>
      <c r="B1361" t="s">
        <v>83</v>
      </c>
      <c r="C1361" t="s">
        <v>17</v>
      </c>
      <c r="D1361" t="s">
        <v>156</v>
      </c>
      <c r="E1361" t="s">
        <v>26</v>
      </c>
      <c r="F1361" t="s">
        <v>53</v>
      </c>
      <c r="G1361" t="s">
        <v>100</v>
      </c>
      <c r="H1361" s="3">
        <v>88155.79</v>
      </c>
      <c r="I1361" s="4">
        <v>1</v>
      </c>
      <c r="J1361" s="3">
        <v>12396.12</v>
      </c>
      <c r="K1361" t="str">
        <f t="shared" si="42"/>
        <v>September</v>
      </c>
      <c r="L1361">
        <f t="shared" si="43"/>
        <v>2025</v>
      </c>
    </row>
    <row r="1362" spans="1:12" x14ac:dyDescent="0.3">
      <c r="A1362" s="2">
        <v>45916</v>
      </c>
      <c r="B1362" t="s">
        <v>16</v>
      </c>
      <c r="C1362" t="s">
        <v>58</v>
      </c>
      <c r="D1362" t="s">
        <v>156</v>
      </c>
      <c r="E1362" t="s">
        <v>35</v>
      </c>
      <c r="F1362" t="s">
        <v>75</v>
      </c>
      <c r="G1362" t="s">
        <v>107</v>
      </c>
      <c r="H1362" s="3">
        <v>32524.94</v>
      </c>
      <c r="I1362" s="4">
        <v>1</v>
      </c>
      <c r="J1362" s="3">
        <v>-825.05</v>
      </c>
      <c r="K1362" t="str">
        <f t="shared" si="42"/>
        <v>September</v>
      </c>
      <c r="L1362">
        <f t="shared" si="43"/>
        <v>2025</v>
      </c>
    </row>
    <row r="1363" spans="1:12" x14ac:dyDescent="0.3">
      <c r="A1363" s="2">
        <v>45917</v>
      </c>
      <c r="B1363" t="s">
        <v>67</v>
      </c>
      <c r="C1363" t="s">
        <v>68</v>
      </c>
      <c r="D1363" t="s">
        <v>156</v>
      </c>
      <c r="E1363" t="s">
        <v>42</v>
      </c>
      <c r="F1363" t="s">
        <v>43</v>
      </c>
      <c r="G1363" t="s">
        <v>89</v>
      </c>
      <c r="H1363" s="3">
        <v>89273.67</v>
      </c>
      <c r="I1363" s="4">
        <v>3</v>
      </c>
      <c r="J1363" s="3">
        <v>10010.51</v>
      </c>
      <c r="K1363" t="str">
        <f t="shared" si="42"/>
        <v>September</v>
      </c>
      <c r="L1363">
        <f t="shared" si="43"/>
        <v>2025</v>
      </c>
    </row>
    <row r="1364" spans="1:12" x14ac:dyDescent="0.3">
      <c r="A1364" s="2">
        <v>45918</v>
      </c>
      <c r="B1364" t="s">
        <v>73</v>
      </c>
      <c r="C1364" t="s">
        <v>62</v>
      </c>
      <c r="D1364" t="s">
        <v>156</v>
      </c>
      <c r="E1364" t="s">
        <v>42</v>
      </c>
      <c r="F1364" t="s">
        <v>43</v>
      </c>
      <c r="G1364" t="s">
        <v>89</v>
      </c>
      <c r="H1364" s="3">
        <v>118052.3</v>
      </c>
      <c r="I1364" s="4">
        <v>4</v>
      </c>
      <c r="J1364" s="3">
        <v>28014.81</v>
      </c>
      <c r="K1364" t="str">
        <f t="shared" si="42"/>
        <v>September</v>
      </c>
      <c r="L1364">
        <f t="shared" si="43"/>
        <v>2025</v>
      </c>
    </row>
    <row r="1365" spans="1:12" x14ac:dyDescent="0.3">
      <c r="A1365" s="2">
        <v>45919</v>
      </c>
      <c r="B1365" t="s">
        <v>52</v>
      </c>
      <c r="C1365" t="s">
        <v>81</v>
      </c>
      <c r="D1365" t="s">
        <v>156</v>
      </c>
      <c r="E1365" t="s">
        <v>18</v>
      </c>
      <c r="F1365" t="s">
        <v>40</v>
      </c>
      <c r="G1365" t="s">
        <v>105</v>
      </c>
      <c r="H1365" s="3">
        <v>4787.04</v>
      </c>
      <c r="I1365" s="4">
        <v>2</v>
      </c>
      <c r="J1365" s="3">
        <v>495.86</v>
      </c>
      <c r="K1365" t="str">
        <f t="shared" si="42"/>
        <v>September</v>
      </c>
      <c r="L1365">
        <f t="shared" si="43"/>
        <v>2025</v>
      </c>
    </row>
    <row r="1366" spans="1:12" x14ac:dyDescent="0.3">
      <c r="A1366" s="2">
        <v>45919</v>
      </c>
      <c r="B1366" t="s">
        <v>80</v>
      </c>
      <c r="C1366" t="s">
        <v>12</v>
      </c>
      <c r="D1366" t="s">
        <v>156</v>
      </c>
      <c r="E1366" t="s">
        <v>26</v>
      </c>
      <c r="F1366" t="s">
        <v>27</v>
      </c>
      <c r="G1366" t="s">
        <v>28</v>
      </c>
      <c r="H1366" s="3">
        <v>22788.84</v>
      </c>
      <c r="I1366" s="4">
        <v>1</v>
      </c>
      <c r="J1366" s="3">
        <v>2349.12</v>
      </c>
      <c r="K1366" t="str">
        <f t="shared" si="42"/>
        <v>September</v>
      </c>
      <c r="L1366">
        <f t="shared" si="43"/>
        <v>2025</v>
      </c>
    </row>
    <row r="1367" spans="1:12" x14ac:dyDescent="0.3">
      <c r="A1367" s="2">
        <v>45920</v>
      </c>
      <c r="B1367" t="s">
        <v>29</v>
      </c>
      <c r="C1367" t="s">
        <v>62</v>
      </c>
      <c r="D1367" t="s">
        <v>156</v>
      </c>
      <c r="E1367" t="s">
        <v>13</v>
      </c>
      <c r="F1367" t="s">
        <v>23</v>
      </c>
      <c r="G1367" t="s">
        <v>79</v>
      </c>
      <c r="H1367" s="3">
        <v>118745.23</v>
      </c>
      <c r="I1367" s="4">
        <v>2</v>
      </c>
      <c r="J1367" s="3">
        <v>7298.71</v>
      </c>
      <c r="K1367" t="str">
        <f t="shared" si="42"/>
        <v>September</v>
      </c>
      <c r="L1367">
        <f t="shared" si="43"/>
        <v>2025</v>
      </c>
    </row>
    <row r="1368" spans="1:12" x14ac:dyDescent="0.3">
      <c r="A1368" s="2">
        <v>45920</v>
      </c>
      <c r="B1368" t="s">
        <v>16</v>
      </c>
      <c r="C1368" t="s">
        <v>58</v>
      </c>
      <c r="D1368" t="s">
        <v>156</v>
      </c>
      <c r="E1368" t="s">
        <v>42</v>
      </c>
      <c r="F1368" t="s">
        <v>43</v>
      </c>
      <c r="G1368" t="s">
        <v>44</v>
      </c>
      <c r="H1368" s="3">
        <v>28955.89</v>
      </c>
      <c r="I1368" s="4">
        <v>2</v>
      </c>
      <c r="J1368" s="3">
        <v>3652.14</v>
      </c>
      <c r="K1368" t="str">
        <f t="shared" si="42"/>
        <v>September</v>
      </c>
      <c r="L1368">
        <f t="shared" si="43"/>
        <v>2025</v>
      </c>
    </row>
    <row r="1369" spans="1:12" x14ac:dyDescent="0.3">
      <c r="A1369" s="2">
        <v>45920</v>
      </c>
      <c r="B1369" t="s">
        <v>32</v>
      </c>
      <c r="C1369" t="s">
        <v>49</v>
      </c>
      <c r="D1369" t="s">
        <v>156</v>
      </c>
      <c r="E1369" t="s">
        <v>42</v>
      </c>
      <c r="F1369" t="s">
        <v>90</v>
      </c>
      <c r="G1369" t="s">
        <v>97</v>
      </c>
      <c r="H1369" s="3">
        <v>10319.34</v>
      </c>
      <c r="I1369" s="4">
        <v>5</v>
      </c>
      <c r="J1369" s="3">
        <v>1892.32</v>
      </c>
      <c r="K1369" t="str">
        <f t="shared" si="42"/>
        <v>September</v>
      </c>
      <c r="L1369">
        <f t="shared" si="43"/>
        <v>2025</v>
      </c>
    </row>
    <row r="1370" spans="1:12" x14ac:dyDescent="0.3">
      <c r="A1370" s="2">
        <v>45921</v>
      </c>
      <c r="B1370" t="s">
        <v>95</v>
      </c>
      <c r="C1370" t="s">
        <v>46</v>
      </c>
      <c r="D1370" t="s">
        <v>156</v>
      </c>
      <c r="E1370" t="s">
        <v>35</v>
      </c>
      <c r="F1370" t="s">
        <v>63</v>
      </c>
      <c r="G1370" t="s">
        <v>112</v>
      </c>
      <c r="H1370" s="3">
        <v>32135.77</v>
      </c>
      <c r="I1370" s="4">
        <v>1</v>
      </c>
      <c r="J1370" s="3">
        <v>4918.01</v>
      </c>
      <c r="K1370" t="str">
        <f t="shared" si="42"/>
        <v>September</v>
      </c>
      <c r="L1370">
        <f t="shared" si="43"/>
        <v>2025</v>
      </c>
    </row>
    <row r="1371" spans="1:12" x14ac:dyDescent="0.3">
      <c r="A1371" s="2">
        <v>45921</v>
      </c>
      <c r="B1371" t="s">
        <v>11</v>
      </c>
      <c r="C1371" t="s">
        <v>46</v>
      </c>
      <c r="D1371" t="s">
        <v>156</v>
      </c>
      <c r="E1371" t="s">
        <v>35</v>
      </c>
      <c r="F1371" t="s">
        <v>36</v>
      </c>
      <c r="G1371" t="s">
        <v>84</v>
      </c>
      <c r="H1371" s="3">
        <v>30459.73</v>
      </c>
      <c r="I1371" s="4">
        <v>1</v>
      </c>
      <c r="J1371" s="3">
        <v>6082.09</v>
      </c>
      <c r="K1371" t="str">
        <f t="shared" si="42"/>
        <v>September</v>
      </c>
      <c r="L1371">
        <f t="shared" si="43"/>
        <v>2025</v>
      </c>
    </row>
    <row r="1372" spans="1:12" x14ac:dyDescent="0.3">
      <c r="A1372" s="2">
        <v>45922</v>
      </c>
      <c r="B1372" t="s">
        <v>103</v>
      </c>
      <c r="C1372" t="s">
        <v>81</v>
      </c>
      <c r="D1372" t="s">
        <v>156</v>
      </c>
      <c r="E1372" t="s">
        <v>26</v>
      </c>
      <c r="F1372" t="s">
        <v>53</v>
      </c>
      <c r="G1372" t="s">
        <v>96</v>
      </c>
      <c r="H1372" s="3">
        <v>60061.1</v>
      </c>
      <c r="I1372" s="4">
        <v>1</v>
      </c>
      <c r="J1372" s="3">
        <v>7854.13</v>
      </c>
      <c r="K1372" t="str">
        <f t="shared" si="42"/>
        <v>September</v>
      </c>
      <c r="L1372">
        <f t="shared" si="43"/>
        <v>2025</v>
      </c>
    </row>
    <row r="1373" spans="1:12" x14ac:dyDescent="0.3">
      <c r="A1373" s="2">
        <v>45922</v>
      </c>
      <c r="B1373" t="s">
        <v>71</v>
      </c>
      <c r="C1373" t="s">
        <v>30</v>
      </c>
      <c r="D1373" t="s">
        <v>156</v>
      </c>
      <c r="E1373" t="s">
        <v>26</v>
      </c>
      <c r="F1373" t="s">
        <v>53</v>
      </c>
      <c r="G1373" t="s">
        <v>98</v>
      </c>
      <c r="H1373" s="3">
        <v>25992.83</v>
      </c>
      <c r="I1373" s="4">
        <v>1</v>
      </c>
      <c r="J1373" s="3">
        <v>2627.28</v>
      </c>
      <c r="K1373" t="str">
        <f t="shared" si="42"/>
        <v>September</v>
      </c>
      <c r="L1373">
        <f t="shared" si="43"/>
        <v>2025</v>
      </c>
    </row>
    <row r="1374" spans="1:12" x14ac:dyDescent="0.3">
      <c r="A1374" s="2">
        <v>45923</v>
      </c>
      <c r="B1374" t="s">
        <v>21</v>
      </c>
      <c r="C1374" t="s">
        <v>46</v>
      </c>
      <c r="D1374" t="s">
        <v>156</v>
      </c>
      <c r="E1374" t="s">
        <v>42</v>
      </c>
      <c r="F1374" t="s">
        <v>43</v>
      </c>
      <c r="G1374" t="s">
        <v>44</v>
      </c>
      <c r="H1374" s="3">
        <v>26254.9</v>
      </c>
      <c r="I1374" s="4">
        <v>2</v>
      </c>
      <c r="J1374" s="3">
        <v>4077.38</v>
      </c>
      <c r="K1374" t="str">
        <f t="shared" si="42"/>
        <v>September</v>
      </c>
      <c r="L1374">
        <f t="shared" si="43"/>
        <v>2025</v>
      </c>
    </row>
    <row r="1375" spans="1:12" x14ac:dyDescent="0.3">
      <c r="A1375" s="2">
        <v>45923</v>
      </c>
      <c r="B1375" t="s">
        <v>71</v>
      </c>
      <c r="C1375" t="s">
        <v>62</v>
      </c>
      <c r="D1375" t="s">
        <v>156</v>
      </c>
      <c r="E1375" t="s">
        <v>18</v>
      </c>
      <c r="F1375" t="s">
        <v>19</v>
      </c>
      <c r="G1375" t="s">
        <v>106</v>
      </c>
      <c r="H1375" s="3">
        <v>97269.06</v>
      </c>
      <c r="I1375" s="4">
        <v>1</v>
      </c>
      <c r="J1375" s="3">
        <v>13521.72</v>
      </c>
      <c r="K1375" t="str">
        <f t="shared" si="42"/>
        <v>September</v>
      </c>
      <c r="L1375">
        <f t="shared" si="43"/>
        <v>2025</v>
      </c>
    </row>
    <row r="1376" spans="1:12" x14ac:dyDescent="0.3">
      <c r="A1376" s="2">
        <v>45924</v>
      </c>
      <c r="B1376" t="s">
        <v>52</v>
      </c>
      <c r="C1376" t="s">
        <v>62</v>
      </c>
      <c r="D1376" t="s">
        <v>156</v>
      </c>
      <c r="E1376" t="s">
        <v>26</v>
      </c>
      <c r="F1376" t="s">
        <v>27</v>
      </c>
      <c r="G1376" t="s">
        <v>82</v>
      </c>
      <c r="H1376" s="3">
        <v>59720.81</v>
      </c>
      <c r="I1376" s="4">
        <v>2</v>
      </c>
      <c r="J1376" s="3">
        <v>7037.41</v>
      </c>
      <c r="K1376" t="str">
        <f t="shared" si="42"/>
        <v>September</v>
      </c>
      <c r="L1376">
        <f t="shared" si="43"/>
        <v>2025</v>
      </c>
    </row>
    <row r="1377" spans="1:12" x14ac:dyDescent="0.3">
      <c r="A1377" s="2">
        <v>45924</v>
      </c>
      <c r="B1377" t="s">
        <v>74</v>
      </c>
      <c r="C1377" t="s">
        <v>62</v>
      </c>
      <c r="D1377" t="s">
        <v>156</v>
      </c>
      <c r="E1377" t="s">
        <v>26</v>
      </c>
      <c r="F1377" t="s">
        <v>53</v>
      </c>
      <c r="G1377" t="s">
        <v>96</v>
      </c>
      <c r="H1377" s="3">
        <v>69110.53</v>
      </c>
      <c r="I1377" s="4">
        <v>1</v>
      </c>
      <c r="J1377" s="3">
        <v>6866.12</v>
      </c>
      <c r="K1377" t="str">
        <f t="shared" si="42"/>
        <v>September</v>
      </c>
      <c r="L1377">
        <f t="shared" si="43"/>
        <v>2025</v>
      </c>
    </row>
    <row r="1378" spans="1:12" x14ac:dyDescent="0.3">
      <c r="A1378" s="2">
        <v>45924</v>
      </c>
      <c r="B1378" t="s">
        <v>92</v>
      </c>
      <c r="C1378" t="s">
        <v>12</v>
      </c>
      <c r="D1378" t="s">
        <v>156</v>
      </c>
      <c r="E1378" t="s">
        <v>26</v>
      </c>
      <c r="F1378" t="s">
        <v>53</v>
      </c>
      <c r="G1378" t="s">
        <v>96</v>
      </c>
      <c r="H1378" s="3">
        <v>311946.52</v>
      </c>
      <c r="I1378" s="4">
        <v>5</v>
      </c>
      <c r="J1378" s="3">
        <v>43642.78</v>
      </c>
      <c r="K1378" t="str">
        <f t="shared" si="42"/>
        <v>September</v>
      </c>
      <c r="L1378">
        <f t="shared" si="43"/>
        <v>2025</v>
      </c>
    </row>
    <row r="1379" spans="1:12" x14ac:dyDescent="0.3">
      <c r="A1379" s="2">
        <v>45925</v>
      </c>
      <c r="B1379" t="s">
        <v>38</v>
      </c>
      <c r="C1379" t="s">
        <v>62</v>
      </c>
      <c r="D1379" t="s">
        <v>156</v>
      </c>
      <c r="E1379" t="s">
        <v>26</v>
      </c>
      <c r="F1379" t="s">
        <v>27</v>
      </c>
      <c r="G1379" t="s">
        <v>94</v>
      </c>
      <c r="H1379" s="3">
        <v>22931.48</v>
      </c>
      <c r="I1379" s="4">
        <v>2</v>
      </c>
      <c r="J1379" s="3">
        <v>3778.67</v>
      </c>
      <c r="K1379" t="str">
        <f t="shared" si="42"/>
        <v>September</v>
      </c>
      <c r="L1379">
        <f t="shared" si="43"/>
        <v>2025</v>
      </c>
    </row>
    <row r="1380" spans="1:12" x14ac:dyDescent="0.3">
      <c r="A1380" s="2">
        <v>45926</v>
      </c>
      <c r="B1380" t="s">
        <v>74</v>
      </c>
      <c r="C1380" t="s">
        <v>46</v>
      </c>
      <c r="D1380" t="s">
        <v>156</v>
      </c>
      <c r="E1380" t="s">
        <v>13</v>
      </c>
      <c r="F1380" t="s">
        <v>23</v>
      </c>
      <c r="G1380" t="s">
        <v>85</v>
      </c>
      <c r="H1380" s="3">
        <v>199284.53</v>
      </c>
      <c r="I1380" s="4">
        <v>5</v>
      </c>
      <c r="J1380" s="3">
        <v>24463.37</v>
      </c>
      <c r="K1380" t="str">
        <f t="shared" si="42"/>
        <v>September</v>
      </c>
      <c r="L1380">
        <f t="shared" si="43"/>
        <v>2025</v>
      </c>
    </row>
    <row r="1381" spans="1:12" x14ac:dyDescent="0.3">
      <c r="A1381" s="2">
        <v>45926</v>
      </c>
      <c r="B1381" t="s">
        <v>78</v>
      </c>
      <c r="C1381" t="s">
        <v>46</v>
      </c>
      <c r="D1381" t="s">
        <v>156</v>
      </c>
      <c r="E1381" t="s">
        <v>42</v>
      </c>
      <c r="F1381" t="s">
        <v>43</v>
      </c>
      <c r="G1381" t="s">
        <v>44</v>
      </c>
      <c r="H1381" s="3">
        <v>24987.02</v>
      </c>
      <c r="I1381" s="4">
        <v>2</v>
      </c>
      <c r="J1381" s="3">
        <v>3837.06</v>
      </c>
      <c r="K1381" t="str">
        <f t="shared" si="42"/>
        <v>September</v>
      </c>
      <c r="L1381">
        <f t="shared" si="43"/>
        <v>2025</v>
      </c>
    </row>
    <row r="1382" spans="1:12" x14ac:dyDescent="0.3">
      <c r="A1382" s="2">
        <v>45927</v>
      </c>
      <c r="B1382" t="s">
        <v>78</v>
      </c>
      <c r="C1382" t="s">
        <v>49</v>
      </c>
      <c r="D1382" t="s">
        <v>156</v>
      </c>
      <c r="E1382" t="s">
        <v>26</v>
      </c>
      <c r="F1382" t="s">
        <v>27</v>
      </c>
      <c r="G1382" t="s">
        <v>31</v>
      </c>
      <c r="H1382" s="3">
        <v>9958.99</v>
      </c>
      <c r="I1382" s="4">
        <v>1</v>
      </c>
      <c r="J1382" s="3">
        <v>1089.75</v>
      </c>
      <c r="K1382" t="str">
        <f t="shared" si="42"/>
        <v>September</v>
      </c>
      <c r="L1382">
        <f t="shared" si="43"/>
        <v>2025</v>
      </c>
    </row>
    <row r="1383" spans="1:12" x14ac:dyDescent="0.3">
      <c r="A1383" s="2">
        <v>45927</v>
      </c>
      <c r="B1383" t="s">
        <v>86</v>
      </c>
      <c r="C1383" t="s">
        <v>61</v>
      </c>
      <c r="D1383" t="s">
        <v>156</v>
      </c>
      <c r="E1383" t="s">
        <v>26</v>
      </c>
      <c r="F1383" t="s">
        <v>53</v>
      </c>
      <c r="G1383" t="s">
        <v>54</v>
      </c>
      <c r="H1383" s="3">
        <v>41186.69</v>
      </c>
      <c r="I1383" s="4">
        <v>1</v>
      </c>
      <c r="J1383" s="3">
        <v>6011.49</v>
      </c>
      <c r="K1383" t="str">
        <f t="shared" si="42"/>
        <v>September</v>
      </c>
      <c r="L1383">
        <f t="shared" si="43"/>
        <v>2025</v>
      </c>
    </row>
    <row r="1384" spans="1:12" x14ac:dyDescent="0.3">
      <c r="A1384" s="2">
        <v>45927</v>
      </c>
      <c r="B1384" t="s">
        <v>21</v>
      </c>
      <c r="C1384" t="s">
        <v>69</v>
      </c>
      <c r="D1384" t="s">
        <v>156</v>
      </c>
      <c r="E1384" t="s">
        <v>42</v>
      </c>
      <c r="F1384" t="s">
        <v>90</v>
      </c>
      <c r="G1384" t="s">
        <v>120</v>
      </c>
      <c r="H1384" s="3">
        <v>10322.44</v>
      </c>
      <c r="I1384" s="4">
        <v>2</v>
      </c>
      <c r="J1384" s="3">
        <v>2464.62</v>
      </c>
      <c r="K1384" t="str">
        <f t="shared" si="42"/>
        <v>September</v>
      </c>
      <c r="L1384">
        <f t="shared" si="43"/>
        <v>2025</v>
      </c>
    </row>
    <row r="1385" spans="1:12" x14ac:dyDescent="0.3">
      <c r="A1385" s="2">
        <v>45928</v>
      </c>
      <c r="B1385" t="s">
        <v>113</v>
      </c>
      <c r="C1385" t="s">
        <v>22</v>
      </c>
      <c r="D1385" t="s">
        <v>156</v>
      </c>
      <c r="E1385" t="s">
        <v>42</v>
      </c>
      <c r="F1385" t="s">
        <v>43</v>
      </c>
      <c r="G1385" t="s">
        <v>87</v>
      </c>
      <c r="H1385" s="3">
        <v>10890.48</v>
      </c>
      <c r="I1385" s="4">
        <v>1</v>
      </c>
      <c r="J1385" s="3">
        <v>-461.39</v>
      </c>
      <c r="K1385" t="str">
        <f t="shared" si="42"/>
        <v>September</v>
      </c>
      <c r="L1385">
        <f t="shared" si="43"/>
        <v>2025</v>
      </c>
    </row>
    <row r="1386" spans="1:12" x14ac:dyDescent="0.3">
      <c r="A1386" s="2">
        <v>45928</v>
      </c>
      <c r="B1386" t="s">
        <v>92</v>
      </c>
      <c r="C1386" t="s">
        <v>68</v>
      </c>
      <c r="D1386" t="s">
        <v>156</v>
      </c>
      <c r="E1386" t="s">
        <v>42</v>
      </c>
      <c r="F1386" t="s">
        <v>90</v>
      </c>
      <c r="G1386" t="s">
        <v>120</v>
      </c>
      <c r="H1386" s="3">
        <v>10834.71</v>
      </c>
      <c r="I1386" s="4">
        <v>2</v>
      </c>
      <c r="J1386" s="3">
        <v>2437.38</v>
      </c>
      <c r="K1386" t="str">
        <f t="shared" si="42"/>
        <v>September</v>
      </c>
      <c r="L1386">
        <f t="shared" si="43"/>
        <v>2025</v>
      </c>
    </row>
    <row r="1387" spans="1:12" x14ac:dyDescent="0.3">
      <c r="A1387" s="2">
        <v>45928</v>
      </c>
      <c r="B1387" t="s">
        <v>52</v>
      </c>
      <c r="C1387" t="s">
        <v>39</v>
      </c>
      <c r="D1387" t="s">
        <v>156</v>
      </c>
      <c r="E1387" t="s">
        <v>42</v>
      </c>
      <c r="F1387" t="s">
        <v>90</v>
      </c>
      <c r="G1387" t="s">
        <v>91</v>
      </c>
      <c r="H1387" s="3">
        <v>3287.46</v>
      </c>
      <c r="I1387" s="4">
        <v>2</v>
      </c>
      <c r="J1387" s="3">
        <v>549.42999999999995</v>
      </c>
      <c r="K1387" t="str">
        <f t="shared" si="42"/>
        <v>September</v>
      </c>
      <c r="L1387">
        <f t="shared" si="43"/>
        <v>2025</v>
      </c>
    </row>
    <row r="1388" spans="1:12" x14ac:dyDescent="0.3">
      <c r="A1388" s="2">
        <v>45928</v>
      </c>
      <c r="B1388" t="s">
        <v>34</v>
      </c>
      <c r="C1388" t="s">
        <v>68</v>
      </c>
      <c r="D1388" t="s">
        <v>156</v>
      </c>
      <c r="E1388" t="s">
        <v>26</v>
      </c>
      <c r="F1388" t="s">
        <v>53</v>
      </c>
      <c r="G1388" t="s">
        <v>104</v>
      </c>
      <c r="H1388" s="3">
        <v>81699.259999999995</v>
      </c>
      <c r="I1388" s="4">
        <v>1</v>
      </c>
      <c r="J1388" s="3">
        <v>13488.45</v>
      </c>
      <c r="K1388" t="str">
        <f t="shared" si="42"/>
        <v>September</v>
      </c>
      <c r="L1388">
        <f t="shared" si="43"/>
        <v>2025</v>
      </c>
    </row>
    <row r="1389" spans="1:12" x14ac:dyDescent="0.3">
      <c r="A1389" s="2">
        <v>45929</v>
      </c>
      <c r="B1389" t="s">
        <v>29</v>
      </c>
      <c r="C1389" t="s">
        <v>49</v>
      </c>
      <c r="D1389" t="s">
        <v>156</v>
      </c>
      <c r="E1389" t="s">
        <v>13</v>
      </c>
      <c r="F1389" t="s">
        <v>23</v>
      </c>
      <c r="G1389" t="s">
        <v>77</v>
      </c>
      <c r="H1389" s="3">
        <v>36907.33</v>
      </c>
      <c r="I1389" s="4">
        <v>1</v>
      </c>
      <c r="J1389" s="3">
        <v>3639.52</v>
      </c>
      <c r="K1389" t="str">
        <f t="shared" si="42"/>
        <v>September</v>
      </c>
      <c r="L1389">
        <f t="shared" si="43"/>
        <v>2025</v>
      </c>
    </row>
    <row r="1390" spans="1:12" x14ac:dyDescent="0.3">
      <c r="A1390" s="2">
        <v>45929</v>
      </c>
      <c r="B1390" t="s">
        <v>65</v>
      </c>
      <c r="C1390" t="s">
        <v>68</v>
      </c>
      <c r="D1390" t="s">
        <v>156</v>
      </c>
      <c r="E1390" t="s">
        <v>26</v>
      </c>
      <c r="F1390" t="s">
        <v>53</v>
      </c>
      <c r="G1390" t="s">
        <v>98</v>
      </c>
      <c r="H1390" s="3">
        <v>26158.91</v>
      </c>
      <c r="I1390" s="4">
        <v>1</v>
      </c>
      <c r="J1390" s="3">
        <v>2431.17</v>
      </c>
      <c r="K1390" t="str">
        <f t="shared" si="42"/>
        <v>September</v>
      </c>
      <c r="L1390">
        <f t="shared" si="43"/>
        <v>2025</v>
      </c>
    </row>
    <row r="1391" spans="1:12" x14ac:dyDescent="0.3">
      <c r="A1391" s="2">
        <v>45930</v>
      </c>
      <c r="B1391" t="s">
        <v>73</v>
      </c>
      <c r="C1391" t="s">
        <v>46</v>
      </c>
      <c r="D1391" t="s">
        <v>156</v>
      </c>
      <c r="E1391" t="s">
        <v>18</v>
      </c>
      <c r="F1391" t="s">
        <v>40</v>
      </c>
      <c r="G1391" t="s">
        <v>117</v>
      </c>
      <c r="H1391" s="3">
        <v>2658.36</v>
      </c>
      <c r="I1391" s="4">
        <v>1</v>
      </c>
      <c r="J1391" s="3">
        <v>-181.91</v>
      </c>
      <c r="K1391" t="str">
        <f t="shared" si="42"/>
        <v>September</v>
      </c>
      <c r="L1391">
        <f t="shared" si="43"/>
        <v>2025</v>
      </c>
    </row>
    <row r="1392" spans="1:12" x14ac:dyDescent="0.3">
      <c r="A1392" s="2">
        <v>45931</v>
      </c>
      <c r="B1392" t="s">
        <v>45</v>
      </c>
      <c r="C1392" t="s">
        <v>17</v>
      </c>
      <c r="D1392" t="s">
        <v>156</v>
      </c>
      <c r="E1392" t="s">
        <v>42</v>
      </c>
      <c r="F1392" t="s">
        <v>43</v>
      </c>
      <c r="G1392" t="s">
        <v>89</v>
      </c>
      <c r="H1392" s="3">
        <v>68011.039999999994</v>
      </c>
      <c r="I1392" s="4">
        <v>2</v>
      </c>
      <c r="J1392" s="3">
        <v>7331.81</v>
      </c>
      <c r="K1392" t="str">
        <f t="shared" si="42"/>
        <v>October</v>
      </c>
      <c r="L1392">
        <f t="shared" si="43"/>
        <v>2025</v>
      </c>
    </row>
    <row r="1393" spans="1:12" x14ac:dyDescent="0.3">
      <c r="A1393" s="2">
        <v>45931</v>
      </c>
      <c r="B1393" t="s">
        <v>65</v>
      </c>
      <c r="C1393" t="s">
        <v>62</v>
      </c>
      <c r="D1393" t="s">
        <v>156</v>
      </c>
      <c r="E1393" t="s">
        <v>42</v>
      </c>
      <c r="F1393" t="s">
        <v>43</v>
      </c>
      <c r="G1393" t="s">
        <v>44</v>
      </c>
      <c r="H1393" s="3">
        <v>28014.15</v>
      </c>
      <c r="I1393" s="4">
        <v>2</v>
      </c>
      <c r="J1393" s="3">
        <v>2854.6</v>
      </c>
      <c r="K1393" t="str">
        <f t="shared" si="42"/>
        <v>October</v>
      </c>
      <c r="L1393">
        <f t="shared" si="43"/>
        <v>2025</v>
      </c>
    </row>
    <row r="1394" spans="1:12" x14ac:dyDescent="0.3">
      <c r="A1394" s="2">
        <v>45932</v>
      </c>
      <c r="B1394" t="s">
        <v>29</v>
      </c>
      <c r="C1394" t="s">
        <v>68</v>
      </c>
      <c r="D1394" t="s">
        <v>156</v>
      </c>
      <c r="E1394" t="s">
        <v>18</v>
      </c>
      <c r="F1394" t="s">
        <v>19</v>
      </c>
      <c r="G1394" t="s">
        <v>20</v>
      </c>
      <c r="H1394" s="3">
        <v>115614.34</v>
      </c>
      <c r="I1394" s="4">
        <v>2</v>
      </c>
      <c r="J1394" s="3">
        <v>14020.01</v>
      </c>
      <c r="K1394" t="str">
        <f t="shared" si="42"/>
        <v>October</v>
      </c>
      <c r="L1394">
        <f t="shared" si="43"/>
        <v>2025</v>
      </c>
    </row>
    <row r="1395" spans="1:12" x14ac:dyDescent="0.3">
      <c r="A1395" s="2">
        <v>45932</v>
      </c>
      <c r="B1395" t="s">
        <v>11</v>
      </c>
      <c r="C1395" t="s">
        <v>68</v>
      </c>
      <c r="D1395" t="s">
        <v>156</v>
      </c>
      <c r="E1395" t="s">
        <v>42</v>
      </c>
      <c r="F1395" t="s">
        <v>90</v>
      </c>
      <c r="G1395" t="s">
        <v>97</v>
      </c>
      <c r="H1395" s="3">
        <v>4233.6000000000004</v>
      </c>
      <c r="I1395" s="4">
        <v>2</v>
      </c>
      <c r="J1395" s="3">
        <v>480.84</v>
      </c>
      <c r="K1395" t="str">
        <f t="shared" si="42"/>
        <v>October</v>
      </c>
      <c r="L1395">
        <f t="shared" si="43"/>
        <v>2025</v>
      </c>
    </row>
    <row r="1396" spans="1:12" x14ac:dyDescent="0.3">
      <c r="A1396" s="2">
        <v>45934</v>
      </c>
      <c r="B1396" t="s">
        <v>38</v>
      </c>
      <c r="C1396" t="s">
        <v>61</v>
      </c>
      <c r="D1396" t="s">
        <v>156</v>
      </c>
      <c r="E1396" t="s">
        <v>42</v>
      </c>
      <c r="F1396" t="s">
        <v>43</v>
      </c>
      <c r="G1396" t="s">
        <v>87</v>
      </c>
      <c r="H1396" s="3">
        <v>23539.040000000001</v>
      </c>
      <c r="I1396" s="4">
        <v>2</v>
      </c>
      <c r="J1396" s="3">
        <v>3809.12</v>
      </c>
      <c r="K1396" t="str">
        <f t="shared" si="42"/>
        <v>October</v>
      </c>
      <c r="L1396">
        <f t="shared" si="43"/>
        <v>2025</v>
      </c>
    </row>
    <row r="1397" spans="1:12" x14ac:dyDescent="0.3">
      <c r="A1397" s="2">
        <v>45935</v>
      </c>
      <c r="B1397" t="s">
        <v>38</v>
      </c>
      <c r="C1397" t="s">
        <v>30</v>
      </c>
      <c r="D1397" t="s">
        <v>156</v>
      </c>
      <c r="E1397" t="s">
        <v>26</v>
      </c>
      <c r="F1397" t="s">
        <v>53</v>
      </c>
      <c r="G1397" t="s">
        <v>54</v>
      </c>
      <c r="H1397" s="3">
        <v>37801.64</v>
      </c>
      <c r="I1397" s="4">
        <v>1</v>
      </c>
      <c r="J1397" s="3">
        <v>5833.32</v>
      </c>
      <c r="K1397" t="str">
        <f t="shared" si="42"/>
        <v>October</v>
      </c>
      <c r="L1397">
        <f t="shared" si="43"/>
        <v>2025</v>
      </c>
    </row>
    <row r="1398" spans="1:12" x14ac:dyDescent="0.3">
      <c r="A1398" s="2">
        <v>45937</v>
      </c>
      <c r="B1398" t="s">
        <v>109</v>
      </c>
      <c r="C1398" t="s">
        <v>49</v>
      </c>
      <c r="D1398" t="s">
        <v>156</v>
      </c>
      <c r="E1398" t="s">
        <v>42</v>
      </c>
      <c r="F1398" t="s">
        <v>90</v>
      </c>
      <c r="G1398" t="s">
        <v>97</v>
      </c>
      <c r="H1398" s="3">
        <v>2451.67</v>
      </c>
      <c r="I1398" s="4">
        <v>1</v>
      </c>
      <c r="J1398" s="3">
        <v>508.27</v>
      </c>
      <c r="K1398" t="str">
        <f t="shared" si="42"/>
        <v>October</v>
      </c>
      <c r="L1398">
        <f t="shared" si="43"/>
        <v>2025</v>
      </c>
    </row>
    <row r="1399" spans="1:12" x14ac:dyDescent="0.3">
      <c r="A1399" s="2">
        <v>45938</v>
      </c>
      <c r="B1399" t="s">
        <v>86</v>
      </c>
      <c r="C1399" t="s">
        <v>62</v>
      </c>
      <c r="D1399" t="s">
        <v>156</v>
      </c>
      <c r="E1399" t="s">
        <v>42</v>
      </c>
      <c r="F1399" t="s">
        <v>43</v>
      </c>
      <c r="G1399" t="s">
        <v>89</v>
      </c>
      <c r="H1399" s="3">
        <v>94546.85</v>
      </c>
      <c r="I1399" s="4">
        <v>3</v>
      </c>
      <c r="J1399" s="3">
        <v>17554.78</v>
      </c>
      <c r="K1399" t="str">
        <f t="shared" si="42"/>
        <v>October</v>
      </c>
      <c r="L1399">
        <f t="shared" si="43"/>
        <v>2025</v>
      </c>
    </row>
    <row r="1400" spans="1:12" x14ac:dyDescent="0.3">
      <c r="A1400" s="2">
        <v>45938</v>
      </c>
      <c r="B1400" t="s">
        <v>78</v>
      </c>
      <c r="C1400" t="s">
        <v>69</v>
      </c>
      <c r="D1400" t="s">
        <v>156</v>
      </c>
      <c r="E1400" t="s">
        <v>35</v>
      </c>
      <c r="F1400" t="s">
        <v>36</v>
      </c>
      <c r="G1400" t="s">
        <v>37</v>
      </c>
      <c r="H1400" s="3">
        <v>84558.82</v>
      </c>
      <c r="I1400" s="4">
        <v>3</v>
      </c>
      <c r="J1400" s="3">
        <v>9810.5400000000009</v>
      </c>
      <c r="K1400" t="str">
        <f t="shared" si="42"/>
        <v>October</v>
      </c>
      <c r="L1400">
        <f t="shared" si="43"/>
        <v>2025</v>
      </c>
    </row>
    <row r="1401" spans="1:12" x14ac:dyDescent="0.3">
      <c r="A1401" s="2">
        <v>45939</v>
      </c>
      <c r="B1401" t="s">
        <v>67</v>
      </c>
      <c r="C1401" t="s">
        <v>66</v>
      </c>
      <c r="D1401" t="s">
        <v>156</v>
      </c>
      <c r="E1401" t="s">
        <v>26</v>
      </c>
      <c r="F1401" t="s">
        <v>27</v>
      </c>
      <c r="G1401" t="s">
        <v>82</v>
      </c>
      <c r="H1401" s="3">
        <v>31214.14</v>
      </c>
      <c r="I1401" s="4">
        <v>1</v>
      </c>
      <c r="J1401" s="3">
        <v>4107.2</v>
      </c>
      <c r="K1401" t="str">
        <f t="shared" si="42"/>
        <v>October</v>
      </c>
      <c r="L1401">
        <f t="shared" si="43"/>
        <v>2025</v>
      </c>
    </row>
    <row r="1402" spans="1:12" x14ac:dyDescent="0.3">
      <c r="A1402" s="2">
        <v>45939</v>
      </c>
      <c r="B1402" t="s">
        <v>101</v>
      </c>
      <c r="C1402" t="s">
        <v>69</v>
      </c>
      <c r="D1402" t="s">
        <v>156</v>
      </c>
      <c r="E1402" t="s">
        <v>35</v>
      </c>
      <c r="F1402" t="s">
        <v>50</v>
      </c>
      <c r="G1402" t="s">
        <v>51</v>
      </c>
      <c r="H1402" s="3">
        <v>15195.17</v>
      </c>
      <c r="I1402" s="4">
        <v>2</v>
      </c>
      <c r="J1402" s="3">
        <v>1726.54</v>
      </c>
      <c r="K1402" t="str">
        <f t="shared" si="42"/>
        <v>October</v>
      </c>
      <c r="L1402">
        <f t="shared" si="43"/>
        <v>2025</v>
      </c>
    </row>
    <row r="1403" spans="1:12" x14ac:dyDescent="0.3">
      <c r="A1403" s="2">
        <v>45940</v>
      </c>
      <c r="B1403" t="s">
        <v>21</v>
      </c>
      <c r="C1403" t="s">
        <v>69</v>
      </c>
      <c r="D1403" t="s">
        <v>156</v>
      </c>
      <c r="E1403" t="s">
        <v>35</v>
      </c>
      <c r="F1403" t="s">
        <v>63</v>
      </c>
      <c r="G1403" t="s">
        <v>64</v>
      </c>
      <c r="H1403" s="3">
        <v>27862.720000000001</v>
      </c>
      <c r="I1403" s="4">
        <v>1</v>
      </c>
      <c r="J1403" s="3">
        <v>5064.5600000000004</v>
      </c>
      <c r="K1403" t="str">
        <f t="shared" si="42"/>
        <v>October</v>
      </c>
      <c r="L1403">
        <f t="shared" si="43"/>
        <v>2025</v>
      </c>
    </row>
    <row r="1404" spans="1:12" x14ac:dyDescent="0.3">
      <c r="A1404" s="2">
        <v>45940</v>
      </c>
      <c r="B1404" t="s">
        <v>86</v>
      </c>
      <c r="C1404" t="s">
        <v>46</v>
      </c>
      <c r="D1404" t="s">
        <v>156</v>
      </c>
      <c r="E1404" t="s">
        <v>42</v>
      </c>
      <c r="F1404" t="s">
        <v>43</v>
      </c>
      <c r="G1404" t="s">
        <v>87</v>
      </c>
      <c r="H1404" s="3">
        <v>11453.18</v>
      </c>
      <c r="I1404" s="4">
        <v>1</v>
      </c>
      <c r="J1404" s="3">
        <v>1968.56</v>
      </c>
      <c r="K1404" t="str">
        <f t="shared" si="42"/>
        <v>October</v>
      </c>
      <c r="L1404">
        <f t="shared" si="43"/>
        <v>2025</v>
      </c>
    </row>
    <row r="1405" spans="1:12" x14ac:dyDescent="0.3">
      <c r="A1405" s="2">
        <v>45941</v>
      </c>
      <c r="B1405" t="s">
        <v>78</v>
      </c>
      <c r="C1405" t="s">
        <v>17</v>
      </c>
      <c r="D1405" t="s">
        <v>156</v>
      </c>
      <c r="E1405" t="s">
        <v>13</v>
      </c>
      <c r="F1405" t="s">
        <v>23</v>
      </c>
      <c r="G1405" t="s">
        <v>24</v>
      </c>
      <c r="H1405" s="3">
        <v>166100.22</v>
      </c>
      <c r="I1405" s="4">
        <v>3</v>
      </c>
      <c r="J1405" s="3">
        <v>15450.24</v>
      </c>
      <c r="K1405" t="str">
        <f t="shared" si="42"/>
        <v>October</v>
      </c>
      <c r="L1405">
        <f t="shared" si="43"/>
        <v>2025</v>
      </c>
    </row>
    <row r="1406" spans="1:12" x14ac:dyDescent="0.3">
      <c r="A1406" s="2">
        <v>45941</v>
      </c>
      <c r="B1406" t="s">
        <v>103</v>
      </c>
      <c r="C1406" t="s">
        <v>61</v>
      </c>
      <c r="D1406" t="s">
        <v>156</v>
      </c>
      <c r="E1406" t="s">
        <v>26</v>
      </c>
      <c r="F1406" t="s">
        <v>27</v>
      </c>
      <c r="G1406" t="s">
        <v>94</v>
      </c>
      <c r="H1406" s="3">
        <v>24650.36</v>
      </c>
      <c r="I1406" s="4">
        <v>2</v>
      </c>
      <c r="J1406" s="3">
        <v>1979.69</v>
      </c>
      <c r="K1406" t="str">
        <f t="shared" si="42"/>
        <v>October</v>
      </c>
      <c r="L1406">
        <f t="shared" si="43"/>
        <v>2025</v>
      </c>
    </row>
    <row r="1407" spans="1:12" x14ac:dyDescent="0.3">
      <c r="A1407" s="2">
        <v>45942</v>
      </c>
      <c r="B1407" t="s">
        <v>92</v>
      </c>
      <c r="C1407" t="s">
        <v>68</v>
      </c>
      <c r="D1407" t="s">
        <v>156</v>
      </c>
      <c r="E1407" t="s">
        <v>35</v>
      </c>
      <c r="F1407" t="s">
        <v>36</v>
      </c>
      <c r="G1407" t="s">
        <v>84</v>
      </c>
      <c r="H1407" s="3">
        <v>28318.720000000001</v>
      </c>
      <c r="I1407" s="4">
        <v>1</v>
      </c>
      <c r="J1407" s="3">
        <v>2982.04</v>
      </c>
      <c r="K1407" t="str">
        <f t="shared" si="42"/>
        <v>October</v>
      </c>
      <c r="L1407">
        <f t="shared" si="43"/>
        <v>2025</v>
      </c>
    </row>
    <row r="1408" spans="1:12" x14ac:dyDescent="0.3">
      <c r="A1408" s="2">
        <v>45943</v>
      </c>
      <c r="B1408" t="s">
        <v>80</v>
      </c>
      <c r="C1408" t="s">
        <v>69</v>
      </c>
      <c r="D1408" t="s">
        <v>156</v>
      </c>
      <c r="E1408" t="s">
        <v>35</v>
      </c>
      <c r="F1408" t="s">
        <v>50</v>
      </c>
      <c r="G1408" t="s">
        <v>121</v>
      </c>
      <c r="H1408" s="3">
        <v>14368.78</v>
      </c>
      <c r="I1408" s="4">
        <v>3</v>
      </c>
      <c r="J1408" s="3">
        <v>1650.38</v>
      </c>
      <c r="K1408" t="str">
        <f t="shared" si="42"/>
        <v>October</v>
      </c>
      <c r="L1408">
        <f t="shared" si="43"/>
        <v>2025</v>
      </c>
    </row>
    <row r="1409" spans="1:12" x14ac:dyDescent="0.3">
      <c r="A1409" s="2">
        <v>45943</v>
      </c>
      <c r="B1409" t="s">
        <v>116</v>
      </c>
      <c r="C1409" t="s">
        <v>30</v>
      </c>
      <c r="D1409" t="s">
        <v>156</v>
      </c>
      <c r="E1409" t="s">
        <v>26</v>
      </c>
      <c r="F1409" t="s">
        <v>53</v>
      </c>
      <c r="G1409" t="s">
        <v>104</v>
      </c>
      <c r="H1409" s="3">
        <v>76050.86</v>
      </c>
      <c r="I1409" s="4">
        <v>1</v>
      </c>
      <c r="J1409" s="3">
        <v>9049.68</v>
      </c>
      <c r="K1409" t="str">
        <f t="shared" si="42"/>
        <v>October</v>
      </c>
      <c r="L1409">
        <f t="shared" si="43"/>
        <v>2025</v>
      </c>
    </row>
    <row r="1410" spans="1:12" x14ac:dyDescent="0.3">
      <c r="A1410" s="2">
        <v>45944</v>
      </c>
      <c r="B1410" t="s">
        <v>80</v>
      </c>
      <c r="C1410" t="s">
        <v>81</v>
      </c>
      <c r="D1410" t="s">
        <v>156</v>
      </c>
      <c r="E1410" t="s">
        <v>18</v>
      </c>
      <c r="F1410" t="s">
        <v>40</v>
      </c>
      <c r="G1410" t="s">
        <v>41</v>
      </c>
      <c r="H1410" s="3">
        <v>16085.1</v>
      </c>
      <c r="I1410" s="4">
        <v>1</v>
      </c>
      <c r="J1410" s="3">
        <v>-223.18</v>
      </c>
      <c r="K1410" t="str">
        <f t="shared" si="42"/>
        <v>October</v>
      </c>
      <c r="L1410">
        <f t="shared" si="43"/>
        <v>2025</v>
      </c>
    </row>
    <row r="1411" spans="1:12" x14ac:dyDescent="0.3">
      <c r="A1411" s="2">
        <v>45944</v>
      </c>
      <c r="B1411" t="s">
        <v>65</v>
      </c>
      <c r="C1411" t="s">
        <v>68</v>
      </c>
      <c r="D1411" t="s">
        <v>156</v>
      </c>
      <c r="E1411" t="s">
        <v>18</v>
      </c>
      <c r="F1411" t="s">
        <v>19</v>
      </c>
      <c r="G1411" t="s">
        <v>59</v>
      </c>
      <c r="H1411" s="3">
        <v>45337.37</v>
      </c>
      <c r="I1411" s="4">
        <v>1</v>
      </c>
      <c r="J1411" s="3">
        <v>4975.09</v>
      </c>
      <c r="K1411" t="str">
        <f t="shared" ref="K1411:K1474" si="44">TEXT(A1411,"mmmm")</f>
        <v>October</v>
      </c>
      <c r="L1411">
        <f t="shared" ref="L1411:L1474" si="45">YEAR(A1411)</f>
        <v>2025</v>
      </c>
    </row>
    <row r="1412" spans="1:12" x14ac:dyDescent="0.3">
      <c r="A1412" s="2">
        <v>45945</v>
      </c>
      <c r="B1412" t="s">
        <v>78</v>
      </c>
      <c r="C1412" t="s">
        <v>17</v>
      </c>
      <c r="D1412" t="s">
        <v>156</v>
      </c>
      <c r="E1412" t="s">
        <v>35</v>
      </c>
      <c r="F1412" t="s">
        <v>36</v>
      </c>
      <c r="G1412" t="s">
        <v>99</v>
      </c>
      <c r="H1412" s="3">
        <v>34843.86</v>
      </c>
      <c r="I1412" s="4">
        <v>1</v>
      </c>
      <c r="J1412" s="3">
        <v>4990.8100000000004</v>
      </c>
      <c r="K1412" t="str">
        <f t="shared" si="44"/>
        <v>October</v>
      </c>
      <c r="L1412">
        <f t="shared" si="45"/>
        <v>2025</v>
      </c>
    </row>
    <row r="1413" spans="1:12" x14ac:dyDescent="0.3">
      <c r="A1413" s="2">
        <v>45945</v>
      </c>
      <c r="B1413" t="s">
        <v>38</v>
      </c>
      <c r="C1413" t="s">
        <v>49</v>
      </c>
      <c r="D1413" t="s">
        <v>156</v>
      </c>
      <c r="E1413" t="s">
        <v>13</v>
      </c>
      <c r="F1413" t="s">
        <v>23</v>
      </c>
      <c r="G1413" t="s">
        <v>24</v>
      </c>
      <c r="H1413" s="3">
        <v>107324.99</v>
      </c>
      <c r="I1413" s="4">
        <v>2</v>
      </c>
      <c r="J1413" s="3">
        <v>13987.68</v>
      </c>
      <c r="K1413" t="str">
        <f t="shared" si="44"/>
        <v>October</v>
      </c>
      <c r="L1413">
        <f t="shared" si="45"/>
        <v>2025</v>
      </c>
    </row>
    <row r="1414" spans="1:12" x14ac:dyDescent="0.3">
      <c r="A1414" s="2">
        <v>45945</v>
      </c>
      <c r="B1414" t="s">
        <v>48</v>
      </c>
      <c r="C1414" t="s">
        <v>61</v>
      </c>
      <c r="D1414" t="s">
        <v>156</v>
      </c>
      <c r="E1414" t="s">
        <v>18</v>
      </c>
      <c r="F1414" t="s">
        <v>40</v>
      </c>
      <c r="G1414" t="s">
        <v>102</v>
      </c>
      <c r="H1414" s="3">
        <v>1335.27</v>
      </c>
      <c r="I1414" s="4">
        <v>1</v>
      </c>
      <c r="J1414" s="3">
        <v>160.12</v>
      </c>
      <c r="K1414" t="str">
        <f t="shared" si="44"/>
        <v>October</v>
      </c>
      <c r="L1414">
        <f t="shared" si="45"/>
        <v>2025</v>
      </c>
    </row>
    <row r="1415" spans="1:12" x14ac:dyDescent="0.3">
      <c r="A1415" s="2">
        <v>45946</v>
      </c>
      <c r="B1415" t="s">
        <v>83</v>
      </c>
      <c r="C1415" t="s">
        <v>46</v>
      </c>
      <c r="D1415" t="s">
        <v>156</v>
      </c>
      <c r="E1415" t="s">
        <v>26</v>
      </c>
      <c r="F1415" t="s">
        <v>53</v>
      </c>
      <c r="G1415" t="s">
        <v>54</v>
      </c>
      <c r="H1415" s="3">
        <v>78867.5</v>
      </c>
      <c r="I1415" s="4">
        <v>2</v>
      </c>
      <c r="J1415" s="3">
        <v>11568.61</v>
      </c>
      <c r="K1415" t="str">
        <f t="shared" si="44"/>
        <v>October</v>
      </c>
      <c r="L1415">
        <f t="shared" si="45"/>
        <v>2025</v>
      </c>
    </row>
    <row r="1416" spans="1:12" x14ac:dyDescent="0.3">
      <c r="A1416" s="2">
        <v>45947</v>
      </c>
      <c r="B1416" t="s">
        <v>73</v>
      </c>
      <c r="C1416" t="s">
        <v>58</v>
      </c>
      <c r="D1416" t="s">
        <v>156</v>
      </c>
      <c r="E1416" t="s">
        <v>13</v>
      </c>
      <c r="F1416" t="s">
        <v>14</v>
      </c>
      <c r="G1416" t="s">
        <v>111</v>
      </c>
      <c r="H1416" s="3">
        <v>4969.74</v>
      </c>
      <c r="I1416" s="4">
        <v>3</v>
      </c>
      <c r="J1416" s="3">
        <v>323.25</v>
      </c>
      <c r="K1416" t="str">
        <f t="shared" si="44"/>
        <v>October</v>
      </c>
      <c r="L1416">
        <f t="shared" si="45"/>
        <v>2025</v>
      </c>
    </row>
    <row r="1417" spans="1:12" x14ac:dyDescent="0.3">
      <c r="A1417" s="2">
        <v>45948</v>
      </c>
      <c r="B1417" t="s">
        <v>25</v>
      </c>
      <c r="C1417" t="s">
        <v>12</v>
      </c>
      <c r="D1417" t="s">
        <v>156</v>
      </c>
      <c r="E1417" t="s">
        <v>35</v>
      </c>
      <c r="F1417" t="s">
        <v>63</v>
      </c>
      <c r="G1417" t="s">
        <v>112</v>
      </c>
      <c r="H1417" s="3">
        <v>29418.58</v>
      </c>
      <c r="I1417" s="4">
        <v>1</v>
      </c>
      <c r="J1417" s="3">
        <v>4440.46</v>
      </c>
      <c r="K1417" t="str">
        <f t="shared" si="44"/>
        <v>October</v>
      </c>
      <c r="L1417">
        <f t="shared" si="45"/>
        <v>2025</v>
      </c>
    </row>
    <row r="1418" spans="1:12" x14ac:dyDescent="0.3">
      <c r="A1418" s="2">
        <v>45949</v>
      </c>
      <c r="B1418" t="s">
        <v>78</v>
      </c>
      <c r="C1418" t="s">
        <v>39</v>
      </c>
      <c r="D1418" t="s">
        <v>156</v>
      </c>
      <c r="E1418" t="s">
        <v>18</v>
      </c>
      <c r="F1418" t="s">
        <v>40</v>
      </c>
      <c r="G1418" t="s">
        <v>41</v>
      </c>
      <c r="H1418" s="3">
        <v>67186.240000000005</v>
      </c>
      <c r="I1418" s="4">
        <v>4</v>
      </c>
      <c r="J1418" s="3">
        <v>7999.16</v>
      </c>
      <c r="K1418" t="str">
        <f t="shared" si="44"/>
        <v>October</v>
      </c>
      <c r="L1418">
        <f t="shared" si="45"/>
        <v>2025</v>
      </c>
    </row>
    <row r="1419" spans="1:12" x14ac:dyDescent="0.3">
      <c r="A1419" s="2">
        <v>45949</v>
      </c>
      <c r="B1419" t="s">
        <v>71</v>
      </c>
      <c r="C1419" t="s">
        <v>49</v>
      </c>
      <c r="D1419" t="s">
        <v>156</v>
      </c>
      <c r="E1419" t="s">
        <v>42</v>
      </c>
      <c r="F1419" t="s">
        <v>43</v>
      </c>
      <c r="G1419" t="s">
        <v>44</v>
      </c>
      <c r="H1419" s="3">
        <v>56116.71</v>
      </c>
      <c r="I1419" s="4">
        <v>4</v>
      </c>
      <c r="J1419" s="3">
        <v>10849.31</v>
      </c>
      <c r="K1419" t="str">
        <f t="shared" si="44"/>
        <v>October</v>
      </c>
      <c r="L1419">
        <f t="shared" si="45"/>
        <v>2025</v>
      </c>
    </row>
    <row r="1420" spans="1:12" x14ac:dyDescent="0.3">
      <c r="A1420" s="2">
        <v>45951</v>
      </c>
      <c r="B1420" t="s">
        <v>21</v>
      </c>
      <c r="C1420" t="s">
        <v>68</v>
      </c>
      <c r="D1420" t="s">
        <v>156</v>
      </c>
      <c r="E1420" t="s">
        <v>42</v>
      </c>
      <c r="F1420" t="s">
        <v>90</v>
      </c>
      <c r="G1420" t="s">
        <v>120</v>
      </c>
      <c r="H1420" s="3">
        <v>11758.55</v>
      </c>
      <c r="I1420" s="4">
        <v>2</v>
      </c>
      <c r="J1420" s="3">
        <v>1951.18</v>
      </c>
      <c r="K1420" t="str">
        <f t="shared" si="44"/>
        <v>October</v>
      </c>
      <c r="L1420">
        <f t="shared" si="45"/>
        <v>2025</v>
      </c>
    </row>
    <row r="1421" spans="1:12" x14ac:dyDescent="0.3">
      <c r="A1421" s="2">
        <v>45952</v>
      </c>
      <c r="B1421" t="s">
        <v>93</v>
      </c>
      <c r="C1421" t="s">
        <v>56</v>
      </c>
      <c r="D1421" t="s">
        <v>156</v>
      </c>
      <c r="E1421" t="s">
        <v>42</v>
      </c>
      <c r="F1421" t="s">
        <v>90</v>
      </c>
      <c r="G1421" t="s">
        <v>97</v>
      </c>
      <c r="H1421" s="3">
        <v>9051.2800000000007</v>
      </c>
      <c r="I1421" s="4">
        <v>4</v>
      </c>
      <c r="J1421" s="3">
        <v>1555.25</v>
      </c>
      <c r="K1421" t="str">
        <f t="shared" si="44"/>
        <v>October</v>
      </c>
      <c r="L1421">
        <f t="shared" si="45"/>
        <v>2025</v>
      </c>
    </row>
    <row r="1422" spans="1:12" x14ac:dyDescent="0.3">
      <c r="A1422" s="2">
        <v>45953</v>
      </c>
      <c r="B1422" t="s">
        <v>74</v>
      </c>
      <c r="C1422" t="s">
        <v>17</v>
      </c>
      <c r="D1422" t="s">
        <v>156</v>
      </c>
      <c r="E1422" t="s">
        <v>18</v>
      </c>
      <c r="F1422" t="s">
        <v>40</v>
      </c>
      <c r="G1422" t="s">
        <v>41</v>
      </c>
      <c r="H1422" s="3">
        <v>32026.98</v>
      </c>
      <c r="I1422" s="4">
        <v>2</v>
      </c>
      <c r="J1422" s="3">
        <v>3785.76</v>
      </c>
      <c r="K1422" t="str">
        <f t="shared" si="44"/>
        <v>October</v>
      </c>
      <c r="L1422">
        <f t="shared" si="45"/>
        <v>2025</v>
      </c>
    </row>
    <row r="1423" spans="1:12" x14ac:dyDescent="0.3">
      <c r="A1423" s="2">
        <v>45954</v>
      </c>
      <c r="B1423" t="s">
        <v>92</v>
      </c>
      <c r="C1423" t="s">
        <v>46</v>
      </c>
      <c r="D1423" t="s">
        <v>156</v>
      </c>
      <c r="E1423" t="s">
        <v>35</v>
      </c>
      <c r="F1423" t="s">
        <v>63</v>
      </c>
      <c r="G1423" t="s">
        <v>114</v>
      </c>
      <c r="H1423" s="3">
        <v>28870.73</v>
      </c>
      <c r="I1423" s="4">
        <v>1</v>
      </c>
      <c r="J1423" s="3">
        <v>3435.79</v>
      </c>
      <c r="K1423" t="str">
        <f t="shared" si="44"/>
        <v>October</v>
      </c>
      <c r="L1423">
        <f t="shared" si="45"/>
        <v>2025</v>
      </c>
    </row>
    <row r="1424" spans="1:12" x14ac:dyDescent="0.3">
      <c r="A1424" s="2">
        <v>45955</v>
      </c>
      <c r="B1424" t="s">
        <v>101</v>
      </c>
      <c r="C1424" t="s">
        <v>69</v>
      </c>
      <c r="D1424" t="s">
        <v>156</v>
      </c>
      <c r="E1424" t="s">
        <v>35</v>
      </c>
      <c r="F1424" t="s">
        <v>36</v>
      </c>
      <c r="G1424" t="s">
        <v>37</v>
      </c>
      <c r="H1424" s="3">
        <v>105014.61</v>
      </c>
      <c r="I1424" s="4">
        <v>4</v>
      </c>
      <c r="J1424" s="3">
        <v>11437.8</v>
      </c>
      <c r="K1424" t="str">
        <f t="shared" si="44"/>
        <v>October</v>
      </c>
      <c r="L1424">
        <f t="shared" si="45"/>
        <v>2025</v>
      </c>
    </row>
    <row r="1425" spans="1:12" x14ac:dyDescent="0.3">
      <c r="A1425" s="2">
        <v>45955</v>
      </c>
      <c r="B1425" t="s">
        <v>74</v>
      </c>
      <c r="C1425" t="s">
        <v>68</v>
      </c>
      <c r="D1425" t="s">
        <v>156</v>
      </c>
      <c r="E1425" t="s">
        <v>18</v>
      </c>
      <c r="F1425" t="s">
        <v>19</v>
      </c>
      <c r="G1425" t="s">
        <v>72</v>
      </c>
      <c r="H1425" s="3">
        <v>62427.86</v>
      </c>
      <c r="I1425" s="4">
        <v>1</v>
      </c>
      <c r="J1425" s="3">
        <v>9962.02</v>
      </c>
      <c r="K1425" t="str">
        <f t="shared" si="44"/>
        <v>October</v>
      </c>
      <c r="L1425">
        <f t="shared" si="45"/>
        <v>2025</v>
      </c>
    </row>
    <row r="1426" spans="1:12" x14ac:dyDescent="0.3">
      <c r="A1426" s="2">
        <v>45956</v>
      </c>
      <c r="B1426" t="s">
        <v>38</v>
      </c>
      <c r="C1426" t="s">
        <v>58</v>
      </c>
      <c r="D1426" t="s">
        <v>156</v>
      </c>
      <c r="E1426" t="s">
        <v>42</v>
      </c>
      <c r="F1426" t="s">
        <v>90</v>
      </c>
      <c r="G1426" t="s">
        <v>91</v>
      </c>
      <c r="H1426" s="3">
        <v>1729.17</v>
      </c>
      <c r="I1426" s="4">
        <v>1</v>
      </c>
      <c r="J1426" s="3">
        <v>368.81</v>
      </c>
      <c r="K1426" t="str">
        <f t="shared" si="44"/>
        <v>October</v>
      </c>
      <c r="L1426">
        <f t="shared" si="45"/>
        <v>2025</v>
      </c>
    </row>
    <row r="1427" spans="1:12" x14ac:dyDescent="0.3">
      <c r="A1427" s="2">
        <v>45957</v>
      </c>
      <c r="B1427" t="s">
        <v>92</v>
      </c>
      <c r="C1427" t="s">
        <v>30</v>
      </c>
      <c r="D1427" t="s">
        <v>156</v>
      </c>
      <c r="E1427" t="s">
        <v>13</v>
      </c>
      <c r="F1427" t="s">
        <v>14</v>
      </c>
      <c r="G1427" t="s">
        <v>88</v>
      </c>
      <c r="H1427" s="3">
        <v>5413.96</v>
      </c>
      <c r="I1427" s="4">
        <v>4</v>
      </c>
      <c r="J1427" s="3">
        <v>325.42</v>
      </c>
      <c r="K1427" t="str">
        <f t="shared" si="44"/>
        <v>October</v>
      </c>
      <c r="L1427">
        <f t="shared" si="45"/>
        <v>2025</v>
      </c>
    </row>
    <row r="1428" spans="1:12" x14ac:dyDescent="0.3">
      <c r="A1428" s="2">
        <v>45959</v>
      </c>
      <c r="B1428" t="s">
        <v>45</v>
      </c>
      <c r="C1428" t="s">
        <v>68</v>
      </c>
      <c r="D1428" t="s">
        <v>156</v>
      </c>
      <c r="E1428" t="s">
        <v>26</v>
      </c>
      <c r="F1428" t="s">
        <v>53</v>
      </c>
      <c r="G1428" t="s">
        <v>100</v>
      </c>
      <c r="H1428" s="3">
        <v>88925.64</v>
      </c>
      <c r="I1428" s="4">
        <v>1</v>
      </c>
      <c r="J1428" s="3">
        <v>7461.19</v>
      </c>
      <c r="K1428" t="str">
        <f t="shared" si="44"/>
        <v>October</v>
      </c>
      <c r="L1428">
        <f t="shared" si="45"/>
        <v>2025</v>
      </c>
    </row>
    <row r="1429" spans="1:12" x14ac:dyDescent="0.3">
      <c r="A1429" s="2">
        <v>45960</v>
      </c>
      <c r="B1429" t="s">
        <v>32</v>
      </c>
      <c r="C1429" t="s">
        <v>30</v>
      </c>
      <c r="D1429" t="s">
        <v>156</v>
      </c>
      <c r="E1429" t="s">
        <v>18</v>
      </c>
      <c r="F1429" t="s">
        <v>19</v>
      </c>
      <c r="G1429" t="s">
        <v>59</v>
      </c>
      <c r="H1429" s="3">
        <v>157374.44</v>
      </c>
      <c r="I1429" s="4">
        <v>3</v>
      </c>
      <c r="J1429" s="3">
        <v>-12531.35</v>
      </c>
      <c r="K1429" t="str">
        <f t="shared" si="44"/>
        <v>October</v>
      </c>
      <c r="L1429">
        <f t="shared" si="45"/>
        <v>2025</v>
      </c>
    </row>
    <row r="1430" spans="1:12" x14ac:dyDescent="0.3">
      <c r="A1430" s="2">
        <v>45960</v>
      </c>
      <c r="B1430" t="s">
        <v>48</v>
      </c>
      <c r="C1430" t="s">
        <v>30</v>
      </c>
      <c r="D1430" t="s">
        <v>156</v>
      </c>
      <c r="E1430" t="s">
        <v>18</v>
      </c>
      <c r="F1430" t="s">
        <v>19</v>
      </c>
      <c r="G1430" t="s">
        <v>20</v>
      </c>
      <c r="H1430" s="3">
        <v>63008.12</v>
      </c>
      <c r="I1430" s="4">
        <v>1</v>
      </c>
      <c r="J1430" s="3">
        <v>7461.24</v>
      </c>
      <c r="K1430" t="str">
        <f t="shared" si="44"/>
        <v>October</v>
      </c>
      <c r="L1430">
        <f t="shared" si="45"/>
        <v>2025</v>
      </c>
    </row>
    <row r="1431" spans="1:12" x14ac:dyDescent="0.3">
      <c r="A1431" s="2">
        <v>45960</v>
      </c>
      <c r="B1431" t="s">
        <v>25</v>
      </c>
      <c r="C1431" t="s">
        <v>61</v>
      </c>
      <c r="D1431" t="s">
        <v>156</v>
      </c>
      <c r="E1431" t="s">
        <v>35</v>
      </c>
      <c r="F1431" t="s">
        <v>63</v>
      </c>
      <c r="G1431" t="s">
        <v>64</v>
      </c>
      <c r="H1431" s="3">
        <v>78759.23</v>
      </c>
      <c r="I1431" s="4">
        <v>3</v>
      </c>
      <c r="J1431" s="3">
        <v>15631.06</v>
      </c>
      <c r="K1431" t="str">
        <f t="shared" si="44"/>
        <v>October</v>
      </c>
      <c r="L1431">
        <f t="shared" si="45"/>
        <v>2025</v>
      </c>
    </row>
    <row r="1432" spans="1:12" x14ac:dyDescent="0.3">
      <c r="A1432" s="2">
        <v>45962</v>
      </c>
      <c r="B1432" t="s">
        <v>109</v>
      </c>
      <c r="C1432" t="s">
        <v>61</v>
      </c>
      <c r="D1432" t="s">
        <v>156</v>
      </c>
      <c r="E1432" t="s">
        <v>13</v>
      </c>
      <c r="F1432" t="s">
        <v>14</v>
      </c>
      <c r="G1432" t="s">
        <v>70</v>
      </c>
      <c r="H1432" s="3">
        <v>5870.91</v>
      </c>
      <c r="I1432" s="4">
        <v>2</v>
      </c>
      <c r="J1432" s="3">
        <v>598.61</v>
      </c>
      <c r="K1432" t="str">
        <f t="shared" si="44"/>
        <v>November</v>
      </c>
      <c r="L1432">
        <f t="shared" si="45"/>
        <v>2025</v>
      </c>
    </row>
    <row r="1433" spans="1:12" x14ac:dyDescent="0.3">
      <c r="A1433" s="2">
        <v>45963</v>
      </c>
      <c r="B1433" t="s">
        <v>71</v>
      </c>
      <c r="C1433" t="s">
        <v>61</v>
      </c>
      <c r="D1433" t="s">
        <v>156</v>
      </c>
      <c r="E1433" t="s">
        <v>18</v>
      </c>
      <c r="F1433" t="s">
        <v>19</v>
      </c>
      <c r="G1433" t="s">
        <v>33</v>
      </c>
      <c r="H1433" s="3">
        <v>57315.01</v>
      </c>
      <c r="I1433" s="4">
        <v>1</v>
      </c>
      <c r="J1433" s="3">
        <v>8790.66</v>
      </c>
      <c r="K1433" t="str">
        <f t="shared" si="44"/>
        <v>November</v>
      </c>
      <c r="L1433">
        <f t="shared" si="45"/>
        <v>2025</v>
      </c>
    </row>
    <row r="1434" spans="1:12" x14ac:dyDescent="0.3">
      <c r="A1434" s="2">
        <v>45963</v>
      </c>
      <c r="B1434" t="s">
        <v>38</v>
      </c>
      <c r="C1434" t="s">
        <v>17</v>
      </c>
      <c r="D1434" t="s">
        <v>156</v>
      </c>
      <c r="E1434" t="s">
        <v>13</v>
      </c>
      <c r="F1434" t="s">
        <v>14</v>
      </c>
      <c r="G1434" t="s">
        <v>70</v>
      </c>
      <c r="H1434" s="3">
        <v>10262.219999999999</v>
      </c>
      <c r="I1434" s="4">
        <v>4</v>
      </c>
      <c r="J1434" s="3">
        <v>1499.35</v>
      </c>
      <c r="K1434" t="str">
        <f t="shared" si="44"/>
        <v>November</v>
      </c>
      <c r="L1434">
        <f t="shared" si="45"/>
        <v>2025</v>
      </c>
    </row>
    <row r="1435" spans="1:12" x14ac:dyDescent="0.3">
      <c r="A1435" s="2">
        <v>45964</v>
      </c>
      <c r="B1435" t="s">
        <v>21</v>
      </c>
      <c r="C1435" t="s">
        <v>39</v>
      </c>
      <c r="D1435" t="s">
        <v>156</v>
      </c>
      <c r="E1435" t="s">
        <v>42</v>
      </c>
      <c r="F1435" t="s">
        <v>43</v>
      </c>
      <c r="G1435" t="s">
        <v>89</v>
      </c>
      <c r="H1435" s="3">
        <v>68941.710000000006</v>
      </c>
      <c r="I1435" s="4">
        <v>2</v>
      </c>
      <c r="J1435" s="3">
        <v>12073.01</v>
      </c>
      <c r="K1435" t="str">
        <f t="shared" si="44"/>
        <v>November</v>
      </c>
      <c r="L1435">
        <f t="shared" si="45"/>
        <v>2025</v>
      </c>
    </row>
    <row r="1436" spans="1:12" x14ac:dyDescent="0.3">
      <c r="A1436" s="2">
        <v>45965</v>
      </c>
      <c r="B1436" t="s">
        <v>92</v>
      </c>
      <c r="C1436" t="s">
        <v>39</v>
      </c>
      <c r="D1436" t="s">
        <v>156</v>
      </c>
      <c r="E1436" t="s">
        <v>42</v>
      </c>
      <c r="F1436" t="s">
        <v>43</v>
      </c>
      <c r="G1436" t="s">
        <v>87</v>
      </c>
      <c r="H1436" s="3">
        <v>21454.37</v>
      </c>
      <c r="I1436" s="4">
        <v>2</v>
      </c>
      <c r="J1436" s="3">
        <v>3889.71</v>
      </c>
      <c r="K1436" t="str">
        <f t="shared" si="44"/>
        <v>November</v>
      </c>
      <c r="L1436">
        <f t="shared" si="45"/>
        <v>2025</v>
      </c>
    </row>
    <row r="1437" spans="1:12" x14ac:dyDescent="0.3">
      <c r="A1437" s="2">
        <v>45966</v>
      </c>
      <c r="B1437" t="s">
        <v>29</v>
      </c>
      <c r="C1437" t="s">
        <v>17</v>
      </c>
      <c r="D1437" t="s">
        <v>156</v>
      </c>
      <c r="E1437" t="s">
        <v>42</v>
      </c>
      <c r="F1437" t="s">
        <v>90</v>
      </c>
      <c r="G1437" t="s">
        <v>97</v>
      </c>
      <c r="H1437" s="3">
        <v>7438.25</v>
      </c>
      <c r="I1437" s="4">
        <v>3</v>
      </c>
      <c r="J1437" s="3">
        <v>1146.71</v>
      </c>
      <c r="K1437" t="str">
        <f t="shared" si="44"/>
        <v>November</v>
      </c>
      <c r="L1437">
        <f t="shared" si="45"/>
        <v>2025</v>
      </c>
    </row>
    <row r="1438" spans="1:12" x14ac:dyDescent="0.3">
      <c r="A1438" s="2">
        <v>45966</v>
      </c>
      <c r="B1438" t="s">
        <v>11</v>
      </c>
      <c r="C1438" t="s">
        <v>58</v>
      </c>
      <c r="D1438" t="s">
        <v>156</v>
      </c>
      <c r="E1438" t="s">
        <v>26</v>
      </c>
      <c r="F1438" t="s">
        <v>27</v>
      </c>
      <c r="G1438" t="s">
        <v>28</v>
      </c>
      <c r="H1438" s="3">
        <v>21406.68</v>
      </c>
      <c r="I1438" s="4">
        <v>1</v>
      </c>
      <c r="J1438" s="3">
        <v>3179.41</v>
      </c>
      <c r="K1438" t="str">
        <f t="shared" si="44"/>
        <v>November</v>
      </c>
      <c r="L1438">
        <f t="shared" si="45"/>
        <v>2025</v>
      </c>
    </row>
    <row r="1439" spans="1:12" x14ac:dyDescent="0.3">
      <c r="A1439" s="2">
        <v>45967</v>
      </c>
      <c r="B1439" t="s">
        <v>65</v>
      </c>
      <c r="C1439" t="s">
        <v>22</v>
      </c>
      <c r="D1439" t="s">
        <v>156</v>
      </c>
      <c r="E1439" t="s">
        <v>26</v>
      </c>
      <c r="F1439" t="s">
        <v>53</v>
      </c>
      <c r="G1439" t="s">
        <v>104</v>
      </c>
      <c r="H1439" s="3">
        <v>215757.09</v>
      </c>
      <c r="I1439" s="4">
        <v>3</v>
      </c>
      <c r="J1439" s="3">
        <v>24593.62</v>
      </c>
      <c r="K1439" t="str">
        <f t="shared" si="44"/>
        <v>November</v>
      </c>
      <c r="L1439">
        <f t="shared" si="45"/>
        <v>2025</v>
      </c>
    </row>
    <row r="1440" spans="1:12" x14ac:dyDescent="0.3">
      <c r="A1440" s="2">
        <v>45968</v>
      </c>
      <c r="B1440" t="s">
        <v>65</v>
      </c>
      <c r="C1440" t="s">
        <v>56</v>
      </c>
      <c r="D1440" t="s">
        <v>156</v>
      </c>
      <c r="E1440" t="s">
        <v>42</v>
      </c>
      <c r="F1440" t="s">
        <v>43</v>
      </c>
      <c r="G1440" t="s">
        <v>89</v>
      </c>
      <c r="H1440" s="3">
        <v>67833.45</v>
      </c>
      <c r="I1440" s="4">
        <v>2</v>
      </c>
      <c r="J1440" s="3">
        <v>10052.23</v>
      </c>
      <c r="K1440" t="str">
        <f t="shared" si="44"/>
        <v>November</v>
      </c>
      <c r="L1440">
        <f t="shared" si="45"/>
        <v>2025</v>
      </c>
    </row>
    <row r="1441" spans="1:12" x14ac:dyDescent="0.3">
      <c r="A1441" s="2">
        <v>45970</v>
      </c>
      <c r="B1441" t="s">
        <v>113</v>
      </c>
      <c r="C1441" t="s">
        <v>61</v>
      </c>
      <c r="D1441" t="s">
        <v>156</v>
      </c>
      <c r="E1441" t="s">
        <v>13</v>
      </c>
      <c r="F1441" t="s">
        <v>14</v>
      </c>
      <c r="G1441" t="s">
        <v>57</v>
      </c>
      <c r="H1441" s="3">
        <v>1656.98</v>
      </c>
      <c r="I1441" s="4">
        <v>1</v>
      </c>
      <c r="J1441" s="3">
        <v>175.28</v>
      </c>
      <c r="K1441" t="str">
        <f t="shared" si="44"/>
        <v>November</v>
      </c>
      <c r="L1441">
        <f t="shared" si="45"/>
        <v>2025</v>
      </c>
    </row>
    <row r="1442" spans="1:12" x14ac:dyDescent="0.3">
      <c r="A1442" s="2">
        <v>45974</v>
      </c>
      <c r="B1442" t="s">
        <v>45</v>
      </c>
      <c r="C1442" t="s">
        <v>56</v>
      </c>
      <c r="D1442" t="s">
        <v>156</v>
      </c>
      <c r="E1442" t="s">
        <v>18</v>
      </c>
      <c r="F1442" t="s">
        <v>40</v>
      </c>
      <c r="G1442" t="s">
        <v>115</v>
      </c>
      <c r="H1442" s="3">
        <v>21900.62</v>
      </c>
      <c r="I1442" s="4">
        <v>2</v>
      </c>
      <c r="J1442" s="3">
        <v>2269.5300000000002</v>
      </c>
      <c r="K1442" t="str">
        <f t="shared" si="44"/>
        <v>November</v>
      </c>
      <c r="L1442">
        <f t="shared" si="45"/>
        <v>2025</v>
      </c>
    </row>
    <row r="1443" spans="1:12" x14ac:dyDescent="0.3">
      <c r="A1443" s="2">
        <v>45974</v>
      </c>
      <c r="B1443" t="s">
        <v>93</v>
      </c>
      <c r="C1443" t="s">
        <v>81</v>
      </c>
      <c r="D1443" t="s">
        <v>156</v>
      </c>
      <c r="E1443" t="s">
        <v>26</v>
      </c>
      <c r="F1443" t="s">
        <v>27</v>
      </c>
      <c r="G1443" t="s">
        <v>94</v>
      </c>
      <c r="H1443" s="3">
        <v>24878.09</v>
      </c>
      <c r="I1443" s="4">
        <v>2</v>
      </c>
      <c r="J1443" s="3">
        <v>3164.91</v>
      </c>
      <c r="K1443" t="str">
        <f t="shared" si="44"/>
        <v>November</v>
      </c>
      <c r="L1443">
        <f t="shared" si="45"/>
        <v>2025</v>
      </c>
    </row>
    <row r="1444" spans="1:12" x14ac:dyDescent="0.3">
      <c r="A1444" s="2">
        <v>45975</v>
      </c>
      <c r="B1444" t="s">
        <v>48</v>
      </c>
      <c r="C1444" t="s">
        <v>81</v>
      </c>
      <c r="D1444" t="s">
        <v>156</v>
      </c>
      <c r="E1444" t="s">
        <v>35</v>
      </c>
      <c r="F1444" t="s">
        <v>75</v>
      </c>
      <c r="G1444" t="s">
        <v>107</v>
      </c>
      <c r="H1444" s="3">
        <v>64738.03</v>
      </c>
      <c r="I1444" s="4">
        <v>2</v>
      </c>
      <c r="J1444" s="3">
        <v>12236.37</v>
      </c>
      <c r="K1444" t="str">
        <f t="shared" si="44"/>
        <v>November</v>
      </c>
      <c r="L1444">
        <f t="shared" si="45"/>
        <v>2025</v>
      </c>
    </row>
    <row r="1445" spans="1:12" x14ac:dyDescent="0.3">
      <c r="A1445" s="2">
        <v>45976</v>
      </c>
      <c r="B1445" t="s">
        <v>55</v>
      </c>
      <c r="C1445" t="s">
        <v>61</v>
      </c>
      <c r="D1445" t="s">
        <v>156</v>
      </c>
      <c r="E1445" t="s">
        <v>26</v>
      </c>
      <c r="F1445" t="s">
        <v>53</v>
      </c>
      <c r="G1445" t="s">
        <v>98</v>
      </c>
      <c r="H1445" s="3">
        <v>86849.02</v>
      </c>
      <c r="I1445" s="4">
        <v>3</v>
      </c>
      <c r="J1445" s="3">
        <v>8523</v>
      </c>
      <c r="K1445" t="str">
        <f t="shared" si="44"/>
        <v>November</v>
      </c>
      <c r="L1445">
        <f t="shared" si="45"/>
        <v>2025</v>
      </c>
    </row>
    <row r="1446" spans="1:12" x14ac:dyDescent="0.3">
      <c r="A1446" s="2">
        <v>45978</v>
      </c>
      <c r="B1446" t="s">
        <v>95</v>
      </c>
      <c r="C1446" t="s">
        <v>66</v>
      </c>
      <c r="D1446" t="s">
        <v>156</v>
      </c>
      <c r="E1446" t="s">
        <v>35</v>
      </c>
      <c r="F1446" t="s">
        <v>63</v>
      </c>
      <c r="G1446" t="s">
        <v>64</v>
      </c>
      <c r="H1446" s="3">
        <v>30253.06</v>
      </c>
      <c r="I1446" s="4">
        <v>1</v>
      </c>
      <c r="J1446" s="3">
        <v>2457.54</v>
      </c>
      <c r="K1446" t="str">
        <f t="shared" si="44"/>
        <v>November</v>
      </c>
      <c r="L1446">
        <f t="shared" si="45"/>
        <v>2025</v>
      </c>
    </row>
    <row r="1447" spans="1:12" x14ac:dyDescent="0.3">
      <c r="A1447" s="2">
        <v>45978</v>
      </c>
      <c r="B1447" t="s">
        <v>38</v>
      </c>
      <c r="C1447" t="s">
        <v>17</v>
      </c>
      <c r="D1447" t="s">
        <v>156</v>
      </c>
      <c r="E1447" t="s">
        <v>35</v>
      </c>
      <c r="F1447" t="s">
        <v>50</v>
      </c>
      <c r="G1447" t="s">
        <v>51</v>
      </c>
      <c r="H1447" s="3">
        <v>7832.23</v>
      </c>
      <c r="I1447" s="4">
        <v>1</v>
      </c>
      <c r="J1447" s="3">
        <v>1390.53</v>
      </c>
      <c r="K1447" t="str">
        <f t="shared" si="44"/>
        <v>November</v>
      </c>
      <c r="L1447">
        <f t="shared" si="45"/>
        <v>2025</v>
      </c>
    </row>
    <row r="1448" spans="1:12" x14ac:dyDescent="0.3">
      <c r="A1448" s="2">
        <v>45980</v>
      </c>
      <c r="B1448" t="s">
        <v>116</v>
      </c>
      <c r="C1448" t="s">
        <v>39</v>
      </c>
      <c r="D1448" t="s">
        <v>156</v>
      </c>
      <c r="E1448" t="s">
        <v>13</v>
      </c>
      <c r="F1448" t="s">
        <v>23</v>
      </c>
      <c r="G1448" t="s">
        <v>108</v>
      </c>
      <c r="H1448" s="3">
        <v>197121.31</v>
      </c>
      <c r="I1448" s="4">
        <v>4</v>
      </c>
      <c r="J1448" s="3">
        <v>27209.5</v>
      </c>
      <c r="K1448" t="str">
        <f t="shared" si="44"/>
        <v>November</v>
      </c>
      <c r="L1448">
        <f t="shared" si="45"/>
        <v>2025</v>
      </c>
    </row>
    <row r="1449" spans="1:12" x14ac:dyDescent="0.3">
      <c r="A1449" s="2">
        <v>45982</v>
      </c>
      <c r="B1449" t="s">
        <v>48</v>
      </c>
      <c r="C1449" t="s">
        <v>56</v>
      </c>
      <c r="D1449" t="s">
        <v>156</v>
      </c>
      <c r="E1449" t="s">
        <v>42</v>
      </c>
      <c r="F1449" t="s">
        <v>43</v>
      </c>
      <c r="G1449" t="s">
        <v>89</v>
      </c>
      <c r="H1449" s="3">
        <v>30915.69</v>
      </c>
      <c r="I1449" s="4">
        <v>1</v>
      </c>
      <c r="J1449" s="3">
        <v>4329.91</v>
      </c>
      <c r="K1449" t="str">
        <f t="shared" si="44"/>
        <v>November</v>
      </c>
      <c r="L1449">
        <f t="shared" si="45"/>
        <v>2025</v>
      </c>
    </row>
    <row r="1450" spans="1:12" x14ac:dyDescent="0.3">
      <c r="A1450" s="2">
        <v>45982</v>
      </c>
      <c r="B1450" t="s">
        <v>52</v>
      </c>
      <c r="C1450" t="s">
        <v>62</v>
      </c>
      <c r="D1450" t="s">
        <v>156</v>
      </c>
      <c r="E1450" t="s">
        <v>42</v>
      </c>
      <c r="F1450" t="s">
        <v>43</v>
      </c>
      <c r="G1450" t="s">
        <v>87</v>
      </c>
      <c r="H1450" s="3">
        <v>22252.89</v>
      </c>
      <c r="I1450" s="4">
        <v>2</v>
      </c>
      <c r="J1450" s="3">
        <v>2331.19</v>
      </c>
      <c r="K1450" t="str">
        <f t="shared" si="44"/>
        <v>November</v>
      </c>
      <c r="L1450">
        <f t="shared" si="45"/>
        <v>2025</v>
      </c>
    </row>
    <row r="1451" spans="1:12" x14ac:dyDescent="0.3">
      <c r="A1451" s="2">
        <v>45984</v>
      </c>
      <c r="B1451" t="s">
        <v>93</v>
      </c>
      <c r="C1451" t="s">
        <v>62</v>
      </c>
      <c r="D1451" t="s">
        <v>156</v>
      </c>
      <c r="E1451" t="s">
        <v>13</v>
      </c>
      <c r="F1451" t="s">
        <v>23</v>
      </c>
      <c r="G1451" t="s">
        <v>79</v>
      </c>
      <c r="H1451" s="3">
        <v>63523.5</v>
      </c>
      <c r="I1451" s="4">
        <v>1</v>
      </c>
      <c r="J1451" s="3">
        <v>4586.9399999999996</v>
      </c>
      <c r="K1451" t="str">
        <f t="shared" si="44"/>
        <v>November</v>
      </c>
      <c r="L1451">
        <f t="shared" si="45"/>
        <v>2025</v>
      </c>
    </row>
    <row r="1452" spans="1:12" x14ac:dyDescent="0.3">
      <c r="A1452" s="2">
        <v>45988</v>
      </c>
      <c r="B1452" t="s">
        <v>67</v>
      </c>
      <c r="C1452" t="s">
        <v>62</v>
      </c>
      <c r="D1452" t="s">
        <v>156</v>
      </c>
      <c r="E1452" t="s">
        <v>13</v>
      </c>
      <c r="F1452" t="s">
        <v>23</v>
      </c>
      <c r="G1452" t="s">
        <v>85</v>
      </c>
      <c r="H1452" s="3">
        <v>40292.94</v>
      </c>
      <c r="I1452" s="4">
        <v>1</v>
      </c>
      <c r="J1452" s="3">
        <v>3597.73</v>
      </c>
      <c r="K1452" t="str">
        <f t="shared" si="44"/>
        <v>November</v>
      </c>
      <c r="L1452">
        <f t="shared" si="45"/>
        <v>2025</v>
      </c>
    </row>
    <row r="1453" spans="1:12" x14ac:dyDescent="0.3">
      <c r="A1453" s="2">
        <v>45989</v>
      </c>
      <c r="B1453" t="s">
        <v>55</v>
      </c>
      <c r="C1453" t="s">
        <v>69</v>
      </c>
      <c r="D1453" t="s">
        <v>156</v>
      </c>
      <c r="E1453" t="s">
        <v>26</v>
      </c>
      <c r="F1453" t="s">
        <v>27</v>
      </c>
      <c r="G1453" t="s">
        <v>28</v>
      </c>
      <c r="H1453" s="3">
        <v>74565.429999999993</v>
      </c>
      <c r="I1453" s="4">
        <v>3</v>
      </c>
      <c r="J1453" s="3">
        <v>7486.94</v>
      </c>
      <c r="K1453" t="str">
        <f t="shared" si="44"/>
        <v>November</v>
      </c>
      <c r="L1453">
        <f t="shared" si="45"/>
        <v>2025</v>
      </c>
    </row>
    <row r="1454" spans="1:12" x14ac:dyDescent="0.3">
      <c r="A1454" s="2">
        <v>45989</v>
      </c>
      <c r="B1454" t="s">
        <v>95</v>
      </c>
      <c r="C1454" t="s">
        <v>68</v>
      </c>
      <c r="D1454" t="s">
        <v>156</v>
      </c>
      <c r="E1454" t="s">
        <v>42</v>
      </c>
      <c r="F1454" t="s">
        <v>43</v>
      </c>
      <c r="G1454" t="s">
        <v>44</v>
      </c>
      <c r="H1454" s="3">
        <v>12840.08</v>
      </c>
      <c r="I1454" s="4">
        <v>1</v>
      </c>
      <c r="J1454" s="3">
        <v>1938.28</v>
      </c>
      <c r="K1454" t="str">
        <f t="shared" si="44"/>
        <v>November</v>
      </c>
      <c r="L1454">
        <f t="shared" si="45"/>
        <v>2025</v>
      </c>
    </row>
    <row r="1455" spans="1:12" x14ac:dyDescent="0.3">
      <c r="A1455" s="2">
        <v>45991</v>
      </c>
      <c r="B1455" t="s">
        <v>83</v>
      </c>
      <c r="C1455" t="s">
        <v>49</v>
      </c>
      <c r="D1455" t="s">
        <v>156</v>
      </c>
      <c r="E1455" t="s">
        <v>42</v>
      </c>
      <c r="F1455" t="s">
        <v>90</v>
      </c>
      <c r="G1455" t="s">
        <v>97</v>
      </c>
      <c r="H1455" s="3">
        <v>2072.1799999999998</v>
      </c>
      <c r="I1455" s="4">
        <v>1</v>
      </c>
      <c r="J1455" s="3">
        <v>474.34</v>
      </c>
      <c r="K1455" t="str">
        <f t="shared" si="44"/>
        <v>November</v>
      </c>
      <c r="L1455">
        <f t="shared" si="45"/>
        <v>2025</v>
      </c>
    </row>
    <row r="1456" spans="1:12" x14ac:dyDescent="0.3">
      <c r="A1456" s="2">
        <v>45991</v>
      </c>
      <c r="B1456" t="s">
        <v>67</v>
      </c>
      <c r="C1456" t="s">
        <v>22</v>
      </c>
      <c r="D1456" t="s">
        <v>156</v>
      </c>
      <c r="E1456" t="s">
        <v>13</v>
      </c>
      <c r="F1456" t="s">
        <v>14</v>
      </c>
      <c r="G1456" t="s">
        <v>111</v>
      </c>
      <c r="H1456" s="3">
        <v>1945.67</v>
      </c>
      <c r="I1456" s="4">
        <v>1</v>
      </c>
      <c r="J1456" s="3">
        <v>219.69</v>
      </c>
      <c r="K1456" t="str">
        <f t="shared" si="44"/>
        <v>November</v>
      </c>
      <c r="L1456">
        <f t="shared" si="45"/>
        <v>2025</v>
      </c>
    </row>
    <row r="1457" spans="1:12" x14ac:dyDescent="0.3">
      <c r="A1457" s="2">
        <v>45994</v>
      </c>
      <c r="B1457" t="s">
        <v>21</v>
      </c>
      <c r="C1457" t="s">
        <v>58</v>
      </c>
      <c r="D1457" t="s">
        <v>156</v>
      </c>
      <c r="E1457" t="s">
        <v>13</v>
      </c>
      <c r="F1457" t="s">
        <v>23</v>
      </c>
      <c r="G1457" t="s">
        <v>108</v>
      </c>
      <c r="H1457" s="3">
        <v>166185.96</v>
      </c>
      <c r="I1457" s="4">
        <v>3</v>
      </c>
      <c r="J1457" s="3">
        <v>11585.91</v>
      </c>
      <c r="K1457" t="str">
        <f t="shared" si="44"/>
        <v>December</v>
      </c>
      <c r="L1457">
        <f t="shared" si="45"/>
        <v>2025</v>
      </c>
    </row>
    <row r="1458" spans="1:12" x14ac:dyDescent="0.3">
      <c r="A1458" s="2">
        <v>45994</v>
      </c>
      <c r="B1458" t="s">
        <v>74</v>
      </c>
      <c r="C1458" t="s">
        <v>81</v>
      </c>
      <c r="D1458" t="s">
        <v>156</v>
      </c>
      <c r="E1458" t="s">
        <v>42</v>
      </c>
      <c r="F1458" t="s">
        <v>90</v>
      </c>
      <c r="G1458" t="s">
        <v>120</v>
      </c>
      <c r="H1458" s="3">
        <v>11466.91</v>
      </c>
      <c r="I1458" s="4">
        <v>2</v>
      </c>
      <c r="J1458" s="3">
        <v>2087.9899999999998</v>
      </c>
      <c r="K1458" t="str">
        <f t="shared" si="44"/>
        <v>December</v>
      </c>
      <c r="L1458">
        <f t="shared" si="45"/>
        <v>2025</v>
      </c>
    </row>
    <row r="1459" spans="1:12" x14ac:dyDescent="0.3">
      <c r="A1459" s="2">
        <v>45995</v>
      </c>
      <c r="B1459" t="s">
        <v>103</v>
      </c>
      <c r="C1459" t="s">
        <v>49</v>
      </c>
      <c r="D1459" t="s">
        <v>156</v>
      </c>
      <c r="E1459" t="s">
        <v>35</v>
      </c>
      <c r="F1459" t="s">
        <v>63</v>
      </c>
      <c r="G1459" t="s">
        <v>112</v>
      </c>
      <c r="H1459" s="3">
        <v>59663.42</v>
      </c>
      <c r="I1459" s="4">
        <v>2</v>
      </c>
      <c r="J1459" s="3">
        <v>11663.32</v>
      </c>
      <c r="K1459" t="str">
        <f t="shared" si="44"/>
        <v>December</v>
      </c>
      <c r="L1459">
        <f t="shared" si="45"/>
        <v>2025</v>
      </c>
    </row>
    <row r="1460" spans="1:12" x14ac:dyDescent="0.3">
      <c r="A1460" s="2">
        <v>45997</v>
      </c>
      <c r="B1460" t="s">
        <v>45</v>
      </c>
      <c r="C1460" t="s">
        <v>39</v>
      </c>
      <c r="D1460" t="s">
        <v>156</v>
      </c>
      <c r="E1460" t="s">
        <v>13</v>
      </c>
      <c r="F1460" t="s">
        <v>23</v>
      </c>
      <c r="G1460" t="s">
        <v>47</v>
      </c>
      <c r="H1460" s="3">
        <v>65616.12</v>
      </c>
      <c r="I1460" s="4">
        <v>1</v>
      </c>
      <c r="J1460" s="3">
        <v>9709.9599999999991</v>
      </c>
      <c r="K1460" t="str">
        <f t="shared" si="44"/>
        <v>December</v>
      </c>
      <c r="L1460">
        <f t="shared" si="45"/>
        <v>2025</v>
      </c>
    </row>
    <row r="1461" spans="1:12" x14ac:dyDescent="0.3">
      <c r="A1461" s="2">
        <v>45998</v>
      </c>
      <c r="B1461" t="s">
        <v>80</v>
      </c>
      <c r="C1461" t="s">
        <v>49</v>
      </c>
      <c r="D1461" t="s">
        <v>156</v>
      </c>
      <c r="E1461" t="s">
        <v>18</v>
      </c>
      <c r="F1461" t="s">
        <v>19</v>
      </c>
      <c r="G1461" t="s">
        <v>20</v>
      </c>
      <c r="H1461" s="3">
        <v>58430.45</v>
      </c>
      <c r="I1461" s="4">
        <v>1</v>
      </c>
      <c r="J1461" s="3">
        <v>5660.53</v>
      </c>
      <c r="K1461" t="str">
        <f t="shared" si="44"/>
        <v>December</v>
      </c>
      <c r="L1461">
        <f t="shared" si="45"/>
        <v>2025</v>
      </c>
    </row>
    <row r="1462" spans="1:12" x14ac:dyDescent="0.3">
      <c r="A1462" s="2">
        <v>45998</v>
      </c>
      <c r="B1462" t="s">
        <v>67</v>
      </c>
      <c r="C1462" t="s">
        <v>39</v>
      </c>
      <c r="D1462" t="s">
        <v>156</v>
      </c>
      <c r="E1462" t="s">
        <v>42</v>
      </c>
      <c r="F1462" t="s">
        <v>90</v>
      </c>
      <c r="G1462" t="s">
        <v>120</v>
      </c>
      <c r="H1462" s="3">
        <v>10000.73</v>
      </c>
      <c r="I1462" s="4">
        <v>2</v>
      </c>
      <c r="J1462" s="3">
        <v>1051.71</v>
      </c>
      <c r="K1462" t="str">
        <f t="shared" si="44"/>
        <v>December</v>
      </c>
      <c r="L1462">
        <f t="shared" si="45"/>
        <v>2025</v>
      </c>
    </row>
    <row r="1463" spans="1:12" x14ac:dyDescent="0.3">
      <c r="A1463" s="2">
        <v>45999</v>
      </c>
      <c r="B1463" t="s">
        <v>95</v>
      </c>
      <c r="C1463" t="s">
        <v>58</v>
      </c>
      <c r="D1463" t="s">
        <v>156</v>
      </c>
      <c r="E1463" t="s">
        <v>13</v>
      </c>
      <c r="F1463" t="s">
        <v>23</v>
      </c>
      <c r="G1463" t="s">
        <v>24</v>
      </c>
      <c r="H1463" s="3">
        <v>63282.05</v>
      </c>
      <c r="I1463" s="4">
        <v>1</v>
      </c>
      <c r="J1463" s="3">
        <v>9360.42</v>
      </c>
      <c r="K1463" t="str">
        <f t="shared" si="44"/>
        <v>December</v>
      </c>
      <c r="L1463">
        <f t="shared" si="45"/>
        <v>2025</v>
      </c>
    </row>
    <row r="1464" spans="1:12" x14ac:dyDescent="0.3">
      <c r="A1464" s="2">
        <v>46000</v>
      </c>
      <c r="B1464" t="s">
        <v>116</v>
      </c>
      <c r="C1464" t="s">
        <v>81</v>
      </c>
      <c r="D1464" t="s">
        <v>156</v>
      </c>
      <c r="E1464" t="s">
        <v>26</v>
      </c>
      <c r="F1464" t="s">
        <v>27</v>
      </c>
      <c r="G1464" t="s">
        <v>28</v>
      </c>
      <c r="H1464" s="3">
        <v>24545.4</v>
      </c>
      <c r="I1464" s="4">
        <v>1</v>
      </c>
      <c r="J1464" s="3">
        <v>2772.44</v>
      </c>
      <c r="K1464" t="str">
        <f t="shared" si="44"/>
        <v>December</v>
      </c>
      <c r="L1464">
        <f t="shared" si="45"/>
        <v>2025</v>
      </c>
    </row>
    <row r="1465" spans="1:12" x14ac:dyDescent="0.3">
      <c r="A1465" s="2">
        <v>46001</v>
      </c>
      <c r="B1465" t="s">
        <v>92</v>
      </c>
      <c r="C1465" t="s">
        <v>69</v>
      </c>
      <c r="D1465" t="s">
        <v>156</v>
      </c>
      <c r="E1465" t="s">
        <v>42</v>
      </c>
      <c r="F1465" t="s">
        <v>90</v>
      </c>
      <c r="G1465" t="s">
        <v>120</v>
      </c>
      <c r="H1465" s="3">
        <v>16315.4</v>
      </c>
      <c r="I1465" s="4">
        <v>3</v>
      </c>
      <c r="J1465" s="3">
        <v>3203.59</v>
      </c>
      <c r="K1465" t="str">
        <f t="shared" si="44"/>
        <v>December</v>
      </c>
      <c r="L1465">
        <f t="shared" si="45"/>
        <v>2025</v>
      </c>
    </row>
    <row r="1466" spans="1:12" x14ac:dyDescent="0.3">
      <c r="A1466" s="2">
        <v>46003</v>
      </c>
      <c r="B1466" t="s">
        <v>48</v>
      </c>
      <c r="C1466" t="s">
        <v>62</v>
      </c>
      <c r="D1466" t="s">
        <v>156</v>
      </c>
      <c r="E1466" t="s">
        <v>26</v>
      </c>
      <c r="F1466" t="s">
        <v>27</v>
      </c>
      <c r="G1466" t="s">
        <v>94</v>
      </c>
      <c r="H1466" s="3">
        <v>22835.18</v>
      </c>
      <c r="I1466" s="4">
        <v>2</v>
      </c>
      <c r="J1466" s="3">
        <v>3808.12</v>
      </c>
      <c r="K1466" t="str">
        <f t="shared" si="44"/>
        <v>December</v>
      </c>
      <c r="L1466">
        <f t="shared" si="45"/>
        <v>2025</v>
      </c>
    </row>
    <row r="1467" spans="1:12" x14ac:dyDescent="0.3">
      <c r="A1467" s="2">
        <v>46003</v>
      </c>
      <c r="B1467" t="s">
        <v>11</v>
      </c>
      <c r="C1467" t="s">
        <v>39</v>
      </c>
      <c r="D1467" t="s">
        <v>156</v>
      </c>
      <c r="E1467" t="s">
        <v>42</v>
      </c>
      <c r="F1467" t="s">
        <v>90</v>
      </c>
      <c r="G1467" t="s">
        <v>97</v>
      </c>
      <c r="H1467" s="3">
        <v>7012.39</v>
      </c>
      <c r="I1467" s="4">
        <v>3</v>
      </c>
      <c r="J1467" s="3">
        <v>1235.81</v>
      </c>
      <c r="K1467" t="str">
        <f t="shared" si="44"/>
        <v>December</v>
      </c>
      <c r="L1467">
        <f t="shared" si="45"/>
        <v>2025</v>
      </c>
    </row>
    <row r="1468" spans="1:12" x14ac:dyDescent="0.3">
      <c r="A1468" s="2">
        <v>46003</v>
      </c>
      <c r="B1468" t="s">
        <v>93</v>
      </c>
      <c r="C1468" t="s">
        <v>17</v>
      </c>
      <c r="D1468" t="s">
        <v>156</v>
      </c>
      <c r="E1468" t="s">
        <v>42</v>
      </c>
      <c r="F1468" t="s">
        <v>90</v>
      </c>
      <c r="G1468" t="s">
        <v>97</v>
      </c>
      <c r="H1468" s="3">
        <v>2464.63</v>
      </c>
      <c r="I1468" s="4">
        <v>1</v>
      </c>
      <c r="J1468" s="3">
        <v>529</v>
      </c>
      <c r="K1468" t="str">
        <f t="shared" si="44"/>
        <v>December</v>
      </c>
      <c r="L1468">
        <f t="shared" si="45"/>
        <v>2025</v>
      </c>
    </row>
    <row r="1469" spans="1:12" x14ac:dyDescent="0.3">
      <c r="A1469" s="2">
        <v>46003</v>
      </c>
      <c r="B1469" t="s">
        <v>109</v>
      </c>
      <c r="C1469" t="s">
        <v>49</v>
      </c>
      <c r="D1469" t="s">
        <v>156</v>
      </c>
      <c r="E1469" t="s">
        <v>35</v>
      </c>
      <c r="F1469" t="s">
        <v>50</v>
      </c>
      <c r="G1469" t="s">
        <v>51</v>
      </c>
      <c r="H1469" s="3">
        <v>8669.94</v>
      </c>
      <c r="I1469" s="4">
        <v>1</v>
      </c>
      <c r="J1469" s="3">
        <v>1677.86</v>
      </c>
      <c r="K1469" t="str">
        <f t="shared" si="44"/>
        <v>December</v>
      </c>
      <c r="L1469">
        <f t="shared" si="45"/>
        <v>2025</v>
      </c>
    </row>
    <row r="1470" spans="1:12" x14ac:dyDescent="0.3">
      <c r="A1470" s="2">
        <v>46005</v>
      </c>
      <c r="B1470" t="s">
        <v>113</v>
      </c>
      <c r="C1470" t="s">
        <v>39</v>
      </c>
      <c r="D1470" t="s">
        <v>156</v>
      </c>
      <c r="E1470" t="s">
        <v>35</v>
      </c>
      <c r="F1470" t="s">
        <v>75</v>
      </c>
      <c r="G1470" t="s">
        <v>76</v>
      </c>
      <c r="H1470" s="3">
        <v>43530.19</v>
      </c>
      <c r="I1470" s="4">
        <v>1</v>
      </c>
      <c r="J1470" s="3">
        <v>4601.28</v>
      </c>
      <c r="K1470" t="str">
        <f t="shared" si="44"/>
        <v>December</v>
      </c>
      <c r="L1470">
        <f t="shared" si="45"/>
        <v>2025</v>
      </c>
    </row>
    <row r="1471" spans="1:12" x14ac:dyDescent="0.3">
      <c r="A1471" s="2">
        <v>46005</v>
      </c>
      <c r="B1471" t="s">
        <v>25</v>
      </c>
      <c r="C1471" t="s">
        <v>39</v>
      </c>
      <c r="D1471" t="s">
        <v>156</v>
      </c>
      <c r="E1471" t="s">
        <v>18</v>
      </c>
      <c r="F1471" t="s">
        <v>19</v>
      </c>
      <c r="G1471" t="s">
        <v>106</v>
      </c>
      <c r="H1471" s="3">
        <v>97069.84</v>
      </c>
      <c r="I1471" s="4">
        <v>1</v>
      </c>
      <c r="J1471" s="3">
        <v>14864.74</v>
      </c>
      <c r="K1471" t="str">
        <f t="shared" si="44"/>
        <v>December</v>
      </c>
      <c r="L1471">
        <f t="shared" si="45"/>
        <v>2025</v>
      </c>
    </row>
    <row r="1472" spans="1:12" x14ac:dyDescent="0.3">
      <c r="A1472" s="2">
        <v>46005</v>
      </c>
      <c r="B1472" t="s">
        <v>60</v>
      </c>
      <c r="C1472" t="s">
        <v>66</v>
      </c>
      <c r="D1472" t="s">
        <v>156</v>
      </c>
      <c r="E1472" t="s">
        <v>18</v>
      </c>
      <c r="F1472" t="s">
        <v>19</v>
      </c>
      <c r="G1472" t="s">
        <v>33</v>
      </c>
      <c r="H1472" s="3">
        <v>57105.7</v>
      </c>
      <c r="I1472" s="4">
        <v>1</v>
      </c>
      <c r="J1472" s="3">
        <v>8579.7000000000007</v>
      </c>
      <c r="K1472" t="str">
        <f t="shared" si="44"/>
        <v>December</v>
      </c>
      <c r="L1472">
        <f t="shared" si="45"/>
        <v>2025</v>
      </c>
    </row>
    <row r="1473" spans="1:12" x14ac:dyDescent="0.3">
      <c r="A1473" s="2">
        <v>46005</v>
      </c>
      <c r="B1473" t="s">
        <v>11</v>
      </c>
      <c r="C1473" t="s">
        <v>49</v>
      </c>
      <c r="D1473" t="s">
        <v>156</v>
      </c>
      <c r="E1473" t="s">
        <v>18</v>
      </c>
      <c r="F1473" t="s">
        <v>19</v>
      </c>
      <c r="G1473" t="s">
        <v>72</v>
      </c>
      <c r="H1473" s="3">
        <v>55052.95</v>
      </c>
      <c r="I1473" s="4">
        <v>1</v>
      </c>
      <c r="J1473" s="3">
        <v>7581.14</v>
      </c>
      <c r="K1473" t="str">
        <f t="shared" si="44"/>
        <v>December</v>
      </c>
      <c r="L1473">
        <f t="shared" si="45"/>
        <v>2025</v>
      </c>
    </row>
    <row r="1474" spans="1:12" x14ac:dyDescent="0.3">
      <c r="A1474" s="2">
        <v>46006</v>
      </c>
      <c r="B1474" t="s">
        <v>52</v>
      </c>
      <c r="C1474" t="s">
        <v>39</v>
      </c>
      <c r="D1474" t="s">
        <v>156</v>
      </c>
      <c r="E1474" t="s">
        <v>42</v>
      </c>
      <c r="F1474" t="s">
        <v>90</v>
      </c>
      <c r="G1474" t="s">
        <v>97</v>
      </c>
      <c r="H1474" s="3">
        <v>2463.38</v>
      </c>
      <c r="I1474" s="4">
        <v>1</v>
      </c>
      <c r="J1474" s="3">
        <v>522.77</v>
      </c>
      <c r="K1474" t="str">
        <f t="shared" si="44"/>
        <v>December</v>
      </c>
      <c r="L1474">
        <f t="shared" si="45"/>
        <v>2025</v>
      </c>
    </row>
    <row r="1475" spans="1:12" x14ac:dyDescent="0.3">
      <c r="A1475" s="2">
        <v>46006</v>
      </c>
      <c r="B1475" t="s">
        <v>95</v>
      </c>
      <c r="C1475" t="s">
        <v>46</v>
      </c>
      <c r="D1475" t="s">
        <v>156</v>
      </c>
      <c r="E1475" t="s">
        <v>42</v>
      </c>
      <c r="F1475" t="s">
        <v>43</v>
      </c>
      <c r="G1475" t="s">
        <v>44</v>
      </c>
      <c r="H1475" s="3">
        <v>28455.18</v>
      </c>
      <c r="I1475" s="4">
        <v>2</v>
      </c>
      <c r="J1475" s="3">
        <v>3385.22</v>
      </c>
      <c r="K1475" t="str">
        <f t="shared" ref="K1475:K1538" si="46">TEXT(A1475,"mmmm")</f>
        <v>December</v>
      </c>
      <c r="L1475">
        <f t="shared" ref="L1475:L1538" si="47">YEAR(A1475)</f>
        <v>2025</v>
      </c>
    </row>
    <row r="1476" spans="1:12" x14ac:dyDescent="0.3">
      <c r="A1476" s="2">
        <v>46007</v>
      </c>
      <c r="B1476" t="s">
        <v>109</v>
      </c>
      <c r="C1476" t="s">
        <v>30</v>
      </c>
      <c r="D1476" t="s">
        <v>156</v>
      </c>
      <c r="E1476" t="s">
        <v>18</v>
      </c>
      <c r="F1476" t="s">
        <v>19</v>
      </c>
      <c r="G1476" t="s">
        <v>20</v>
      </c>
      <c r="H1476" s="3">
        <v>65071.93</v>
      </c>
      <c r="I1476" s="4">
        <v>1</v>
      </c>
      <c r="J1476" s="3">
        <v>8712.82</v>
      </c>
      <c r="K1476" t="str">
        <f t="shared" si="46"/>
        <v>December</v>
      </c>
      <c r="L1476">
        <f t="shared" si="47"/>
        <v>2025</v>
      </c>
    </row>
    <row r="1477" spans="1:12" x14ac:dyDescent="0.3">
      <c r="A1477" s="2">
        <v>46007</v>
      </c>
      <c r="B1477" t="s">
        <v>25</v>
      </c>
      <c r="C1477" t="s">
        <v>62</v>
      </c>
      <c r="D1477" t="s">
        <v>156</v>
      </c>
      <c r="E1477" t="s">
        <v>13</v>
      </c>
      <c r="F1477" t="s">
        <v>23</v>
      </c>
      <c r="G1477" t="s">
        <v>108</v>
      </c>
      <c r="H1477" s="3">
        <v>51332</v>
      </c>
      <c r="I1477" s="4">
        <v>1</v>
      </c>
      <c r="J1477" s="3">
        <v>6421.27</v>
      </c>
      <c r="K1477" t="str">
        <f t="shared" si="46"/>
        <v>December</v>
      </c>
      <c r="L1477">
        <f t="shared" si="47"/>
        <v>2025</v>
      </c>
    </row>
    <row r="1478" spans="1:12" x14ac:dyDescent="0.3">
      <c r="A1478" s="2">
        <v>46007</v>
      </c>
      <c r="B1478" t="s">
        <v>92</v>
      </c>
      <c r="C1478" t="s">
        <v>69</v>
      </c>
      <c r="D1478" t="s">
        <v>156</v>
      </c>
      <c r="E1478" t="s">
        <v>35</v>
      </c>
      <c r="F1478" t="s">
        <v>63</v>
      </c>
      <c r="G1478" t="s">
        <v>64</v>
      </c>
      <c r="H1478" s="3">
        <v>63906.83</v>
      </c>
      <c r="I1478" s="4">
        <v>2</v>
      </c>
      <c r="J1478" s="3">
        <v>-1646.63</v>
      </c>
      <c r="K1478" t="str">
        <f t="shared" si="46"/>
        <v>December</v>
      </c>
      <c r="L1478">
        <f t="shared" si="47"/>
        <v>2025</v>
      </c>
    </row>
    <row r="1479" spans="1:12" x14ac:dyDescent="0.3">
      <c r="A1479" s="2">
        <v>46008</v>
      </c>
      <c r="B1479" t="s">
        <v>65</v>
      </c>
      <c r="C1479" t="s">
        <v>12</v>
      </c>
      <c r="D1479" t="s">
        <v>156</v>
      </c>
      <c r="E1479" t="s">
        <v>18</v>
      </c>
      <c r="F1479" t="s">
        <v>19</v>
      </c>
      <c r="G1479" t="s">
        <v>106</v>
      </c>
      <c r="H1479" s="3">
        <v>97634.02</v>
      </c>
      <c r="I1479" s="4">
        <v>1</v>
      </c>
      <c r="J1479" s="3">
        <v>14179.06</v>
      </c>
      <c r="K1479" t="str">
        <f t="shared" si="46"/>
        <v>December</v>
      </c>
      <c r="L1479">
        <f t="shared" si="47"/>
        <v>2025</v>
      </c>
    </row>
    <row r="1480" spans="1:12" x14ac:dyDescent="0.3">
      <c r="A1480" s="2">
        <v>46008</v>
      </c>
      <c r="B1480" t="s">
        <v>45</v>
      </c>
      <c r="C1480" t="s">
        <v>46</v>
      </c>
      <c r="D1480" t="s">
        <v>156</v>
      </c>
      <c r="E1480" t="s">
        <v>13</v>
      </c>
      <c r="F1480" t="s">
        <v>14</v>
      </c>
      <c r="G1480" t="s">
        <v>88</v>
      </c>
      <c r="H1480" s="3">
        <v>2522.0700000000002</v>
      </c>
      <c r="I1480" s="4">
        <v>2</v>
      </c>
      <c r="J1480" s="3">
        <v>270.16000000000003</v>
      </c>
      <c r="K1480" t="str">
        <f t="shared" si="46"/>
        <v>December</v>
      </c>
      <c r="L1480">
        <f t="shared" si="47"/>
        <v>2025</v>
      </c>
    </row>
    <row r="1481" spans="1:12" x14ac:dyDescent="0.3">
      <c r="A1481" s="2">
        <v>46009</v>
      </c>
      <c r="B1481" t="s">
        <v>25</v>
      </c>
      <c r="C1481" t="s">
        <v>22</v>
      </c>
      <c r="D1481" t="s">
        <v>156</v>
      </c>
      <c r="E1481" t="s">
        <v>42</v>
      </c>
      <c r="F1481" t="s">
        <v>43</v>
      </c>
      <c r="G1481" t="s">
        <v>87</v>
      </c>
      <c r="H1481" s="3">
        <v>19697.13</v>
      </c>
      <c r="I1481" s="4">
        <v>2</v>
      </c>
      <c r="J1481" s="3">
        <v>4616.42</v>
      </c>
      <c r="K1481" t="str">
        <f t="shared" si="46"/>
        <v>December</v>
      </c>
      <c r="L1481">
        <f t="shared" si="47"/>
        <v>2025</v>
      </c>
    </row>
    <row r="1482" spans="1:12" x14ac:dyDescent="0.3">
      <c r="A1482" s="2">
        <v>46010</v>
      </c>
      <c r="B1482" t="s">
        <v>86</v>
      </c>
      <c r="C1482" t="s">
        <v>39</v>
      </c>
      <c r="D1482" t="s">
        <v>156</v>
      </c>
      <c r="E1482" t="s">
        <v>42</v>
      </c>
      <c r="F1482" t="s">
        <v>43</v>
      </c>
      <c r="G1482" t="s">
        <v>44</v>
      </c>
      <c r="H1482" s="3">
        <v>12620.64</v>
      </c>
      <c r="I1482" s="4">
        <v>1</v>
      </c>
      <c r="J1482" s="3">
        <v>1729.35</v>
      </c>
      <c r="K1482" t="str">
        <f t="shared" si="46"/>
        <v>December</v>
      </c>
      <c r="L1482">
        <f t="shared" si="47"/>
        <v>2025</v>
      </c>
    </row>
    <row r="1483" spans="1:12" x14ac:dyDescent="0.3">
      <c r="A1483" s="2">
        <v>46010</v>
      </c>
      <c r="B1483" t="s">
        <v>38</v>
      </c>
      <c r="C1483" t="s">
        <v>69</v>
      </c>
      <c r="D1483" t="s">
        <v>156</v>
      </c>
      <c r="E1483" t="s">
        <v>26</v>
      </c>
      <c r="F1483" t="s">
        <v>27</v>
      </c>
      <c r="G1483" t="s">
        <v>31</v>
      </c>
      <c r="H1483" s="3">
        <v>9707.9699999999993</v>
      </c>
      <c r="I1483" s="4">
        <v>1</v>
      </c>
      <c r="J1483" s="3">
        <v>1319.34</v>
      </c>
      <c r="K1483" t="str">
        <f t="shared" si="46"/>
        <v>December</v>
      </c>
      <c r="L1483">
        <f t="shared" si="47"/>
        <v>2025</v>
      </c>
    </row>
    <row r="1484" spans="1:12" x14ac:dyDescent="0.3">
      <c r="A1484" s="2">
        <v>46010</v>
      </c>
      <c r="B1484" t="s">
        <v>73</v>
      </c>
      <c r="C1484" t="s">
        <v>69</v>
      </c>
      <c r="D1484" t="s">
        <v>156</v>
      </c>
      <c r="E1484" t="s">
        <v>42</v>
      </c>
      <c r="F1484" t="s">
        <v>43</v>
      </c>
      <c r="G1484" t="s">
        <v>44</v>
      </c>
      <c r="H1484" s="3">
        <v>14722.7</v>
      </c>
      <c r="I1484" s="4">
        <v>1</v>
      </c>
      <c r="J1484" s="3">
        <v>1571.13</v>
      </c>
      <c r="K1484" t="str">
        <f t="shared" si="46"/>
        <v>December</v>
      </c>
      <c r="L1484">
        <f t="shared" si="47"/>
        <v>2025</v>
      </c>
    </row>
    <row r="1485" spans="1:12" x14ac:dyDescent="0.3">
      <c r="A1485" s="2">
        <v>46010</v>
      </c>
      <c r="B1485" t="s">
        <v>80</v>
      </c>
      <c r="C1485" t="s">
        <v>22</v>
      </c>
      <c r="D1485" t="s">
        <v>156</v>
      </c>
      <c r="E1485" t="s">
        <v>26</v>
      </c>
      <c r="F1485" t="s">
        <v>27</v>
      </c>
      <c r="G1485" t="s">
        <v>28</v>
      </c>
      <c r="H1485" s="3">
        <v>99835.66</v>
      </c>
      <c r="I1485" s="4">
        <v>4</v>
      </c>
      <c r="J1485" s="3">
        <v>15668.68</v>
      </c>
      <c r="K1485" t="str">
        <f t="shared" si="46"/>
        <v>December</v>
      </c>
      <c r="L1485">
        <f t="shared" si="47"/>
        <v>2025</v>
      </c>
    </row>
    <row r="1486" spans="1:12" x14ac:dyDescent="0.3">
      <c r="A1486" s="2">
        <v>46011</v>
      </c>
      <c r="B1486" t="s">
        <v>52</v>
      </c>
      <c r="C1486" t="s">
        <v>22</v>
      </c>
      <c r="D1486" t="s">
        <v>156</v>
      </c>
      <c r="E1486" t="s">
        <v>13</v>
      </c>
      <c r="F1486" t="s">
        <v>23</v>
      </c>
      <c r="G1486" t="s">
        <v>85</v>
      </c>
      <c r="H1486" s="3">
        <v>44233.5</v>
      </c>
      <c r="I1486" s="4">
        <v>1</v>
      </c>
      <c r="J1486" s="3">
        <v>5650.24</v>
      </c>
      <c r="K1486" t="str">
        <f t="shared" si="46"/>
        <v>December</v>
      </c>
      <c r="L1486">
        <f t="shared" si="47"/>
        <v>2025</v>
      </c>
    </row>
    <row r="1487" spans="1:12" x14ac:dyDescent="0.3">
      <c r="A1487" s="2">
        <v>46011</v>
      </c>
      <c r="B1487" t="s">
        <v>83</v>
      </c>
      <c r="C1487" t="s">
        <v>68</v>
      </c>
      <c r="D1487" t="s">
        <v>156</v>
      </c>
      <c r="E1487" t="s">
        <v>35</v>
      </c>
      <c r="F1487" t="s">
        <v>75</v>
      </c>
      <c r="G1487" t="s">
        <v>76</v>
      </c>
      <c r="H1487" s="3">
        <v>40479.78</v>
      </c>
      <c r="I1487" s="4">
        <v>1</v>
      </c>
      <c r="J1487" s="3">
        <v>6696.89</v>
      </c>
      <c r="K1487" t="str">
        <f t="shared" si="46"/>
        <v>December</v>
      </c>
      <c r="L1487">
        <f t="shared" si="47"/>
        <v>2025</v>
      </c>
    </row>
    <row r="1488" spans="1:12" x14ac:dyDescent="0.3">
      <c r="A1488" s="2">
        <v>46012</v>
      </c>
      <c r="B1488" t="s">
        <v>101</v>
      </c>
      <c r="C1488" t="s">
        <v>17</v>
      </c>
      <c r="D1488" t="s">
        <v>156</v>
      </c>
      <c r="E1488" t="s">
        <v>35</v>
      </c>
      <c r="F1488" t="s">
        <v>50</v>
      </c>
      <c r="G1488" t="s">
        <v>119</v>
      </c>
      <c r="H1488" s="3">
        <v>5028.18</v>
      </c>
      <c r="I1488" s="4">
        <v>2</v>
      </c>
      <c r="J1488" s="3">
        <v>587.19000000000005</v>
      </c>
      <c r="K1488" t="str">
        <f t="shared" si="46"/>
        <v>December</v>
      </c>
      <c r="L1488">
        <f t="shared" si="47"/>
        <v>2025</v>
      </c>
    </row>
    <row r="1489" spans="1:12" x14ac:dyDescent="0.3">
      <c r="A1489" s="2">
        <v>46012</v>
      </c>
      <c r="B1489" t="s">
        <v>60</v>
      </c>
      <c r="C1489" t="s">
        <v>30</v>
      </c>
      <c r="D1489" t="s">
        <v>156</v>
      </c>
      <c r="E1489" t="s">
        <v>42</v>
      </c>
      <c r="F1489" t="s">
        <v>90</v>
      </c>
      <c r="G1489" t="s">
        <v>91</v>
      </c>
      <c r="H1489" s="3">
        <v>6704.1</v>
      </c>
      <c r="I1489" s="4">
        <v>4</v>
      </c>
      <c r="J1489" s="3">
        <v>839.98</v>
      </c>
      <c r="K1489" t="str">
        <f t="shared" si="46"/>
        <v>December</v>
      </c>
      <c r="L1489">
        <f t="shared" si="47"/>
        <v>2025</v>
      </c>
    </row>
    <row r="1490" spans="1:12" x14ac:dyDescent="0.3">
      <c r="A1490" s="2">
        <v>46013</v>
      </c>
      <c r="B1490" t="s">
        <v>73</v>
      </c>
      <c r="C1490" t="s">
        <v>68</v>
      </c>
      <c r="D1490" t="s">
        <v>156</v>
      </c>
      <c r="E1490" t="s">
        <v>13</v>
      </c>
      <c r="F1490" t="s">
        <v>23</v>
      </c>
      <c r="G1490" t="s">
        <v>47</v>
      </c>
      <c r="H1490" s="3">
        <v>207607.07</v>
      </c>
      <c r="I1490" s="4">
        <v>3</v>
      </c>
      <c r="J1490" s="3">
        <v>15930.18</v>
      </c>
      <c r="K1490" t="str">
        <f t="shared" si="46"/>
        <v>December</v>
      </c>
      <c r="L1490">
        <f t="shared" si="47"/>
        <v>2025</v>
      </c>
    </row>
    <row r="1491" spans="1:12" x14ac:dyDescent="0.3">
      <c r="A1491" s="2">
        <v>46013</v>
      </c>
      <c r="B1491" t="s">
        <v>65</v>
      </c>
      <c r="C1491" t="s">
        <v>39</v>
      </c>
      <c r="D1491" t="s">
        <v>156</v>
      </c>
      <c r="E1491" t="s">
        <v>13</v>
      </c>
      <c r="F1491" t="s">
        <v>23</v>
      </c>
      <c r="G1491" t="s">
        <v>79</v>
      </c>
      <c r="H1491" s="3">
        <v>69790.929999999993</v>
      </c>
      <c r="I1491" s="4">
        <v>1</v>
      </c>
      <c r="J1491" s="3">
        <v>-4863.18</v>
      </c>
      <c r="K1491" t="str">
        <f t="shared" si="46"/>
        <v>December</v>
      </c>
      <c r="L1491">
        <f t="shared" si="47"/>
        <v>2025</v>
      </c>
    </row>
    <row r="1492" spans="1:12" x14ac:dyDescent="0.3">
      <c r="A1492" s="2">
        <v>46017</v>
      </c>
      <c r="B1492" t="s">
        <v>11</v>
      </c>
      <c r="C1492" t="s">
        <v>68</v>
      </c>
      <c r="D1492" t="s">
        <v>156</v>
      </c>
      <c r="E1492" t="s">
        <v>35</v>
      </c>
      <c r="F1492" t="s">
        <v>50</v>
      </c>
      <c r="G1492" t="s">
        <v>119</v>
      </c>
      <c r="H1492" s="3">
        <v>2529.21</v>
      </c>
      <c r="I1492" s="4">
        <v>1</v>
      </c>
      <c r="J1492" s="3">
        <v>205.94</v>
      </c>
      <c r="K1492" t="str">
        <f t="shared" si="46"/>
        <v>December</v>
      </c>
      <c r="L1492">
        <f t="shared" si="47"/>
        <v>2025</v>
      </c>
    </row>
    <row r="1493" spans="1:12" x14ac:dyDescent="0.3">
      <c r="A1493" s="2">
        <v>46017</v>
      </c>
      <c r="B1493" t="s">
        <v>103</v>
      </c>
      <c r="C1493" t="s">
        <v>58</v>
      </c>
      <c r="D1493" t="s">
        <v>156</v>
      </c>
      <c r="E1493" t="s">
        <v>13</v>
      </c>
      <c r="F1493" t="s">
        <v>23</v>
      </c>
      <c r="G1493" t="s">
        <v>108</v>
      </c>
      <c r="H1493" s="3">
        <v>110408.05</v>
      </c>
      <c r="I1493" s="4">
        <v>2</v>
      </c>
      <c r="J1493" s="3">
        <v>-4020.81</v>
      </c>
      <c r="K1493" t="str">
        <f t="shared" si="46"/>
        <v>December</v>
      </c>
      <c r="L1493">
        <f t="shared" si="47"/>
        <v>2025</v>
      </c>
    </row>
    <row r="1494" spans="1:12" x14ac:dyDescent="0.3">
      <c r="A1494" s="2">
        <v>46019</v>
      </c>
      <c r="B1494" t="s">
        <v>113</v>
      </c>
      <c r="C1494" t="s">
        <v>17</v>
      </c>
      <c r="D1494" t="s">
        <v>156</v>
      </c>
      <c r="E1494" t="s">
        <v>26</v>
      </c>
      <c r="F1494" t="s">
        <v>53</v>
      </c>
      <c r="G1494" t="s">
        <v>100</v>
      </c>
      <c r="H1494" s="3">
        <v>174039.81</v>
      </c>
      <c r="I1494" s="4">
        <v>2</v>
      </c>
      <c r="J1494" s="3">
        <v>24455.01</v>
      </c>
      <c r="K1494" t="str">
        <f t="shared" si="46"/>
        <v>December</v>
      </c>
      <c r="L1494">
        <f t="shared" si="47"/>
        <v>2025</v>
      </c>
    </row>
    <row r="1495" spans="1:12" x14ac:dyDescent="0.3">
      <c r="A1495" s="2">
        <v>46019</v>
      </c>
      <c r="B1495" t="s">
        <v>52</v>
      </c>
      <c r="C1495" t="s">
        <v>62</v>
      </c>
      <c r="D1495" t="s">
        <v>156</v>
      </c>
      <c r="E1495" t="s">
        <v>18</v>
      </c>
      <c r="F1495" t="s">
        <v>40</v>
      </c>
      <c r="G1495" t="s">
        <v>115</v>
      </c>
      <c r="H1495" s="3">
        <v>21833.55</v>
      </c>
      <c r="I1495" s="4">
        <v>2</v>
      </c>
      <c r="J1495" s="3">
        <v>1743.65</v>
      </c>
      <c r="K1495" t="str">
        <f t="shared" si="46"/>
        <v>December</v>
      </c>
      <c r="L1495">
        <f t="shared" si="47"/>
        <v>2025</v>
      </c>
    </row>
    <row r="1496" spans="1:12" x14ac:dyDescent="0.3">
      <c r="A1496" s="2">
        <v>46019</v>
      </c>
      <c r="B1496" t="s">
        <v>93</v>
      </c>
      <c r="C1496" t="s">
        <v>46</v>
      </c>
      <c r="D1496" t="s">
        <v>156</v>
      </c>
      <c r="E1496" t="s">
        <v>26</v>
      </c>
      <c r="F1496" t="s">
        <v>27</v>
      </c>
      <c r="G1496" t="s">
        <v>94</v>
      </c>
      <c r="H1496" s="3">
        <v>11162.73</v>
      </c>
      <c r="I1496" s="4">
        <v>1</v>
      </c>
      <c r="J1496" s="3">
        <v>1690.99</v>
      </c>
      <c r="K1496" t="str">
        <f t="shared" si="46"/>
        <v>December</v>
      </c>
      <c r="L1496">
        <f t="shared" si="47"/>
        <v>2025</v>
      </c>
    </row>
    <row r="1497" spans="1:12" x14ac:dyDescent="0.3">
      <c r="A1497" s="2">
        <v>46020</v>
      </c>
      <c r="B1497" t="s">
        <v>21</v>
      </c>
      <c r="C1497" t="s">
        <v>22</v>
      </c>
      <c r="D1497" t="s">
        <v>156</v>
      </c>
      <c r="E1497" t="s">
        <v>35</v>
      </c>
      <c r="F1497" t="s">
        <v>63</v>
      </c>
      <c r="G1497" t="s">
        <v>114</v>
      </c>
      <c r="H1497" s="3">
        <v>27933.99</v>
      </c>
      <c r="I1497" s="4">
        <v>1</v>
      </c>
      <c r="J1497" s="3">
        <v>-801.38</v>
      </c>
      <c r="K1497" t="str">
        <f t="shared" si="46"/>
        <v>December</v>
      </c>
      <c r="L1497">
        <f t="shared" si="47"/>
        <v>2025</v>
      </c>
    </row>
    <row r="1498" spans="1:12" x14ac:dyDescent="0.3">
      <c r="A1498" s="2">
        <v>46021</v>
      </c>
      <c r="B1498" t="s">
        <v>48</v>
      </c>
      <c r="C1498" t="s">
        <v>81</v>
      </c>
      <c r="D1498" t="s">
        <v>156</v>
      </c>
      <c r="E1498" t="s">
        <v>35</v>
      </c>
      <c r="F1498" t="s">
        <v>36</v>
      </c>
      <c r="G1498" t="s">
        <v>99</v>
      </c>
      <c r="H1498" s="3">
        <v>34027.42</v>
      </c>
      <c r="I1498" s="4">
        <v>1</v>
      </c>
      <c r="J1498" s="3">
        <v>4101.3500000000004</v>
      </c>
      <c r="K1498" t="str">
        <f t="shared" si="46"/>
        <v>December</v>
      </c>
      <c r="L1498">
        <f t="shared" si="47"/>
        <v>2025</v>
      </c>
    </row>
    <row r="1499" spans="1:12" x14ac:dyDescent="0.3">
      <c r="A1499" s="2">
        <v>46021</v>
      </c>
      <c r="B1499" t="s">
        <v>101</v>
      </c>
      <c r="C1499" t="s">
        <v>61</v>
      </c>
      <c r="D1499" t="s">
        <v>156</v>
      </c>
      <c r="E1499" t="s">
        <v>42</v>
      </c>
      <c r="F1499" t="s">
        <v>43</v>
      </c>
      <c r="G1499" t="s">
        <v>87</v>
      </c>
      <c r="H1499" s="3">
        <v>20263.27</v>
      </c>
      <c r="I1499" s="4">
        <v>2</v>
      </c>
      <c r="J1499" s="3">
        <v>4158.34</v>
      </c>
      <c r="K1499" t="str">
        <f t="shared" si="46"/>
        <v>December</v>
      </c>
      <c r="L1499">
        <f t="shared" si="47"/>
        <v>2025</v>
      </c>
    </row>
    <row r="1500" spans="1:12" x14ac:dyDescent="0.3">
      <c r="A1500" s="2">
        <v>46022</v>
      </c>
      <c r="B1500" t="s">
        <v>86</v>
      </c>
      <c r="C1500" t="s">
        <v>39</v>
      </c>
      <c r="D1500" t="s">
        <v>156</v>
      </c>
      <c r="E1500" t="s">
        <v>42</v>
      </c>
      <c r="F1500" t="s">
        <v>90</v>
      </c>
      <c r="G1500" t="s">
        <v>120</v>
      </c>
      <c r="H1500" s="3">
        <v>10484.35</v>
      </c>
      <c r="I1500" s="4">
        <v>2</v>
      </c>
      <c r="J1500" s="3">
        <v>1154.98</v>
      </c>
      <c r="K1500" t="str">
        <f t="shared" si="46"/>
        <v>December</v>
      </c>
      <c r="L1500">
        <f t="shared" si="47"/>
        <v>2025</v>
      </c>
    </row>
    <row r="1501" spans="1:12" x14ac:dyDescent="0.3">
      <c r="A1501" s="2">
        <v>46022</v>
      </c>
      <c r="B1501" t="s">
        <v>93</v>
      </c>
      <c r="C1501" t="s">
        <v>69</v>
      </c>
      <c r="D1501" t="s">
        <v>156</v>
      </c>
      <c r="E1501" t="s">
        <v>42</v>
      </c>
      <c r="F1501" t="s">
        <v>90</v>
      </c>
      <c r="G1501" t="s">
        <v>91</v>
      </c>
      <c r="H1501" s="3">
        <v>1810.83</v>
      </c>
      <c r="I1501" s="4">
        <v>1</v>
      </c>
      <c r="J1501" s="3">
        <v>243.12</v>
      </c>
      <c r="K1501" t="str">
        <f t="shared" si="46"/>
        <v>December</v>
      </c>
      <c r="L1501">
        <f t="shared" si="47"/>
        <v>2025</v>
      </c>
    </row>
    <row r="1502" spans="1:12" x14ac:dyDescent="0.3">
      <c r="A1502" s="6">
        <v>46024</v>
      </c>
      <c r="B1502" t="s">
        <v>52</v>
      </c>
      <c r="C1502" t="s">
        <v>81</v>
      </c>
      <c r="D1502" t="s">
        <v>156</v>
      </c>
      <c r="E1502" t="s">
        <v>13</v>
      </c>
      <c r="F1502" t="s">
        <v>23</v>
      </c>
      <c r="G1502" t="s">
        <v>24</v>
      </c>
      <c r="H1502">
        <v>62695.95</v>
      </c>
      <c r="I1502">
        <v>1</v>
      </c>
      <c r="J1502">
        <v>8555.89</v>
      </c>
      <c r="K1502" t="str">
        <f t="shared" si="46"/>
        <v>January</v>
      </c>
      <c r="L1502">
        <f t="shared" si="47"/>
        <v>2026</v>
      </c>
    </row>
    <row r="1503" spans="1:12" x14ac:dyDescent="0.3">
      <c r="A1503" s="6">
        <v>46024</v>
      </c>
      <c r="B1503" t="s">
        <v>38</v>
      </c>
      <c r="C1503" t="s">
        <v>69</v>
      </c>
      <c r="D1503" t="s">
        <v>156</v>
      </c>
      <c r="E1503" t="s">
        <v>18</v>
      </c>
      <c r="F1503" t="s">
        <v>19</v>
      </c>
      <c r="G1503" t="s">
        <v>33</v>
      </c>
      <c r="H1503">
        <v>113464.09</v>
      </c>
      <c r="I1503">
        <v>2</v>
      </c>
      <c r="J1503">
        <v>19654.560000000001</v>
      </c>
      <c r="K1503" t="str">
        <f t="shared" si="46"/>
        <v>January</v>
      </c>
      <c r="L1503">
        <f t="shared" si="47"/>
        <v>2026</v>
      </c>
    </row>
    <row r="1504" spans="1:12" x14ac:dyDescent="0.3">
      <c r="A1504" s="6">
        <v>46025</v>
      </c>
      <c r="B1504" t="s">
        <v>45</v>
      </c>
      <c r="C1504" t="s">
        <v>58</v>
      </c>
      <c r="D1504" t="s">
        <v>156</v>
      </c>
      <c r="E1504" t="s">
        <v>18</v>
      </c>
      <c r="F1504" t="s">
        <v>19</v>
      </c>
      <c r="G1504" t="s">
        <v>59</v>
      </c>
      <c r="H1504">
        <v>45290.63</v>
      </c>
      <c r="I1504">
        <v>1</v>
      </c>
      <c r="J1504">
        <v>9483.75</v>
      </c>
      <c r="K1504" t="str">
        <f t="shared" si="46"/>
        <v>January</v>
      </c>
      <c r="L1504">
        <f t="shared" si="47"/>
        <v>2026</v>
      </c>
    </row>
    <row r="1505" spans="1:12" x14ac:dyDescent="0.3">
      <c r="A1505" s="6">
        <v>46026</v>
      </c>
      <c r="B1505" t="s">
        <v>73</v>
      </c>
      <c r="C1505" t="s">
        <v>46</v>
      </c>
      <c r="D1505" t="s">
        <v>156</v>
      </c>
      <c r="E1505" t="s">
        <v>42</v>
      </c>
      <c r="F1505" t="s">
        <v>90</v>
      </c>
      <c r="G1505" t="s">
        <v>91</v>
      </c>
      <c r="H1505">
        <v>1822</v>
      </c>
      <c r="I1505">
        <v>1</v>
      </c>
      <c r="J1505">
        <v>195.06</v>
      </c>
      <c r="K1505" t="str">
        <f t="shared" si="46"/>
        <v>January</v>
      </c>
      <c r="L1505">
        <f t="shared" si="47"/>
        <v>2026</v>
      </c>
    </row>
    <row r="1506" spans="1:12" x14ac:dyDescent="0.3">
      <c r="A1506" s="6">
        <v>46027</v>
      </c>
      <c r="B1506" t="s">
        <v>71</v>
      </c>
      <c r="C1506" t="s">
        <v>22</v>
      </c>
      <c r="D1506" t="s">
        <v>156</v>
      </c>
      <c r="E1506" t="s">
        <v>35</v>
      </c>
      <c r="F1506" t="s">
        <v>75</v>
      </c>
      <c r="G1506" t="s">
        <v>76</v>
      </c>
      <c r="H1506">
        <v>44670.09</v>
      </c>
      <c r="I1506">
        <v>1</v>
      </c>
      <c r="J1506">
        <v>4404.1099999999997</v>
      </c>
      <c r="K1506" t="str">
        <f t="shared" si="46"/>
        <v>January</v>
      </c>
      <c r="L1506">
        <f t="shared" si="47"/>
        <v>2026</v>
      </c>
    </row>
    <row r="1507" spans="1:12" x14ac:dyDescent="0.3">
      <c r="A1507" s="6">
        <v>46028</v>
      </c>
      <c r="B1507" t="s">
        <v>67</v>
      </c>
      <c r="C1507" t="s">
        <v>46</v>
      </c>
      <c r="D1507" t="s">
        <v>156</v>
      </c>
      <c r="E1507" t="s">
        <v>18</v>
      </c>
      <c r="F1507" t="s">
        <v>19</v>
      </c>
      <c r="G1507" t="s">
        <v>59</v>
      </c>
      <c r="H1507">
        <v>109880.85</v>
      </c>
      <c r="I1507">
        <v>2</v>
      </c>
      <c r="J1507">
        <v>17370.98</v>
      </c>
      <c r="K1507" t="str">
        <f t="shared" si="46"/>
        <v>January</v>
      </c>
      <c r="L1507">
        <f t="shared" si="47"/>
        <v>2026</v>
      </c>
    </row>
    <row r="1508" spans="1:12" x14ac:dyDescent="0.3">
      <c r="A1508" s="6">
        <v>46028</v>
      </c>
      <c r="B1508" t="s">
        <v>32</v>
      </c>
      <c r="C1508" t="s">
        <v>61</v>
      </c>
      <c r="D1508" t="s">
        <v>156</v>
      </c>
      <c r="E1508" t="s">
        <v>26</v>
      </c>
      <c r="F1508" t="s">
        <v>27</v>
      </c>
      <c r="G1508" t="s">
        <v>31</v>
      </c>
      <c r="H1508">
        <v>18777.400000000001</v>
      </c>
      <c r="I1508">
        <v>2</v>
      </c>
      <c r="J1508">
        <v>2047.16</v>
      </c>
      <c r="K1508" t="str">
        <f t="shared" si="46"/>
        <v>January</v>
      </c>
      <c r="L1508">
        <f t="shared" si="47"/>
        <v>2026</v>
      </c>
    </row>
    <row r="1509" spans="1:12" x14ac:dyDescent="0.3">
      <c r="A1509" s="6">
        <v>46028</v>
      </c>
      <c r="B1509" t="s">
        <v>45</v>
      </c>
      <c r="C1509" t="s">
        <v>66</v>
      </c>
      <c r="D1509" t="s">
        <v>156</v>
      </c>
      <c r="E1509" t="s">
        <v>26</v>
      </c>
      <c r="F1509" t="s">
        <v>27</v>
      </c>
      <c r="G1509" t="s">
        <v>28</v>
      </c>
      <c r="H1509">
        <v>62608.92</v>
      </c>
      <c r="I1509">
        <v>3</v>
      </c>
      <c r="J1509">
        <v>11639.18</v>
      </c>
      <c r="K1509" t="str">
        <f t="shared" si="46"/>
        <v>January</v>
      </c>
      <c r="L1509">
        <f t="shared" si="47"/>
        <v>2026</v>
      </c>
    </row>
    <row r="1510" spans="1:12" x14ac:dyDescent="0.3">
      <c r="A1510" s="6">
        <v>46029</v>
      </c>
      <c r="B1510" t="s">
        <v>21</v>
      </c>
      <c r="C1510" t="s">
        <v>66</v>
      </c>
      <c r="D1510" t="s">
        <v>156</v>
      </c>
      <c r="E1510" t="s">
        <v>18</v>
      </c>
      <c r="F1510" t="s">
        <v>40</v>
      </c>
      <c r="G1510" t="s">
        <v>105</v>
      </c>
      <c r="H1510">
        <v>4392.46</v>
      </c>
      <c r="I1510">
        <v>2</v>
      </c>
      <c r="J1510">
        <v>456.63</v>
      </c>
      <c r="K1510" t="str">
        <f t="shared" si="46"/>
        <v>January</v>
      </c>
      <c r="L1510">
        <f t="shared" si="47"/>
        <v>2026</v>
      </c>
    </row>
    <row r="1511" spans="1:12" x14ac:dyDescent="0.3">
      <c r="A1511" s="6">
        <v>46030</v>
      </c>
      <c r="B1511" t="s">
        <v>78</v>
      </c>
      <c r="C1511" t="s">
        <v>30</v>
      </c>
      <c r="D1511" t="s">
        <v>156</v>
      </c>
      <c r="E1511" t="s">
        <v>13</v>
      </c>
      <c r="F1511" t="s">
        <v>23</v>
      </c>
      <c r="G1511" t="s">
        <v>47</v>
      </c>
      <c r="H1511">
        <v>68824.66</v>
      </c>
      <c r="I1511">
        <v>1</v>
      </c>
      <c r="J1511">
        <v>8400.15</v>
      </c>
      <c r="K1511" t="str">
        <f t="shared" si="46"/>
        <v>January</v>
      </c>
      <c r="L1511">
        <f t="shared" si="47"/>
        <v>2026</v>
      </c>
    </row>
    <row r="1512" spans="1:12" x14ac:dyDescent="0.3">
      <c r="A1512" s="6">
        <v>46030</v>
      </c>
      <c r="B1512" t="s">
        <v>74</v>
      </c>
      <c r="C1512" t="s">
        <v>81</v>
      </c>
      <c r="D1512" t="s">
        <v>156</v>
      </c>
      <c r="E1512" t="s">
        <v>13</v>
      </c>
      <c r="F1512" t="s">
        <v>14</v>
      </c>
      <c r="G1512" t="s">
        <v>111</v>
      </c>
      <c r="H1512">
        <v>1646.85</v>
      </c>
      <c r="I1512">
        <v>1</v>
      </c>
      <c r="J1512">
        <v>322.35000000000002</v>
      </c>
      <c r="K1512" t="str">
        <f t="shared" si="46"/>
        <v>January</v>
      </c>
      <c r="L1512">
        <f t="shared" si="47"/>
        <v>2026</v>
      </c>
    </row>
    <row r="1513" spans="1:12" x14ac:dyDescent="0.3">
      <c r="A1513" s="6">
        <v>46030</v>
      </c>
      <c r="B1513" t="s">
        <v>113</v>
      </c>
      <c r="C1513" t="s">
        <v>39</v>
      </c>
      <c r="D1513" t="s">
        <v>156</v>
      </c>
      <c r="E1513" t="s">
        <v>26</v>
      </c>
      <c r="F1513" t="s">
        <v>27</v>
      </c>
      <c r="G1513" t="s">
        <v>82</v>
      </c>
      <c r="H1513">
        <v>29575.91</v>
      </c>
      <c r="I1513">
        <v>1</v>
      </c>
      <c r="J1513">
        <v>5513.22</v>
      </c>
      <c r="K1513" t="str">
        <f t="shared" si="46"/>
        <v>January</v>
      </c>
      <c r="L1513">
        <f t="shared" si="47"/>
        <v>2026</v>
      </c>
    </row>
    <row r="1514" spans="1:12" x14ac:dyDescent="0.3">
      <c r="A1514" s="6">
        <v>46031</v>
      </c>
      <c r="B1514" t="s">
        <v>38</v>
      </c>
      <c r="C1514" t="s">
        <v>69</v>
      </c>
      <c r="D1514" t="s">
        <v>156</v>
      </c>
      <c r="E1514" t="s">
        <v>18</v>
      </c>
      <c r="F1514" t="s">
        <v>40</v>
      </c>
      <c r="G1514" t="s">
        <v>41</v>
      </c>
      <c r="H1514">
        <v>16003.84</v>
      </c>
      <c r="I1514">
        <v>1</v>
      </c>
      <c r="J1514">
        <v>3181.76</v>
      </c>
      <c r="K1514" t="str">
        <f t="shared" si="46"/>
        <v>January</v>
      </c>
      <c r="L1514">
        <f t="shared" si="47"/>
        <v>2026</v>
      </c>
    </row>
    <row r="1515" spans="1:12" x14ac:dyDescent="0.3">
      <c r="A1515" s="6">
        <v>46031</v>
      </c>
      <c r="B1515" t="s">
        <v>21</v>
      </c>
      <c r="C1515" t="s">
        <v>56</v>
      </c>
      <c r="D1515" t="s">
        <v>156</v>
      </c>
      <c r="E1515" t="s">
        <v>13</v>
      </c>
      <c r="F1515" t="s">
        <v>14</v>
      </c>
      <c r="G1515" t="s">
        <v>15</v>
      </c>
      <c r="H1515">
        <v>2263.42</v>
      </c>
      <c r="I1515">
        <v>1</v>
      </c>
      <c r="J1515">
        <v>275.31</v>
      </c>
      <c r="K1515" t="str">
        <f t="shared" si="46"/>
        <v>January</v>
      </c>
      <c r="L1515">
        <f t="shared" si="47"/>
        <v>2026</v>
      </c>
    </row>
    <row r="1516" spans="1:12" x14ac:dyDescent="0.3">
      <c r="A1516" s="6">
        <v>46032</v>
      </c>
      <c r="B1516" t="s">
        <v>52</v>
      </c>
      <c r="C1516" t="s">
        <v>46</v>
      </c>
      <c r="D1516" t="s">
        <v>156</v>
      </c>
      <c r="E1516" t="s">
        <v>26</v>
      </c>
      <c r="F1516" t="s">
        <v>53</v>
      </c>
      <c r="G1516" t="s">
        <v>98</v>
      </c>
      <c r="H1516">
        <v>53259.15</v>
      </c>
      <c r="I1516">
        <v>2</v>
      </c>
      <c r="J1516">
        <v>10913.88</v>
      </c>
      <c r="K1516" t="str">
        <f t="shared" si="46"/>
        <v>January</v>
      </c>
      <c r="L1516">
        <f t="shared" si="47"/>
        <v>2026</v>
      </c>
    </row>
    <row r="1517" spans="1:12" x14ac:dyDescent="0.3">
      <c r="A1517" s="6">
        <v>46032</v>
      </c>
      <c r="B1517" t="s">
        <v>48</v>
      </c>
      <c r="C1517" t="s">
        <v>56</v>
      </c>
      <c r="D1517" t="s">
        <v>156</v>
      </c>
      <c r="E1517" t="s">
        <v>35</v>
      </c>
      <c r="F1517" t="s">
        <v>63</v>
      </c>
      <c r="G1517" t="s">
        <v>112</v>
      </c>
      <c r="H1517">
        <v>31410.59</v>
      </c>
      <c r="I1517">
        <v>1</v>
      </c>
      <c r="J1517">
        <v>5610.48</v>
      </c>
      <c r="K1517" t="str">
        <f t="shared" si="46"/>
        <v>January</v>
      </c>
      <c r="L1517">
        <f t="shared" si="47"/>
        <v>2026</v>
      </c>
    </row>
    <row r="1518" spans="1:12" x14ac:dyDescent="0.3">
      <c r="A1518" s="6">
        <v>46033</v>
      </c>
      <c r="B1518" t="s">
        <v>52</v>
      </c>
      <c r="C1518" t="s">
        <v>62</v>
      </c>
      <c r="D1518" t="s">
        <v>156</v>
      </c>
      <c r="E1518" t="s">
        <v>26</v>
      </c>
      <c r="F1518" t="s">
        <v>53</v>
      </c>
      <c r="G1518" t="s">
        <v>96</v>
      </c>
      <c r="H1518">
        <v>60297.45</v>
      </c>
      <c r="I1518">
        <v>1</v>
      </c>
      <c r="J1518">
        <v>9587.49</v>
      </c>
      <c r="K1518" t="str">
        <f t="shared" si="46"/>
        <v>January</v>
      </c>
      <c r="L1518">
        <f t="shared" si="47"/>
        <v>2026</v>
      </c>
    </row>
    <row r="1519" spans="1:12" x14ac:dyDescent="0.3">
      <c r="A1519" s="6">
        <v>46033</v>
      </c>
      <c r="B1519" t="s">
        <v>103</v>
      </c>
      <c r="C1519" t="s">
        <v>61</v>
      </c>
      <c r="D1519" t="s">
        <v>156</v>
      </c>
      <c r="E1519" t="s">
        <v>13</v>
      </c>
      <c r="F1519" t="s">
        <v>23</v>
      </c>
      <c r="G1519" t="s">
        <v>77</v>
      </c>
      <c r="H1519">
        <v>38768.89</v>
      </c>
      <c r="I1519">
        <v>1</v>
      </c>
      <c r="J1519">
        <v>3515.27</v>
      </c>
      <c r="K1519" t="str">
        <f t="shared" si="46"/>
        <v>January</v>
      </c>
      <c r="L1519">
        <f t="shared" si="47"/>
        <v>2026</v>
      </c>
    </row>
    <row r="1520" spans="1:12" x14ac:dyDescent="0.3">
      <c r="A1520" s="6">
        <v>46034</v>
      </c>
      <c r="B1520" t="s">
        <v>45</v>
      </c>
      <c r="C1520" t="s">
        <v>22</v>
      </c>
      <c r="D1520" t="s">
        <v>156</v>
      </c>
      <c r="E1520" t="s">
        <v>26</v>
      </c>
      <c r="F1520" t="s">
        <v>27</v>
      </c>
      <c r="G1520" t="s">
        <v>82</v>
      </c>
      <c r="H1520">
        <v>104329.65</v>
      </c>
      <c r="I1520">
        <v>3</v>
      </c>
      <c r="J1520">
        <v>17099.98</v>
      </c>
      <c r="K1520" t="str">
        <f t="shared" si="46"/>
        <v>January</v>
      </c>
      <c r="L1520">
        <f t="shared" si="47"/>
        <v>2026</v>
      </c>
    </row>
    <row r="1521" spans="1:12" x14ac:dyDescent="0.3">
      <c r="A1521" s="6">
        <v>46034</v>
      </c>
      <c r="B1521" t="s">
        <v>86</v>
      </c>
      <c r="C1521" t="s">
        <v>58</v>
      </c>
      <c r="D1521" t="s">
        <v>156</v>
      </c>
      <c r="E1521" t="s">
        <v>18</v>
      </c>
      <c r="F1521" t="s">
        <v>40</v>
      </c>
      <c r="G1521" t="s">
        <v>105</v>
      </c>
      <c r="H1521">
        <v>6763.81</v>
      </c>
      <c r="I1521">
        <v>3</v>
      </c>
      <c r="J1521">
        <v>1459.53</v>
      </c>
      <c r="K1521" t="str">
        <f t="shared" si="46"/>
        <v>January</v>
      </c>
      <c r="L1521">
        <f t="shared" si="47"/>
        <v>2026</v>
      </c>
    </row>
    <row r="1522" spans="1:12" x14ac:dyDescent="0.3">
      <c r="A1522" s="6">
        <v>46034</v>
      </c>
      <c r="B1522" t="s">
        <v>21</v>
      </c>
      <c r="C1522" t="s">
        <v>69</v>
      </c>
      <c r="D1522" t="s">
        <v>156</v>
      </c>
      <c r="E1522" t="s">
        <v>13</v>
      </c>
      <c r="F1522" t="s">
        <v>14</v>
      </c>
      <c r="G1522" t="s">
        <v>88</v>
      </c>
      <c r="H1522">
        <v>1424.65</v>
      </c>
      <c r="I1522">
        <v>1</v>
      </c>
      <c r="J1522">
        <v>245</v>
      </c>
      <c r="K1522" t="str">
        <f t="shared" si="46"/>
        <v>January</v>
      </c>
      <c r="L1522">
        <f t="shared" si="47"/>
        <v>2026</v>
      </c>
    </row>
    <row r="1523" spans="1:12" x14ac:dyDescent="0.3">
      <c r="A1523" s="6">
        <v>46034</v>
      </c>
      <c r="B1523" t="s">
        <v>32</v>
      </c>
      <c r="C1523" t="s">
        <v>68</v>
      </c>
      <c r="D1523" t="s">
        <v>156</v>
      </c>
      <c r="E1523" t="s">
        <v>42</v>
      </c>
      <c r="F1523" t="s">
        <v>90</v>
      </c>
      <c r="G1523" t="s">
        <v>97</v>
      </c>
      <c r="H1523">
        <v>2163.73</v>
      </c>
      <c r="I1523">
        <v>1</v>
      </c>
      <c r="J1523">
        <v>241.65</v>
      </c>
      <c r="K1523" t="str">
        <f t="shared" si="46"/>
        <v>January</v>
      </c>
      <c r="L1523">
        <f t="shared" si="47"/>
        <v>2026</v>
      </c>
    </row>
    <row r="1524" spans="1:12" x14ac:dyDescent="0.3">
      <c r="A1524" s="6">
        <v>46034</v>
      </c>
      <c r="B1524" t="s">
        <v>60</v>
      </c>
      <c r="C1524" t="s">
        <v>68</v>
      </c>
      <c r="D1524" t="s">
        <v>156</v>
      </c>
      <c r="E1524" t="s">
        <v>26</v>
      </c>
      <c r="F1524" t="s">
        <v>27</v>
      </c>
      <c r="G1524" t="s">
        <v>94</v>
      </c>
      <c r="H1524">
        <v>12739.73</v>
      </c>
      <c r="I1524">
        <v>1</v>
      </c>
      <c r="J1524">
        <v>-427.51</v>
      </c>
      <c r="K1524" t="str">
        <f t="shared" si="46"/>
        <v>January</v>
      </c>
      <c r="L1524">
        <f t="shared" si="47"/>
        <v>2026</v>
      </c>
    </row>
    <row r="1525" spans="1:12" x14ac:dyDescent="0.3">
      <c r="A1525" s="6">
        <v>46034</v>
      </c>
      <c r="B1525" t="s">
        <v>21</v>
      </c>
      <c r="C1525" t="s">
        <v>66</v>
      </c>
      <c r="D1525" t="s">
        <v>156</v>
      </c>
      <c r="E1525" t="s">
        <v>35</v>
      </c>
      <c r="F1525" t="s">
        <v>63</v>
      </c>
      <c r="G1525" t="s">
        <v>114</v>
      </c>
      <c r="H1525">
        <v>28109.63</v>
      </c>
      <c r="I1525">
        <v>1</v>
      </c>
      <c r="J1525">
        <v>3058.67</v>
      </c>
      <c r="K1525" t="str">
        <f t="shared" si="46"/>
        <v>January</v>
      </c>
      <c r="L1525">
        <f t="shared" si="47"/>
        <v>2026</v>
      </c>
    </row>
    <row r="1526" spans="1:12" x14ac:dyDescent="0.3">
      <c r="A1526" s="6">
        <v>46034</v>
      </c>
      <c r="B1526" t="s">
        <v>32</v>
      </c>
      <c r="C1526" t="s">
        <v>49</v>
      </c>
      <c r="D1526" t="s">
        <v>156</v>
      </c>
      <c r="E1526" t="s">
        <v>26</v>
      </c>
      <c r="F1526" t="s">
        <v>53</v>
      </c>
      <c r="G1526" t="s">
        <v>98</v>
      </c>
      <c r="H1526">
        <v>136539.44</v>
      </c>
      <c r="I1526">
        <v>5</v>
      </c>
      <c r="J1526">
        <v>28048.99</v>
      </c>
      <c r="K1526" t="str">
        <f t="shared" si="46"/>
        <v>January</v>
      </c>
      <c r="L1526">
        <f t="shared" si="47"/>
        <v>2026</v>
      </c>
    </row>
    <row r="1527" spans="1:12" x14ac:dyDescent="0.3">
      <c r="A1527" s="6">
        <v>46035</v>
      </c>
      <c r="B1527" t="s">
        <v>16</v>
      </c>
      <c r="C1527" t="s">
        <v>39</v>
      </c>
      <c r="D1527" t="s">
        <v>156</v>
      </c>
      <c r="E1527" t="s">
        <v>42</v>
      </c>
      <c r="F1527" t="s">
        <v>43</v>
      </c>
      <c r="G1527" t="s">
        <v>89</v>
      </c>
      <c r="H1527">
        <v>137974.10999999999</v>
      </c>
      <c r="I1527">
        <v>4</v>
      </c>
      <c r="J1527">
        <v>19355.55</v>
      </c>
      <c r="K1527" t="str">
        <f t="shared" si="46"/>
        <v>January</v>
      </c>
      <c r="L1527">
        <f t="shared" si="47"/>
        <v>2026</v>
      </c>
    </row>
    <row r="1528" spans="1:12" x14ac:dyDescent="0.3">
      <c r="A1528" s="6">
        <v>46035</v>
      </c>
      <c r="B1528" t="s">
        <v>38</v>
      </c>
      <c r="C1528" t="s">
        <v>68</v>
      </c>
      <c r="D1528" t="s">
        <v>156</v>
      </c>
      <c r="E1528" t="s">
        <v>42</v>
      </c>
      <c r="F1528" t="s">
        <v>43</v>
      </c>
      <c r="G1528" t="s">
        <v>89</v>
      </c>
      <c r="H1528">
        <v>165364.54999999999</v>
      </c>
      <c r="I1528">
        <v>5</v>
      </c>
      <c r="J1528">
        <v>18227.22</v>
      </c>
      <c r="K1528" t="str">
        <f t="shared" si="46"/>
        <v>January</v>
      </c>
      <c r="L1528">
        <f t="shared" si="47"/>
        <v>2026</v>
      </c>
    </row>
    <row r="1529" spans="1:12" x14ac:dyDescent="0.3">
      <c r="A1529" s="6">
        <v>46035</v>
      </c>
      <c r="B1529" t="s">
        <v>16</v>
      </c>
      <c r="C1529" t="s">
        <v>68</v>
      </c>
      <c r="D1529" t="s">
        <v>156</v>
      </c>
      <c r="E1529" t="s">
        <v>35</v>
      </c>
      <c r="F1529" t="s">
        <v>50</v>
      </c>
      <c r="G1529" t="s">
        <v>51</v>
      </c>
      <c r="H1529">
        <v>8982.42</v>
      </c>
      <c r="I1529">
        <v>1</v>
      </c>
      <c r="J1529">
        <v>1067.92</v>
      </c>
      <c r="K1529" t="str">
        <f t="shared" si="46"/>
        <v>January</v>
      </c>
      <c r="L1529">
        <f t="shared" si="47"/>
        <v>2026</v>
      </c>
    </row>
    <row r="1530" spans="1:12" x14ac:dyDescent="0.3">
      <c r="A1530" s="6">
        <v>46035</v>
      </c>
      <c r="B1530" t="s">
        <v>21</v>
      </c>
      <c r="C1530" t="s">
        <v>17</v>
      </c>
      <c r="D1530" t="s">
        <v>156</v>
      </c>
      <c r="E1530" t="s">
        <v>42</v>
      </c>
      <c r="F1530" t="s">
        <v>43</v>
      </c>
      <c r="G1530" t="s">
        <v>87</v>
      </c>
      <c r="H1530">
        <v>10804.61</v>
      </c>
      <c r="I1530">
        <v>1</v>
      </c>
      <c r="J1530">
        <v>818.2</v>
      </c>
      <c r="K1530" t="str">
        <f t="shared" si="46"/>
        <v>January</v>
      </c>
      <c r="L1530">
        <f t="shared" si="47"/>
        <v>2026</v>
      </c>
    </row>
    <row r="1531" spans="1:12" x14ac:dyDescent="0.3">
      <c r="A1531" s="6">
        <v>46036</v>
      </c>
      <c r="B1531" t="s">
        <v>16</v>
      </c>
      <c r="C1531" t="s">
        <v>68</v>
      </c>
      <c r="D1531" t="s">
        <v>156</v>
      </c>
      <c r="E1531" t="s">
        <v>26</v>
      </c>
      <c r="F1531" t="s">
        <v>27</v>
      </c>
      <c r="G1531" t="s">
        <v>94</v>
      </c>
      <c r="H1531">
        <v>11015.79</v>
      </c>
      <c r="I1531">
        <v>1</v>
      </c>
      <c r="J1531">
        <v>2053.71</v>
      </c>
      <c r="K1531" t="str">
        <f t="shared" si="46"/>
        <v>January</v>
      </c>
      <c r="L1531">
        <f t="shared" si="47"/>
        <v>2026</v>
      </c>
    </row>
    <row r="1532" spans="1:12" x14ac:dyDescent="0.3">
      <c r="A1532" s="6">
        <v>46036</v>
      </c>
      <c r="B1532" t="s">
        <v>21</v>
      </c>
      <c r="C1532" t="s">
        <v>81</v>
      </c>
      <c r="D1532" t="s">
        <v>156</v>
      </c>
      <c r="E1532" t="s">
        <v>18</v>
      </c>
      <c r="F1532" t="s">
        <v>40</v>
      </c>
      <c r="G1532" t="s">
        <v>41</v>
      </c>
      <c r="H1532">
        <v>34463.97</v>
      </c>
      <c r="I1532">
        <v>2</v>
      </c>
      <c r="J1532">
        <v>-367.36</v>
      </c>
      <c r="K1532" t="str">
        <f t="shared" si="46"/>
        <v>January</v>
      </c>
      <c r="L1532">
        <f t="shared" si="47"/>
        <v>2026</v>
      </c>
    </row>
    <row r="1533" spans="1:12" x14ac:dyDescent="0.3">
      <c r="A1533" s="6">
        <v>46037</v>
      </c>
      <c r="B1533" t="s">
        <v>45</v>
      </c>
      <c r="C1533" t="s">
        <v>56</v>
      </c>
      <c r="D1533" t="s">
        <v>156</v>
      </c>
      <c r="E1533" t="s">
        <v>13</v>
      </c>
      <c r="F1533" t="s">
        <v>23</v>
      </c>
      <c r="G1533" t="s">
        <v>108</v>
      </c>
      <c r="H1533">
        <v>57603.18</v>
      </c>
      <c r="I1533">
        <v>1</v>
      </c>
      <c r="J1533">
        <v>8426.94</v>
      </c>
      <c r="K1533" t="str">
        <f t="shared" si="46"/>
        <v>January</v>
      </c>
      <c r="L1533">
        <f t="shared" si="47"/>
        <v>2026</v>
      </c>
    </row>
    <row r="1534" spans="1:12" x14ac:dyDescent="0.3">
      <c r="A1534" s="6">
        <v>46039</v>
      </c>
      <c r="B1534" t="s">
        <v>71</v>
      </c>
      <c r="C1534" t="s">
        <v>81</v>
      </c>
      <c r="D1534" t="s">
        <v>156</v>
      </c>
      <c r="E1534" t="s">
        <v>13</v>
      </c>
      <c r="F1534" t="s">
        <v>14</v>
      </c>
      <c r="G1534" t="s">
        <v>15</v>
      </c>
      <c r="H1534">
        <v>4573.93</v>
      </c>
      <c r="I1534">
        <v>2</v>
      </c>
      <c r="J1534">
        <v>498.11</v>
      </c>
      <c r="K1534" t="str">
        <f t="shared" si="46"/>
        <v>January</v>
      </c>
      <c r="L1534">
        <f t="shared" si="47"/>
        <v>2026</v>
      </c>
    </row>
    <row r="1535" spans="1:12" x14ac:dyDescent="0.3">
      <c r="A1535" s="6">
        <v>46039</v>
      </c>
      <c r="B1535" t="s">
        <v>73</v>
      </c>
      <c r="C1535" t="s">
        <v>49</v>
      </c>
      <c r="D1535" t="s">
        <v>156</v>
      </c>
      <c r="E1535" t="s">
        <v>35</v>
      </c>
      <c r="F1535" t="s">
        <v>75</v>
      </c>
      <c r="G1535" t="s">
        <v>76</v>
      </c>
      <c r="H1535">
        <v>111589.45</v>
      </c>
      <c r="I1535">
        <v>3</v>
      </c>
      <c r="J1535">
        <v>19674.96</v>
      </c>
      <c r="K1535" t="str">
        <f t="shared" si="46"/>
        <v>January</v>
      </c>
      <c r="L1535">
        <f t="shared" si="47"/>
        <v>2026</v>
      </c>
    </row>
    <row r="1536" spans="1:12" x14ac:dyDescent="0.3">
      <c r="A1536" s="6">
        <v>46040</v>
      </c>
      <c r="B1536" t="s">
        <v>38</v>
      </c>
      <c r="C1536" t="s">
        <v>49</v>
      </c>
      <c r="D1536" t="s">
        <v>156</v>
      </c>
      <c r="E1536" t="s">
        <v>13</v>
      </c>
      <c r="F1536" t="s">
        <v>14</v>
      </c>
      <c r="G1536" t="s">
        <v>111</v>
      </c>
      <c r="H1536">
        <v>1649.91</v>
      </c>
      <c r="I1536">
        <v>1</v>
      </c>
      <c r="J1536">
        <v>-80.06</v>
      </c>
      <c r="K1536" t="str">
        <f t="shared" si="46"/>
        <v>January</v>
      </c>
      <c r="L1536">
        <f t="shared" si="47"/>
        <v>2026</v>
      </c>
    </row>
    <row r="1537" spans="1:12" x14ac:dyDescent="0.3">
      <c r="A1537" s="6">
        <v>46040</v>
      </c>
      <c r="B1537" t="s">
        <v>109</v>
      </c>
      <c r="C1537" t="s">
        <v>12</v>
      </c>
      <c r="D1537" t="s">
        <v>156</v>
      </c>
      <c r="E1537" t="s">
        <v>35</v>
      </c>
      <c r="F1537" t="s">
        <v>36</v>
      </c>
      <c r="G1537" t="s">
        <v>37</v>
      </c>
      <c r="H1537">
        <v>26114.52</v>
      </c>
      <c r="I1537">
        <v>1</v>
      </c>
      <c r="J1537">
        <v>4223.96</v>
      </c>
      <c r="K1537" t="str">
        <f t="shared" si="46"/>
        <v>January</v>
      </c>
      <c r="L1537">
        <f t="shared" si="47"/>
        <v>2026</v>
      </c>
    </row>
    <row r="1538" spans="1:12" x14ac:dyDescent="0.3">
      <c r="A1538" s="6">
        <v>46041</v>
      </c>
      <c r="B1538" t="s">
        <v>109</v>
      </c>
      <c r="C1538" t="s">
        <v>62</v>
      </c>
      <c r="D1538" t="s">
        <v>156</v>
      </c>
      <c r="E1538" t="s">
        <v>42</v>
      </c>
      <c r="F1538" t="s">
        <v>43</v>
      </c>
      <c r="G1538" t="s">
        <v>87</v>
      </c>
      <c r="H1538">
        <v>21595.5</v>
      </c>
      <c r="I1538">
        <v>2</v>
      </c>
      <c r="J1538">
        <v>2828.19</v>
      </c>
      <c r="K1538" t="str">
        <f t="shared" si="46"/>
        <v>January</v>
      </c>
      <c r="L1538">
        <f t="shared" si="47"/>
        <v>2026</v>
      </c>
    </row>
    <row r="1539" spans="1:12" x14ac:dyDescent="0.3">
      <c r="A1539" s="6">
        <v>46041</v>
      </c>
      <c r="B1539" t="s">
        <v>52</v>
      </c>
      <c r="C1539" t="s">
        <v>69</v>
      </c>
      <c r="D1539" t="s">
        <v>156</v>
      </c>
      <c r="E1539" t="s">
        <v>26</v>
      </c>
      <c r="F1539" t="s">
        <v>27</v>
      </c>
      <c r="G1539" t="s">
        <v>94</v>
      </c>
      <c r="H1539">
        <v>11518.68</v>
      </c>
      <c r="I1539">
        <v>1</v>
      </c>
      <c r="J1539">
        <v>-593.27</v>
      </c>
      <c r="K1539" t="str">
        <f t="shared" ref="K1539:K1602" si="48">TEXT(A1539,"mmmm")</f>
        <v>January</v>
      </c>
      <c r="L1539">
        <f t="shared" ref="L1539:L1602" si="49">YEAR(A1539)</f>
        <v>2026</v>
      </c>
    </row>
    <row r="1540" spans="1:12" x14ac:dyDescent="0.3">
      <c r="A1540" s="6">
        <v>46042</v>
      </c>
      <c r="B1540" t="s">
        <v>21</v>
      </c>
      <c r="C1540" t="s">
        <v>58</v>
      </c>
      <c r="D1540" t="s">
        <v>156</v>
      </c>
      <c r="E1540" t="s">
        <v>26</v>
      </c>
      <c r="F1540" t="s">
        <v>53</v>
      </c>
      <c r="G1540" t="s">
        <v>100</v>
      </c>
      <c r="H1540">
        <v>82553.570000000007</v>
      </c>
      <c r="I1540">
        <v>1</v>
      </c>
      <c r="J1540">
        <v>9127.08</v>
      </c>
      <c r="K1540" t="str">
        <f t="shared" si="48"/>
        <v>January</v>
      </c>
      <c r="L1540">
        <f t="shared" si="49"/>
        <v>2026</v>
      </c>
    </row>
    <row r="1541" spans="1:12" x14ac:dyDescent="0.3">
      <c r="A1541" s="6">
        <v>46042</v>
      </c>
      <c r="B1541" t="s">
        <v>55</v>
      </c>
      <c r="C1541" t="s">
        <v>62</v>
      </c>
      <c r="D1541" t="s">
        <v>156</v>
      </c>
      <c r="E1541" t="s">
        <v>26</v>
      </c>
      <c r="F1541" t="s">
        <v>53</v>
      </c>
      <c r="G1541" t="s">
        <v>104</v>
      </c>
      <c r="H1541">
        <v>157880.78</v>
      </c>
      <c r="I1541">
        <v>2</v>
      </c>
      <c r="J1541">
        <v>32116.639999999999</v>
      </c>
      <c r="K1541" t="str">
        <f t="shared" si="48"/>
        <v>January</v>
      </c>
      <c r="L1541">
        <f t="shared" si="49"/>
        <v>2026</v>
      </c>
    </row>
    <row r="1542" spans="1:12" x14ac:dyDescent="0.3">
      <c r="A1542" s="6">
        <v>46044</v>
      </c>
      <c r="B1542" t="s">
        <v>95</v>
      </c>
      <c r="C1542" t="s">
        <v>49</v>
      </c>
      <c r="D1542" t="s">
        <v>156</v>
      </c>
      <c r="E1542" t="s">
        <v>42</v>
      </c>
      <c r="F1542" t="s">
        <v>43</v>
      </c>
      <c r="G1542" t="s">
        <v>89</v>
      </c>
      <c r="H1542">
        <v>31116.97</v>
      </c>
      <c r="I1542">
        <v>1</v>
      </c>
      <c r="J1542">
        <v>4877.84</v>
      </c>
      <c r="K1542" t="str">
        <f t="shared" si="48"/>
        <v>January</v>
      </c>
      <c r="L1542">
        <f t="shared" si="49"/>
        <v>2026</v>
      </c>
    </row>
    <row r="1543" spans="1:12" x14ac:dyDescent="0.3">
      <c r="A1543" s="6">
        <v>46044</v>
      </c>
      <c r="B1543" t="s">
        <v>71</v>
      </c>
      <c r="C1543" t="s">
        <v>17</v>
      </c>
      <c r="D1543" t="s">
        <v>156</v>
      </c>
      <c r="E1543" t="s">
        <v>26</v>
      </c>
      <c r="F1543" t="s">
        <v>27</v>
      </c>
      <c r="G1543" t="s">
        <v>28</v>
      </c>
      <c r="H1543">
        <v>61667.1</v>
      </c>
      <c r="I1543">
        <v>3</v>
      </c>
      <c r="J1543">
        <v>6988.95</v>
      </c>
      <c r="K1543" t="str">
        <f t="shared" si="48"/>
        <v>January</v>
      </c>
      <c r="L1543">
        <f t="shared" si="49"/>
        <v>2026</v>
      </c>
    </row>
    <row r="1544" spans="1:12" x14ac:dyDescent="0.3">
      <c r="A1544" s="6">
        <v>46044</v>
      </c>
      <c r="B1544" t="s">
        <v>55</v>
      </c>
      <c r="C1544" t="s">
        <v>66</v>
      </c>
      <c r="D1544" t="s">
        <v>156</v>
      </c>
      <c r="E1544" t="s">
        <v>35</v>
      </c>
      <c r="F1544" t="s">
        <v>75</v>
      </c>
      <c r="G1544" t="s">
        <v>76</v>
      </c>
      <c r="H1544">
        <v>88570.94</v>
      </c>
      <c r="I1544">
        <v>2</v>
      </c>
      <c r="J1544">
        <v>-2338.08</v>
      </c>
      <c r="K1544" t="str">
        <f t="shared" si="48"/>
        <v>January</v>
      </c>
      <c r="L1544">
        <f t="shared" si="49"/>
        <v>2026</v>
      </c>
    </row>
    <row r="1545" spans="1:12" x14ac:dyDescent="0.3">
      <c r="A1545" s="6">
        <v>46045</v>
      </c>
      <c r="B1545" t="s">
        <v>11</v>
      </c>
      <c r="C1545" t="s">
        <v>66</v>
      </c>
      <c r="D1545" t="s">
        <v>156</v>
      </c>
      <c r="E1545" t="s">
        <v>13</v>
      </c>
      <c r="F1545" t="s">
        <v>14</v>
      </c>
      <c r="G1545" t="s">
        <v>57</v>
      </c>
      <c r="H1545">
        <v>3312.3</v>
      </c>
      <c r="I1545">
        <v>2</v>
      </c>
      <c r="J1545">
        <v>541.16</v>
      </c>
      <c r="K1545" t="str">
        <f t="shared" si="48"/>
        <v>January</v>
      </c>
      <c r="L1545">
        <f t="shared" si="49"/>
        <v>2026</v>
      </c>
    </row>
    <row r="1546" spans="1:12" x14ac:dyDescent="0.3">
      <c r="A1546" s="6">
        <v>46045</v>
      </c>
      <c r="B1546" t="s">
        <v>103</v>
      </c>
      <c r="C1546" t="s">
        <v>61</v>
      </c>
      <c r="D1546" t="s">
        <v>156</v>
      </c>
      <c r="E1546" t="s">
        <v>18</v>
      </c>
      <c r="F1546" t="s">
        <v>19</v>
      </c>
      <c r="G1546" t="s">
        <v>20</v>
      </c>
      <c r="H1546">
        <v>241032.19</v>
      </c>
      <c r="I1546">
        <v>4</v>
      </c>
      <c r="J1546">
        <v>35662.32</v>
      </c>
      <c r="K1546" t="str">
        <f t="shared" si="48"/>
        <v>January</v>
      </c>
      <c r="L1546">
        <f t="shared" si="49"/>
        <v>2026</v>
      </c>
    </row>
    <row r="1547" spans="1:12" x14ac:dyDescent="0.3">
      <c r="A1547" s="6">
        <v>46046</v>
      </c>
      <c r="B1547" t="s">
        <v>52</v>
      </c>
      <c r="C1547" t="s">
        <v>62</v>
      </c>
      <c r="D1547" t="s">
        <v>156</v>
      </c>
      <c r="E1547" t="s">
        <v>26</v>
      </c>
      <c r="F1547" t="s">
        <v>53</v>
      </c>
      <c r="G1547" t="s">
        <v>96</v>
      </c>
      <c r="H1547">
        <v>65270.59</v>
      </c>
      <c r="I1547">
        <v>1</v>
      </c>
      <c r="J1547">
        <v>9144.17</v>
      </c>
      <c r="K1547" t="str">
        <f t="shared" si="48"/>
        <v>January</v>
      </c>
      <c r="L1547">
        <f t="shared" si="49"/>
        <v>2026</v>
      </c>
    </row>
    <row r="1548" spans="1:12" x14ac:dyDescent="0.3">
      <c r="A1548" s="6">
        <v>46048</v>
      </c>
      <c r="B1548" t="s">
        <v>78</v>
      </c>
      <c r="C1548" t="s">
        <v>49</v>
      </c>
      <c r="D1548" t="s">
        <v>156</v>
      </c>
      <c r="E1548" t="s">
        <v>35</v>
      </c>
      <c r="F1548" t="s">
        <v>36</v>
      </c>
      <c r="G1548" t="s">
        <v>37</v>
      </c>
      <c r="H1548">
        <v>26569.95</v>
      </c>
      <c r="I1548">
        <v>1</v>
      </c>
      <c r="J1548">
        <v>5352.74</v>
      </c>
      <c r="K1548" t="str">
        <f t="shared" si="48"/>
        <v>January</v>
      </c>
      <c r="L1548">
        <f t="shared" si="49"/>
        <v>2026</v>
      </c>
    </row>
    <row r="1549" spans="1:12" x14ac:dyDescent="0.3">
      <c r="A1549" s="6">
        <v>46048</v>
      </c>
      <c r="B1549" t="s">
        <v>73</v>
      </c>
      <c r="C1549" t="s">
        <v>61</v>
      </c>
      <c r="D1549" t="s">
        <v>156</v>
      </c>
      <c r="E1549" t="s">
        <v>18</v>
      </c>
      <c r="F1549" t="s">
        <v>40</v>
      </c>
      <c r="G1549" t="s">
        <v>41</v>
      </c>
      <c r="H1549">
        <v>18201.650000000001</v>
      </c>
      <c r="I1549">
        <v>1</v>
      </c>
      <c r="J1549">
        <v>2320.5</v>
      </c>
      <c r="K1549" t="str">
        <f t="shared" si="48"/>
        <v>January</v>
      </c>
      <c r="L1549">
        <f t="shared" si="49"/>
        <v>2026</v>
      </c>
    </row>
    <row r="1550" spans="1:12" x14ac:dyDescent="0.3">
      <c r="A1550" s="6">
        <v>46048</v>
      </c>
      <c r="B1550" t="s">
        <v>55</v>
      </c>
      <c r="C1550" t="s">
        <v>56</v>
      </c>
      <c r="D1550" t="s">
        <v>156</v>
      </c>
      <c r="E1550" t="s">
        <v>26</v>
      </c>
      <c r="F1550" t="s">
        <v>53</v>
      </c>
      <c r="G1550" t="s">
        <v>104</v>
      </c>
      <c r="H1550">
        <v>251718.81</v>
      </c>
      <c r="I1550">
        <v>3</v>
      </c>
      <c r="J1550">
        <v>52607.14</v>
      </c>
      <c r="K1550" t="str">
        <f t="shared" si="48"/>
        <v>January</v>
      </c>
      <c r="L1550">
        <f t="shared" si="49"/>
        <v>2026</v>
      </c>
    </row>
    <row r="1551" spans="1:12" x14ac:dyDescent="0.3">
      <c r="A1551" s="6">
        <v>46048</v>
      </c>
      <c r="B1551" t="s">
        <v>73</v>
      </c>
      <c r="C1551" t="s">
        <v>62</v>
      </c>
      <c r="D1551" t="s">
        <v>156</v>
      </c>
      <c r="E1551" t="s">
        <v>35</v>
      </c>
      <c r="F1551" t="s">
        <v>50</v>
      </c>
      <c r="G1551" t="s">
        <v>51</v>
      </c>
      <c r="H1551">
        <v>7811.7</v>
      </c>
      <c r="I1551">
        <v>1</v>
      </c>
      <c r="J1551">
        <v>991.36</v>
      </c>
      <c r="K1551" t="str">
        <f t="shared" si="48"/>
        <v>January</v>
      </c>
      <c r="L1551">
        <f t="shared" si="49"/>
        <v>2026</v>
      </c>
    </row>
    <row r="1552" spans="1:12" x14ac:dyDescent="0.3">
      <c r="A1552" s="6">
        <v>46049</v>
      </c>
      <c r="B1552" t="s">
        <v>74</v>
      </c>
      <c r="C1552" t="s">
        <v>61</v>
      </c>
      <c r="D1552" t="s">
        <v>156</v>
      </c>
      <c r="E1552" t="s">
        <v>13</v>
      </c>
      <c r="F1552" t="s">
        <v>14</v>
      </c>
      <c r="G1552" t="s">
        <v>70</v>
      </c>
      <c r="H1552">
        <v>2757.63</v>
      </c>
      <c r="I1552">
        <v>1</v>
      </c>
      <c r="J1552">
        <v>521.28</v>
      </c>
      <c r="K1552" t="str">
        <f t="shared" si="48"/>
        <v>January</v>
      </c>
      <c r="L1552">
        <f t="shared" si="49"/>
        <v>2026</v>
      </c>
    </row>
    <row r="1553" spans="1:12" x14ac:dyDescent="0.3">
      <c r="A1553" s="6">
        <v>46050</v>
      </c>
      <c r="B1553" t="s">
        <v>48</v>
      </c>
      <c r="C1553" t="s">
        <v>22</v>
      </c>
      <c r="D1553" t="s">
        <v>156</v>
      </c>
      <c r="E1553" t="s">
        <v>13</v>
      </c>
      <c r="F1553" t="s">
        <v>23</v>
      </c>
      <c r="G1553" t="s">
        <v>24</v>
      </c>
      <c r="H1553">
        <v>108130.01</v>
      </c>
      <c r="I1553">
        <v>2</v>
      </c>
      <c r="J1553">
        <v>-3654.93</v>
      </c>
      <c r="K1553" t="str">
        <f t="shared" si="48"/>
        <v>January</v>
      </c>
      <c r="L1553">
        <f t="shared" si="49"/>
        <v>2026</v>
      </c>
    </row>
    <row r="1554" spans="1:12" x14ac:dyDescent="0.3">
      <c r="A1554" s="6">
        <v>46050</v>
      </c>
      <c r="B1554" t="s">
        <v>11</v>
      </c>
      <c r="C1554" t="s">
        <v>81</v>
      </c>
      <c r="D1554" t="s">
        <v>156</v>
      </c>
      <c r="E1554" t="s">
        <v>26</v>
      </c>
      <c r="F1554" t="s">
        <v>27</v>
      </c>
      <c r="G1554" t="s">
        <v>31</v>
      </c>
      <c r="H1554">
        <v>8526.17</v>
      </c>
      <c r="I1554">
        <v>1</v>
      </c>
      <c r="J1554">
        <v>1153.74</v>
      </c>
      <c r="K1554" t="str">
        <f t="shared" si="48"/>
        <v>January</v>
      </c>
      <c r="L1554">
        <f t="shared" si="49"/>
        <v>2026</v>
      </c>
    </row>
    <row r="1555" spans="1:12" x14ac:dyDescent="0.3">
      <c r="A1555" s="6">
        <v>46050</v>
      </c>
      <c r="B1555" t="s">
        <v>71</v>
      </c>
      <c r="C1555" t="s">
        <v>62</v>
      </c>
      <c r="D1555" t="s">
        <v>156</v>
      </c>
      <c r="E1555" t="s">
        <v>18</v>
      </c>
      <c r="F1555" t="s">
        <v>40</v>
      </c>
      <c r="G1555" t="s">
        <v>115</v>
      </c>
      <c r="H1555">
        <v>20730.849999999999</v>
      </c>
      <c r="I1555">
        <v>2</v>
      </c>
      <c r="J1555">
        <v>3548.14</v>
      </c>
      <c r="K1555" t="str">
        <f t="shared" si="48"/>
        <v>January</v>
      </c>
      <c r="L1555">
        <f t="shared" si="49"/>
        <v>2026</v>
      </c>
    </row>
    <row r="1556" spans="1:12" x14ac:dyDescent="0.3">
      <c r="A1556" s="6">
        <v>46051</v>
      </c>
      <c r="B1556" t="s">
        <v>78</v>
      </c>
      <c r="C1556" t="s">
        <v>66</v>
      </c>
      <c r="D1556" t="s">
        <v>156</v>
      </c>
      <c r="E1556" t="s">
        <v>13</v>
      </c>
      <c r="F1556" t="s">
        <v>23</v>
      </c>
      <c r="G1556" t="s">
        <v>24</v>
      </c>
      <c r="H1556">
        <v>116570.14</v>
      </c>
      <c r="I1556">
        <v>2</v>
      </c>
      <c r="J1556">
        <v>24236.07</v>
      </c>
      <c r="K1556" t="str">
        <f t="shared" si="48"/>
        <v>January</v>
      </c>
      <c r="L1556">
        <f t="shared" si="49"/>
        <v>2026</v>
      </c>
    </row>
    <row r="1557" spans="1:12" x14ac:dyDescent="0.3">
      <c r="A1557" s="6">
        <v>46052</v>
      </c>
      <c r="B1557" t="s">
        <v>45</v>
      </c>
      <c r="C1557" t="s">
        <v>49</v>
      </c>
      <c r="D1557" t="s">
        <v>156</v>
      </c>
      <c r="E1557" t="s">
        <v>42</v>
      </c>
      <c r="F1557" t="s">
        <v>90</v>
      </c>
      <c r="G1557" t="s">
        <v>120</v>
      </c>
      <c r="H1557">
        <v>16463.63</v>
      </c>
      <c r="I1557">
        <v>3</v>
      </c>
      <c r="J1557">
        <v>1434.07</v>
      </c>
      <c r="K1557" t="str">
        <f t="shared" si="48"/>
        <v>January</v>
      </c>
      <c r="L1557">
        <f t="shared" si="49"/>
        <v>2026</v>
      </c>
    </row>
    <row r="1558" spans="1:12" x14ac:dyDescent="0.3">
      <c r="A1558" s="6">
        <v>46053</v>
      </c>
      <c r="B1558" t="s">
        <v>74</v>
      </c>
      <c r="C1558" t="s">
        <v>17</v>
      </c>
      <c r="D1558" t="s">
        <v>156</v>
      </c>
      <c r="E1558" t="s">
        <v>42</v>
      </c>
      <c r="F1558" t="s">
        <v>90</v>
      </c>
      <c r="G1558" t="s">
        <v>91</v>
      </c>
      <c r="H1558">
        <v>5326.13</v>
      </c>
      <c r="I1558">
        <v>3</v>
      </c>
      <c r="J1558">
        <v>708.87</v>
      </c>
      <c r="K1558" t="str">
        <f t="shared" si="48"/>
        <v>January</v>
      </c>
      <c r="L1558">
        <f t="shared" si="49"/>
        <v>2026</v>
      </c>
    </row>
    <row r="1559" spans="1:12" x14ac:dyDescent="0.3">
      <c r="A1559" s="6">
        <v>46054</v>
      </c>
      <c r="B1559" t="s">
        <v>45</v>
      </c>
      <c r="C1559" t="s">
        <v>62</v>
      </c>
      <c r="D1559" t="s">
        <v>156</v>
      </c>
      <c r="E1559" t="s">
        <v>35</v>
      </c>
      <c r="F1559" t="s">
        <v>50</v>
      </c>
      <c r="G1559" t="s">
        <v>118</v>
      </c>
      <c r="H1559">
        <v>13174.04</v>
      </c>
      <c r="I1559">
        <v>2</v>
      </c>
      <c r="J1559">
        <v>2850.24</v>
      </c>
      <c r="K1559" t="str">
        <f t="shared" si="48"/>
        <v>February</v>
      </c>
      <c r="L1559">
        <f t="shared" si="49"/>
        <v>2026</v>
      </c>
    </row>
    <row r="1560" spans="1:12" x14ac:dyDescent="0.3">
      <c r="A1560" s="6">
        <v>46054</v>
      </c>
      <c r="B1560" t="s">
        <v>55</v>
      </c>
      <c r="C1560" t="s">
        <v>62</v>
      </c>
      <c r="D1560" t="s">
        <v>156</v>
      </c>
      <c r="E1560" t="s">
        <v>13</v>
      </c>
      <c r="F1560" t="s">
        <v>14</v>
      </c>
      <c r="G1560" t="s">
        <v>57</v>
      </c>
      <c r="H1560">
        <v>6505.22</v>
      </c>
      <c r="I1560">
        <v>4</v>
      </c>
      <c r="J1560">
        <v>907.43</v>
      </c>
      <c r="K1560" t="str">
        <f t="shared" si="48"/>
        <v>February</v>
      </c>
      <c r="L1560">
        <f t="shared" si="49"/>
        <v>2026</v>
      </c>
    </row>
    <row r="1561" spans="1:12" x14ac:dyDescent="0.3">
      <c r="A1561" s="6">
        <v>46054</v>
      </c>
      <c r="B1561" t="s">
        <v>86</v>
      </c>
      <c r="C1561" t="s">
        <v>61</v>
      </c>
      <c r="D1561" t="s">
        <v>156</v>
      </c>
      <c r="E1561" t="s">
        <v>26</v>
      </c>
      <c r="F1561" t="s">
        <v>53</v>
      </c>
      <c r="G1561" t="s">
        <v>104</v>
      </c>
      <c r="H1561">
        <v>147970.25</v>
      </c>
      <c r="I1561">
        <v>2</v>
      </c>
      <c r="J1561">
        <v>24735.42</v>
      </c>
      <c r="K1561" t="str">
        <f t="shared" si="48"/>
        <v>February</v>
      </c>
      <c r="L1561">
        <f t="shared" si="49"/>
        <v>2026</v>
      </c>
    </row>
    <row r="1562" spans="1:12" x14ac:dyDescent="0.3">
      <c r="A1562" s="6">
        <v>46055</v>
      </c>
      <c r="B1562" t="s">
        <v>38</v>
      </c>
      <c r="C1562" t="s">
        <v>62</v>
      </c>
      <c r="D1562" t="s">
        <v>156</v>
      </c>
      <c r="E1562" t="s">
        <v>35</v>
      </c>
      <c r="F1562" t="s">
        <v>63</v>
      </c>
      <c r="G1562" t="s">
        <v>114</v>
      </c>
      <c r="H1562">
        <v>28572.59</v>
      </c>
      <c r="I1562">
        <v>1</v>
      </c>
      <c r="J1562">
        <v>3292.26</v>
      </c>
      <c r="K1562" t="str">
        <f t="shared" si="48"/>
        <v>February</v>
      </c>
      <c r="L1562">
        <f t="shared" si="49"/>
        <v>2026</v>
      </c>
    </row>
    <row r="1563" spans="1:12" x14ac:dyDescent="0.3">
      <c r="A1563" s="6">
        <v>46055</v>
      </c>
      <c r="B1563" t="s">
        <v>109</v>
      </c>
      <c r="C1563" t="s">
        <v>12</v>
      </c>
      <c r="D1563" t="s">
        <v>156</v>
      </c>
      <c r="E1563" t="s">
        <v>18</v>
      </c>
      <c r="F1563" t="s">
        <v>19</v>
      </c>
      <c r="G1563" t="s">
        <v>20</v>
      </c>
      <c r="H1563">
        <v>57382.15</v>
      </c>
      <c r="I1563">
        <v>1</v>
      </c>
      <c r="J1563">
        <v>6285.84</v>
      </c>
      <c r="K1563" t="str">
        <f t="shared" si="48"/>
        <v>February</v>
      </c>
      <c r="L1563">
        <f t="shared" si="49"/>
        <v>2026</v>
      </c>
    </row>
    <row r="1564" spans="1:12" x14ac:dyDescent="0.3">
      <c r="A1564" s="6">
        <v>46055</v>
      </c>
      <c r="B1564" t="s">
        <v>55</v>
      </c>
      <c r="C1564" t="s">
        <v>49</v>
      </c>
      <c r="D1564" t="s">
        <v>156</v>
      </c>
      <c r="E1564" t="s">
        <v>35</v>
      </c>
      <c r="F1564" t="s">
        <v>75</v>
      </c>
      <c r="G1564" t="s">
        <v>110</v>
      </c>
      <c r="H1564">
        <v>47025.36</v>
      </c>
      <c r="I1564">
        <v>1</v>
      </c>
      <c r="J1564">
        <v>7237.37</v>
      </c>
      <c r="K1564" t="str">
        <f t="shared" si="48"/>
        <v>February</v>
      </c>
      <c r="L1564">
        <f t="shared" si="49"/>
        <v>2026</v>
      </c>
    </row>
    <row r="1565" spans="1:12" x14ac:dyDescent="0.3">
      <c r="A1565" s="6">
        <v>46056</v>
      </c>
      <c r="B1565" t="s">
        <v>65</v>
      </c>
      <c r="C1565" t="s">
        <v>62</v>
      </c>
      <c r="D1565" t="s">
        <v>156</v>
      </c>
      <c r="E1565" t="s">
        <v>35</v>
      </c>
      <c r="F1565" t="s">
        <v>63</v>
      </c>
      <c r="G1565" t="s">
        <v>64</v>
      </c>
      <c r="H1565">
        <v>26628.57</v>
      </c>
      <c r="I1565">
        <v>1</v>
      </c>
      <c r="J1565">
        <v>1971.37</v>
      </c>
      <c r="K1565" t="str">
        <f t="shared" si="48"/>
        <v>February</v>
      </c>
      <c r="L1565">
        <f t="shared" si="49"/>
        <v>2026</v>
      </c>
    </row>
    <row r="1566" spans="1:12" x14ac:dyDescent="0.3">
      <c r="A1566" s="6">
        <v>46057</v>
      </c>
      <c r="B1566" t="s">
        <v>80</v>
      </c>
      <c r="C1566" t="s">
        <v>68</v>
      </c>
      <c r="D1566" t="s">
        <v>156</v>
      </c>
      <c r="E1566" t="s">
        <v>18</v>
      </c>
      <c r="F1566" t="s">
        <v>40</v>
      </c>
      <c r="G1566" t="s">
        <v>115</v>
      </c>
      <c r="H1566">
        <v>34901.599999999999</v>
      </c>
      <c r="I1566">
        <v>3</v>
      </c>
      <c r="J1566">
        <v>6249.22</v>
      </c>
      <c r="K1566" t="str">
        <f t="shared" si="48"/>
        <v>February</v>
      </c>
      <c r="L1566">
        <f t="shared" si="49"/>
        <v>2026</v>
      </c>
    </row>
    <row r="1567" spans="1:12" x14ac:dyDescent="0.3">
      <c r="A1567" s="6">
        <v>46057</v>
      </c>
      <c r="B1567" t="s">
        <v>74</v>
      </c>
      <c r="C1567" t="s">
        <v>49</v>
      </c>
      <c r="D1567" t="s">
        <v>156</v>
      </c>
      <c r="E1567" t="s">
        <v>35</v>
      </c>
      <c r="F1567" t="s">
        <v>63</v>
      </c>
      <c r="G1567" t="s">
        <v>114</v>
      </c>
      <c r="H1567">
        <v>75069.47</v>
      </c>
      <c r="I1567">
        <v>3</v>
      </c>
      <c r="J1567">
        <v>-1692.65</v>
      </c>
      <c r="K1567" t="str">
        <f t="shared" si="48"/>
        <v>February</v>
      </c>
      <c r="L1567">
        <f t="shared" si="49"/>
        <v>2026</v>
      </c>
    </row>
    <row r="1568" spans="1:12" x14ac:dyDescent="0.3">
      <c r="A1568" s="6">
        <v>46058</v>
      </c>
      <c r="B1568" t="s">
        <v>109</v>
      </c>
      <c r="C1568" t="s">
        <v>58</v>
      </c>
      <c r="D1568" t="s">
        <v>156</v>
      </c>
      <c r="E1568" t="s">
        <v>13</v>
      </c>
      <c r="F1568" t="s">
        <v>23</v>
      </c>
      <c r="G1568" t="s">
        <v>47</v>
      </c>
      <c r="H1568">
        <v>126716.97</v>
      </c>
      <c r="I1568">
        <v>2</v>
      </c>
      <c r="J1568">
        <v>-3416.19</v>
      </c>
      <c r="K1568" t="str">
        <f t="shared" si="48"/>
        <v>February</v>
      </c>
      <c r="L1568">
        <f t="shared" si="49"/>
        <v>2026</v>
      </c>
    </row>
    <row r="1569" spans="1:12" x14ac:dyDescent="0.3">
      <c r="A1569" s="6">
        <v>46058</v>
      </c>
      <c r="B1569" t="s">
        <v>25</v>
      </c>
      <c r="C1569" t="s">
        <v>39</v>
      </c>
      <c r="D1569" t="s">
        <v>156</v>
      </c>
      <c r="E1569" t="s">
        <v>26</v>
      </c>
      <c r="F1569" t="s">
        <v>27</v>
      </c>
      <c r="G1569" t="s">
        <v>31</v>
      </c>
      <c r="H1569">
        <v>36775.32</v>
      </c>
      <c r="I1569">
        <v>4</v>
      </c>
      <c r="J1569">
        <v>5124.03</v>
      </c>
      <c r="K1569" t="str">
        <f t="shared" si="48"/>
        <v>February</v>
      </c>
      <c r="L1569">
        <f t="shared" si="49"/>
        <v>2026</v>
      </c>
    </row>
    <row r="1570" spans="1:12" x14ac:dyDescent="0.3">
      <c r="A1570" s="6">
        <v>46059</v>
      </c>
      <c r="B1570" t="s">
        <v>55</v>
      </c>
      <c r="C1570" t="s">
        <v>81</v>
      </c>
      <c r="D1570" t="s">
        <v>156</v>
      </c>
      <c r="E1570" t="s">
        <v>42</v>
      </c>
      <c r="F1570" t="s">
        <v>43</v>
      </c>
      <c r="G1570" t="s">
        <v>87</v>
      </c>
      <c r="H1570">
        <v>10246.49</v>
      </c>
      <c r="I1570">
        <v>1</v>
      </c>
      <c r="J1570">
        <v>1226.4000000000001</v>
      </c>
      <c r="K1570" t="str">
        <f t="shared" si="48"/>
        <v>February</v>
      </c>
      <c r="L1570">
        <f t="shared" si="49"/>
        <v>2026</v>
      </c>
    </row>
    <row r="1571" spans="1:12" x14ac:dyDescent="0.3">
      <c r="A1571" s="6">
        <v>46059</v>
      </c>
      <c r="B1571" t="s">
        <v>67</v>
      </c>
      <c r="C1571" t="s">
        <v>17</v>
      </c>
      <c r="D1571" t="s">
        <v>156</v>
      </c>
      <c r="E1571" t="s">
        <v>18</v>
      </c>
      <c r="F1571" t="s">
        <v>19</v>
      </c>
      <c r="G1571" t="s">
        <v>106</v>
      </c>
      <c r="H1571">
        <v>96991.23</v>
      </c>
      <c r="I1571">
        <v>1</v>
      </c>
      <c r="J1571">
        <v>12692.47</v>
      </c>
      <c r="K1571" t="str">
        <f t="shared" si="48"/>
        <v>February</v>
      </c>
      <c r="L1571">
        <f t="shared" si="49"/>
        <v>2026</v>
      </c>
    </row>
    <row r="1572" spans="1:12" x14ac:dyDescent="0.3">
      <c r="A1572" s="6">
        <v>46059</v>
      </c>
      <c r="B1572" t="s">
        <v>65</v>
      </c>
      <c r="C1572" t="s">
        <v>56</v>
      </c>
      <c r="D1572" t="s">
        <v>156</v>
      </c>
      <c r="E1572" t="s">
        <v>35</v>
      </c>
      <c r="F1572" t="s">
        <v>63</v>
      </c>
      <c r="G1572" t="s">
        <v>112</v>
      </c>
      <c r="H1572">
        <v>81236.05</v>
      </c>
      <c r="I1572">
        <v>3</v>
      </c>
      <c r="J1572">
        <v>6206.96</v>
      </c>
      <c r="K1572" t="str">
        <f t="shared" si="48"/>
        <v>February</v>
      </c>
      <c r="L1572">
        <f t="shared" si="49"/>
        <v>2026</v>
      </c>
    </row>
    <row r="1573" spans="1:12" x14ac:dyDescent="0.3">
      <c r="A1573" s="6">
        <v>46059</v>
      </c>
      <c r="B1573" t="s">
        <v>78</v>
      </c>
      <c r="C1573" t="s">
        <v>62</v>
      </c>
      <c r="D1573" t="s">
        <v>156</v>
      </c>
      <c r="E1573" t="s">
        <v>35</v>
      </c>
      <c r="F1573" t="s">
        <v>36</v>
      </c>
      <c r="G1573" t="s">
        <v>84</v>
      </c>
      <c r="H1573">
        <v>59982.49</v>
      </c>
      <c r="I1573">
        <v>2</v>
      </c>
      <c r="J1573">
        <v>8972.4</v>
      </c>
      <c r="K1573" t="str">
        <f t="shared" si="48"/>
        <v>February</v>
      </c>
      <c r="L1573">
        <f t="shared" si="49"/>
        <v>2026</v>
      </c>
    </row>
    <row r="1574" spans="1:12" x14ac:dyDescent="0.3">
      <c r="A1574" s="6">
        <v>46060</v>
      </c>
      <c r="B1574" t="s">
        <v>32</v>
      </c>
      <c r="C1574" t="s">
        <v>62</v>
      </c>
      <c r="D1574" t="s">
        <v>156</v>
      </c>
      <c r="E1574" t="s">
        <v>13</v>
      </c>
      <c r="F1574" t="s">
        <v>23</v>
      </c>
      <c r="G1574" t="s">
        <v>79</v>
      </c>
      <c r="H1574">
        <v>67907.58</v>
      </c>
      <c r="I1574">
        <v>1</v>
      </c>
      <c r="J1574">
        <v>8500.82</v>
      </c>
      <c r="K1574" t="str">
        <f t="shared" si="48"/>
        <v>February</v>
      </c>
      <c r="L1574">
        <f t="shared" si="49"/>
        <v>2026</v>
      </c>
    </row>
    <row r="1575" spans="1:12" x14ac:dyDescent="0.3">
      <c r="A1575" s="6">
        <v>46060</v>
      </c>
      <c r="B1575" t="s">
        <v>86</v>
      </c>
      <c r="C1575" t="s">
        <v>61</v>
      </c>
      <c r="D1575" t="s">
        <v>156</v>
      </c>
      <c r="E1575" t="s">
        <v>42</v>
      </c>
      <c r="F1575" t="s">
        <v>43</v>
      </c>
      <c r="G1575" t="s">
        <v>44</v>
      </c>
      <c r="H1575">
        <v>13184.66</v>
      </c>
      <c r="I1575">
        <v>1</v>
      </c>
      <c r="J1575">
        <v>1579.82</v>
      </c>
      <c r="K1575" t="str">
        <f t="shared" si="48"/>
        <v>February</v>
      </c>
      <c r="L1575">
        <f t="shared" si="49"/>
        <v>2026</v>
      </c>
    </row>
    <row r="1576" spans="1:12" x14ac:dyDescent="0.3">
      <c r="A1576" s="6">
        <v>46060</v>
      </c>
      <c r="B1576" t="s">
        <v>71</v>
      </c>
      <c r="C1576" t="s">
        <v>46</v>
      </c>
      <c r="D1576" t="s">
        <v>156</v>
      </c>
      <c r="E1576" t="s">
        <v>13</v>
      </c>
      <c r="F1576" t="s">
        <v>23</v>
      </c>
      <c r="G1576" t="s">
        <v>108</v>
      </c>
      <c r="H1576">
        <v>58679.16</v>
      </c>
      <c r="I1576">
        <v>1</v>
      </c>
      <c r="J1576">
        <v>10523.26</v>
      </c>
      <c r="K1576" t="str">
        <f t="shared" si="48"/>
        <v>February</v>
      </c>
      <c r="L1576">
        <f t="shared" si="49"/>
        <v>2026</v>
      </c>
    </row>
    <row r="1577" spans="1:12" x14ac:dyDescent="0.3">
      <c r="A1577" s="6">
        <v>46060</v>
      </c>
      <c r="B1577" t="s">
        <v>48</v>
      </c>
      <c r="C1577" t="s">
        <v>81</v>
      </c>
      <c r="D1577" t="s">
        <v>156</v>
      </c>
      <c r="E1577" t="s">
        <v>18</v>
      </c>
      <c r="F1577" t="s">
        <v>19</v>
      </c>
      <c r="G1577" t="s">
        <v>33</v>
      </c>
      <c r="H1577">
        <v>53115.44</v>
      </c>
      <c r="I1577">
        <v>1</v>
      </c>
      <c r="J1577">
        <v>6905.02</v>
      </c>
      <c r="K1577" t="str">
        <f t="shared" si="48"/>
        <v>February</v>
      </c>
      <c r="L1577">
        <f t="shared" si="49"/>
        <v>2026</v>
      </c>
    </row>
    <row r="1578" spans="1:12" x14ac:dyDescent="0.3">
      <c r="A1578" s="6">
        <v>46061</v>
      </c>
      <c r="B1578" t="s">
        <v>80</v>
      </c>
      <c r="C1578" t="s">
        <v>49</v>
      </c>
      <c r="D1578" t="s">
        <v>156</v>
      </c>
      <c r="E1578" t="s">
        <v>26</v>
      </c>
      <c r="F1578" t="s">
        <v>53</v>
      </c>
      <c r="G1578" t="s">
        <v>98</v>
      </c>
      <c r="H1578">
        <v>87181.07</v>
      </c>
      <c r="I1578">
        <v>3</v>
      </c>
      <c r="J1578">
        <v>13000.55</v>
      </c>
      <c r="K1578" t="str">
        <f t="shared" si="48"/>
        <v>February</v>
      </c>
      <c r="L1578">
        <f t="shared" si="49"/>
        <v>2026</v>
      </c>
    </row>
    <row r="1579" spans="1:12" x14ac:dyDescent="0.3">
      <c r="A1579" s="6">
        <v>46061</v>
      </c>
      <c r="B1579" t="s">
        <v>25</v>
      </c>
      <c r="C1579" t="s">
        <v>62</v>
      </c>
      <c r="D1579" t="s">
        <v>156</v>
      </c>
      <c r="E1579" t="s">
        <v>18</v>
      </c>
      <c r="F1579" t="s">
        <v>40</v>
      </c>
      <c r="G1579" t="s">
        <v>117</v>
      </c>
      <c r="H1579">
        <v>5073.21</v>
      </c>
      <c r="I1579">
        <v>2</v>
      </c>
      <c r="J1579">
        <v>737.29</v>
      </c>
      <c r="K1579" t="str">
        <f t="shared" si="48"/>
        <v>February</v>
      </c>
      <c r="L1579">
        <f t="shared" si="49"/>
        <v>2026</v>
      </c>
    </row>
    <row r="1580" spans="1:12" x14ac:dyDescent="0.3">
      <c r="A1580" s="6">
        <v>46061</v>
      </c>
      <c r="B1580" t="s">
        <v>65</v>
      </c>
      <c r="C1580" t="s">
        <v>68</v>
      </c>
      <c r="D1580" t="s">
        <v>156</v>
      </c>
      <c r="E1580" t="s">
        <v>42</v>
      </c>
      <c r="F1580" t="s">
        <v>43</v>
      </c>
      <c r="G1580" t="s">
        <v>87</v>
      </c>
      <c r="H1580">
        <v>21665.040000000001</v>
      </c>
      <c r="I1580">
        <v>2</v>
      </c>
      <c r="J1580">
        <v>-547.30999999999995</v>
      </c>
      <c r="K1580" t="str">
        <f t="shared" si="48"/>
        <v>February</v>
      </c>
      <c r="L1580">
        <f t="shared" si="49"/>
        <v>2026</v>
      </c>
    </row>
    <row r="1581" spans="1:12" x14ac:dyDescent="0.3">
      <c r="A1581" s="6">
        <v>46062</v>
      </c>
      <c r="B1581" t="s">
        <v>38</v>
      </c>
      <c r="C1581" t="s">
        <v>66</v>
      </c>
      <c r="D1581" t="s">
        <v>156</v>
      </c>
      <c r="E1581" t="s">
        <v>42</v>
      </c>
      <c r="F1581" t="s">
        <v>90</v>
      </c>
      <c r="G1581" t="s">
        <v>120</v>
      </c>
      <c r="H1581">
        <v>16537.82</v>
      </c>
      <c r="I1581">
        <v>3</v>
      </c>
      <c r="J1581">
        <v>3027.63</v>
      </c>
      <c r="K1581" t="str">
        <f t="shared" si="48"/>
        <v>February</v>
      </c>
      <c r="L1581">
        <f t="shared" si="49"/>
        <v>2026</v>
      </c>
    </row>
    <row r="1582" spans="1:12" x14ac:dyDescent="0.3">
      <c r="A1582" s="6">
        <v>46063</v>
      </c>
      <c r="B1582" t="s">
        <v>113</v>
      </c>
      <c r="C1582" t="s">
        <v>12</v>
      </c>
      <c r="D1582" t="s">
        <v>156</v>
      </c>
      <c r="E1582" t="s">
        <v>13</v>
      </c>
      <c r="F1582" t="s">
        <v>14</v>
      </c>
      <c r="G1582" t="s">
        <v>88</v>
      </c>
      <c r="H1582">
        <v>3882.1</v>
      </c>
      <c r="I1582">
        <v>3</v>
      </c>
      <c r="J1582">
        <v>440.56</v>
      </c>
      <c r="K1582" t="str">
        <f t="shared" si="48"/>
        <v>February</v>
      </c>
      <c r="L1582">
        <f t="shared" si="49"/>
        <v>2026</v>
      </c>
    </row>
    <row r="1583" spans="1:12" x14ac:dyDescent="0.3">
      <c r="A1583" s="6">
        <v>46064</v>
      </c>
      <c r="B1583" t="s">
        <v>45</v>
      </c>
      <c r="C1583" t="s">
        <v>56</v>
      </c>
      <c r="D1583" t="s">
        <v>156</v>
      </c>
      <c r="E1583" t="s">
        <v>26</v>
      </c>
      <c r="F1583" t="s">
        <v>27</v>
      </c>
      <c r="G1583" t="s">
        <v>94</v>
      </c>
      <c r="H1583">
        <v>12030.11</v>
      </c>
      <c r="I1583">
        <v>1</v>
      </c>
      <c r="J1583">
        <v>984.05</v>
      </c>
      <c r="K1583" t="str">
        <f t="shared" si="48"/>
        <v>February</v>
      </c>
      <c r="L1583">
        <f t="shared" si="49"/>
        <v>2026</v>
      </c>
    </row>
    <row r="1584" spans="1:12" x14ac:dyDescent="0.3">
      <c r="A1584" s="6">
        <v>46064</v>
      </c>
      <c r="B1584" t="s">
        <v>113</v>
      </c>
      <c r="C1584" t="s">
        <v>12</v>
      </c>
      <c r="D1584" t="s">
        <v>156</v>
      </c>
      <c r="E1584" t="s">
        <v>18</v>
      </c>
      <c r="F1584" t="s">
        <v>40</v>
      </c>
      <c r="G1584" t="s">
        <v>105</v>
      </c>
      <c r="H1584">
        <v>2125.29</v>
      </c>
      <c r="I1584">
        <v>1</v>
      </c>
      <c r="J1584">
        <v>218.46</v>
      </c>
      <c r="K1584" t="str">
        <f t="shared" si="48"/>
        <v>February</v>
      </c>
      <c r="L1584">
        <f t="shared" si="49"/>
        <v>2026</v>
      </c>
    </row>
    <row r="1585" spans="1:12" x14ac:dyDescent="0.3">
      <c r="A1585" s="6">
        <v>46065</v>
      </c>
      <c r="B1585" t="s">
        <v>78</v>
      </c>
      <c r="C1585" t="s">
        <v>81</v>
      </c>
      <c r="D1585" t="s">
        <v>156</v>
      </c>
      <c r="E1585" t="s">
        <v>42</v>
      </c>
      <c r="F1585" t="s">
        <v>43</v>
      </c>
      <c r="G1585" t="s">
        <v>89</v>
      </c>
      <c r="H1585">
        <v>30920.48</v>
      </c>
      <c r="I1585">
        <v>1</v>
      </c>
      <c r="J1585">
        <v>2947.88</v>
      </c>
      <c r="K1585" t="str">
        <f t="shared" si="48"/>
        <v>February</v>
      </c>
      <c r="L1585">
        <f t="shared" si="49"/>
        <v>2026</v>
      </c>
    </row>
    <row r="1586" spans="1:12" x14ac:dyDescent="0.3">
      <c r="A1586" s="6">
        <v>46065</v>
      </c>
      <c r="B1586" t="s">
        <v>55</v>
      </c>
      <c r="C1586" t="s">
        <v>22</v>
      </c>
      <c r="D1586" t="s">
        <v>156</v>
      </c>
      <c r="E1586" t="s">
        <v>42</v>
      </c>
      <c r="F1586" t="s">
        <v>90</v>
      </c>
      <c r="G1586" t="s">
        <v>120</v>
      </c>
      <c r="H1586">
        <v>9947.8700000000008</v>
      </c>
      <c r="I1586">
        <v>2</v>
      </c>
      <c r="J1586">
        <v>1339.84</v>
      </c>
      <c r="K1586" t="str">
        <f t="shared" si="48"/>
        <v>February</v>
      </c>
      <c r="L1586">
        <f t="shared" si="49"/>
        <v>2026</v>
      </c>
    </row>
    <row r="1587" spans="1:12" x14ac:dyDescent="0.3">
      <c r="A1587" s="6">
        <v>46065</v>
      </c>
      <c r="B1587" t="s">
        <v>95</v>
      </c>
      <c r="C1587" t="s">
        <v>69</v>
      </c>
      <c r="D1587" t="s">
        <v>156</v>
      </c>
      <c r="E1587" t="s">
        <v>42</v>
      </c>
      <c r="F1587" t="s">
        <v>43</v>
      </c>
      <c r="G1587" t="s">
        <v>89</v>
      </c>
      <c r="H1587">
        <v>32884.78</v>
      </c>
      <c r="I1587">
        <v>1</v>
      </c>
      <c r="J1587">
        <v>7217.76</v>
      </c>
      <c r="K1587" t="str">
        <f t="shared" si="48"/>
        <v>February</v>
      </c>
      <c r="L1587">
        <f t="shared" si="49"/>
        <v>2026</v>
      </c>
    </row>
    <row r="1588" spans="1:12" x14ac:dyDescent="0.3">
      <c r="A1588" s="6">
        <v>46065</v>
      </c>
      <c r="B1588" t="s">
        <v>71</v>
      </c>
      <c r="C1588" t="s">
        <v>46</v>
      </c>
      <c r="D1588" t="s">
        <v>156</v>
      </c>
      <c r="E1588" t="s">
        <v>13</v>
      </c>
      <c r="F1588" t="s">
        <v>14</v>
      </c>
      <c r="G1588" t="s">
        <v>15</v>
      </c>
      <c r="H1588">
        <v>6792.97</v>
      </c>
      <c r="I1588">
        <v>3</v>
      </c>
      <c r="J1588">
        <v>557.91</v>
      </c>
      <c r="K1588" t="str">
        <f t="shared" si="48"/>
        <v>February</v>
      </c>
      <c r="L1588">
        <f t="shared" si="49"/>
        <v>2026</v>
      </c>
    </row>
    <row r="1589" spans="1:12" x14ac:dyDescent="0.3">
      <c r="A1589" s="6">
        <v>46066</v>
      </c>
      <c r="B1589" t="s">
        <v>16</v>
      </c>
      <c r="C1589" t="s">
        <v>12</v>
      </c>
      <c r="D1589" t="s">
        <v>156</v>
      </c>
      <c r="E1589" t="s">
        <v>13</v>
      </c>
      <c r="F1589" t="s">
        <v>14</v>
      </c>
      <c r="G1589" t="s">
        <v>15</v>
      </c>
      <c r="H1589">
        <v>4494.96</v>
      </c>
      <c r="I1589">
        <v>2</v>
      </c>
      <c r="J1589">
        <v>387.5</v>
      </c>
      <c r="K1589" t="str">
        <f t="shared" si="48"/>
        <v>February</v>
      </c>
      <c r="L1589">
        <f t="shared" si="49"/>
        <v>2026</v>
      </c>
    </row>
    <row r="1590" spans="1:12" x14ac:dyDescent="0.3">
      <c r="A1590" s="6">
        <v>46066</v>
      </c>
      <c r="B1590" t="s">
        <v>78</v>
      </c>
      <c r="C1590" t="s">
        <v>56</v>
      </c>
      <c r="D1590" t="s">
        <v>156</v>
      </c>
      <c r="E1590" t="s">
        <v>18</v>
      </c>
      <c r="F1590" t="s">
        <v>19</v>
      </c>
      <c r="G1590" t="s">
        <v>72</v>
      </c>
      <c r="H1590">
        <v>128315.92</v>
      </c>
      <c r="I1590">
        <v>2</v>
      </c>
      <c r="J1590">
        <v>20568.22</v>
      </c>
      <c r="K1590" t="str">
        <f t="shared" si="48"/>
        <v>February</v>
      </c>
      <c r="L1590">
        <f t="shared" si="49"/>
        <v>2026</v>
      </c>
    </row>
    <row r="1591" spans="1:12" x14ac:dyDescent="0.3">
      <c r="A1591" s="6">
        <v>46066</v>
      </c>
      <c r="B1591" t="s">
        <v>80</v>
      </c>
      <c r="C1591" t="s">
        <v>12</v>
      </c>
      <c r="D1591" t="s">
        <v>156</v>
      </c>
      <c r="E1591" t="s">
        <v>18</v>
      </c>
      <c r="F1591" t="s">
        <v>19</v>
      </c>
      <c r="G1591" t="s">
        <v>20</v>
      </c>
      <c r="H1591">
        <v>56834.79</v>
      </c>
      <c r="I1591">
        <v>1</v>
      </c>
      <c r="J1591">
        <v>5841.64</v>
      </c>
      <c r="K1591" t="str">
        <f t="shared" si="48"/>
        <v>February</v>
      </c>
      <c r="L1591">
        <f t="shared" si="49"/>
        <v>2026</v>
      </c>
    </row>
    <row r="1592" spans="1:12" x14ac:dyDescent="0.3">
      <c r="A1592" s="6">
        <v>46066</v>
      </c>
      <c r="B1592" t="s">
        <v>109</v>
      </c>
      <c r="C1592" t="s">
        <v>39</v>
      </c>
      <c r="D1592" t="s">
        <v>156</v>
      </c>
      <c r="E1592" t="s">
        <v>42</v>
      </c>
      <c r="F1592" t="s">
        <v>90</v>
      </c>
      <c r="G1592" t="s">
        <v>97</v>
      </c>
      <c r="H1592">
        <v>11063.75</v>
      </c>
      <c r="I1592">
        <v>5</v>
      </c>
      <c r="J1592">
        <v>1904.49</v>
      </c>
      <c r="K1592" t="str">
        <f t="shared" si="48"/>
        <v>February</v>
      </c>
      <c r="L1592">
        <f t="shared" si="49"/>
        <v>2026</v>
      </c>
    </row>
    <row r="1593" spans="1:12" x14ac:dyDescent="0.3">
      <c r="A1593" s="6">
        <v>46066</v>
      </c>
      <c r="B1593" t="s">
        <v>55</v>
      </c>
      <c r="C1593" t="s">
        <v>68</v>
      </c>
      <c r="D1593" t="s">
        <v>156</v>
      </c>
      <c r="E1593" t="s">
        <v>18</v>
      </c>
      <c r="F1593" t="s">
        <v>40</v>
      </c>
      <c r="G1593" t="s">
        <v>117</v>
      </c>
      <c r="H1593">
        <v>8155.79</v>
      </c>
      <c r="I1593">
        <v>3</v>
      </c>
      <c r="J1593">
        <v>1209.68</v>
      </c>
      <c r="K1593" t="str">
        <f t="shared" si="48"/>
        <v>February</v>
      </c>
      <c r="L1593">
        <f t="shared" si="49"/>
        <v>2026</v>
      </c>
    </row>
    <row r="1594" spans="1:12" x14ac:dyDescent="0.3">
      <c r="A1594" s="6">
        <v>46067</v>
      </c>
      <c r="B1594" t="s">
        <v>16</v>
      </c>
      <c r="C1594" t="s">
        <v>58</v>
      </c>
      <c r="D1594" t="s">
        <v>156</v>
      </c>
      <c r="E1594" t="s">
        <v>42</v>
      </c>
      <c r="F1594" t="s">
        <v>90</v>
      </c>
      <c r="G1594" t="s">
        <v>91</v>
      </c>
      <c r="H1594">
        <v>3457.91</v>
      </c>
      <c r="I1594">
        <v>2</v>
      </c>
      <c r="J1594">
        <v>324.60000000000002</v>
      </c>
      <c r="K1594" t="str">
        <f t="shared" si="48"/>
        <v>February</v>
      </c>
      <c r="L1594">
        <f t="shared" si="49"/>
        <v>2026</v>
      </c>
    </row>
    <row r="1595" spans="1:12" x14ac:dyDescent="0.3">
      <c r="A1595" s="6">
        <v>46067</v>
      </c>
      <c r="B1595" t="s">
        <v>95</v>
      </c>
      <c r="C1595" t="s">
        <v>12</v>
      </c>
      <c r="D1595" t="s">
        <v>156</v>
      </c>
      <c r="E1595" t="s">
        <v>26</v>
      </c>
      <c r="F1595" t="s">
        <v>53</v>
      </c>
      <c r="G1595" t="s">
        <v>100</v>
      </c>
      <c r="H1595">
        <v>89409.32</v>
      </c>
      <c r="I1595">
        <v>1</v>
      </c>
      <c r="J1595">
        <v>18152.8</v>
      </c>
      <c r="K1595" t="str">
        <f t="shared" si="48"/>
        <v>February</v>
      </c>
      <c r="L1595">
        <f t="shared" si="49"/>
        <v>2026</v>
      </c>
    </row>
    <row r="1596" spans="1:12" x14ac:dyDescent="0.3">
      <c r="A1596" s="6">
        <v>46068</v>
      </c>
      <c r="B1596" t="s">
        <v>86</v>
      </c>
      <c r="C1596" t="s">
        <v>62</v>
      </c>
      <c r="D1596" t="s">
        <v>156</v>
      </c>
      <c r="E1596" t="s">
        <v>35</v>
      </c>
      <c r="F1596" t="s">
        <v>36</v>
      </c>
      <c r="G1596" t="s">
        <v>37</v>
      </c>
      <c r="H1596">
        <v>80880.59</v>
      </c>
      <c r="I1596">
        <v>3</v>
      </c>
      <c r="J1596">
        <v>-2179.85</v>
      </c>
      <c r="K1596" t="str">
        <f t="shared" si="48"/>
        <v>February</v>
      </c>
      <c r="L1596">
        <f t="shared" si="49"/>
        <v>2026</v>
      </c>
    </row>
    <row r="1597" spans="1:12" x14ac:dyDescent="0.3">
      <c r="A1597" s="6">
        <v>46068</v>
      </c>
      <c r="B1597" t="s">
        <v>80</v>
      </c>
      <c r="C1597" t="s">
        <v>61</v>
      </c>
      <c r="D1597" t="s">
        <v>156</v>
      </c>
      <c r="E1597" t="s">
        <v>26</v>
      </c>
      <c r="F1597" t="s">
        <v>53</v>
      </c>
      <c r="G1597" t="s">
        <v>98</v>
      </c>
      <c r="H1597">
        <v>27009.24</v>
      </c>
      <c r="I1597">
        <v>1</v>
      </c>
      <c r="J1597">
        <v>3743.75</v>
      </c>
      <c r="K1597" t="str">
        <f t="shared" si="48"/>
        <v>February</v>
      </c>
      <c r="L1597">
        <f t="shared" si="49"/>
        <v>2026</v>
      </c>
    </row>
    <row r="1598" spans="1:12" x14ac:dyDescent="0.3">
      <c r="A1598" s="6">
        <v>46068</v>
      </c>
      <c r="B1598" t="s">
        <v>92</v>
      </c>
      <c r="C1598" t="s">
        <v>39</v>
      </c>
      <c r="D1598" t="s">
        <v>156</v>
      </c>
      <c r="E1598" t="s">
        <v>35</v>
      </c>
      <c r="F1598" t="s">
        <v>50</v>
      </c>
      <c r="G1598" t="s">
        <v>119</v>
      </c>
      <c r="H1598">
        <v>2960.06</v>
      </c>
      <c r="I1598">
        <v>1</v>
      </c>
      <c r="J1598">
        <v>485.29</v>
      </c>
      <c r="K1598" t="str">
        <f t="shared" si="48"/>
        <v>February</v>
      </c>
      <c r="L1598">
        <f t="shared" si="49"/>
        <v>2026</v>
      </c>
    </row>
    <row r="1599" spans="1:12" x14ac:dyDescent="0.3">
      <c r="A1599" s="6">
        <v>46069</v>
      </c>
      <c r="B1599" t="s">
        <v>16</v>
      </c>
      <c r="C1599" t="s">
        <v>46</v>
      </c>
      <c r="D1599" t="s">
        <v>156</v>
      </c>
      <c r="E1599" t="s">
        <v>35</v>
      </c>
      <c r="F1599" t="s">
        <v>50</v>
      </c>
      <c r="G1599" t="s">
        <v>119</v>
      </c>
      <c r="H1599">
        <v>2725.49</v>
      </c>
      <c r="I1599">
        <v>1</v>
      </c>
      <c r="J1599">
        <v>388.78</v>
      </c>
      <c r="K1599" t="str">
        <f t="shared" si="48"/>
        <v>February</v>
      </c>
      <c r="L1599">
        <f t="shared" si="49"/>
        <v>2026</v>
      </c>
    </row>
    <row r="1600" spans="1:12" x14ac:dyDescent="0.3">
      <c r="A1600" s="6">
        <v>46069</v>
      </c>
      <c r="B1600" t="s">
        <v>55</v>
      </c>
      <c r="C1600" t="s">
        <v>49</v>
      </c>
      <c r="D1600" t="s">
        <v>156</v>
      </c>
      <c r="E1600" t="s">
        <v>35</v>
      </c>
      <c r="F1600" t="s">
        <v>75</v>
      </c>
      <c r="G1600" t="s">
        <v>76</v>
      </c>
      <c r="H1600">
        <v>130230.08</v>
      </c>
      <c r="I1600">
        <v>3</v>
      </c>
      <c r="J1600">
        <v>15554.88</v>
      </c>
      <c r="K1600" t="str">
        <f t="shared" si="48"/>
        <v>February</v>
      </c>
      <c r="L1600">
        <f t="shared" si="49"/>
        <v>2026</v>
      </c>
    </row>
    <row r="1601" spans="1:12" x14ac:dyDescent="0.3">
      <c r="A1601" s="6">
        <v>46071</v>
      </c>
      <c r="B1601" t="s">
        <v>78</v>
      </c>
      <c r="C1601" t="s">
        <v>49</v>
      </c>
      <c r="D1601" t="s">
        <v>156</v>
      </c>
      <c r="E1601" t="s">
        <v>13</v>
      </c>
      <c r="F1601" t="s">
        <v>23</v>
      </c>
      <c r="G1601" t="s">
        <v>47</v>
      </c>
      <c r="H1601">
        <v>72037.08</v>
      </c>
      <c r="I1601">
        <v>1</v>
      </c>
      <c r="J1601">
        <v>10050.58</v>
      </c>
      <c r="K1601" t="str">
        <f t="shared" si="48"/>
        <v>February</v>
      </c>
      <c r="L1601">
        <f t="shared" si="49"/>
        <v>2026</v>
      </c>
    </row>
    <row r="1602" spans="1:12" x14ac:dyDescent="0.3">
      <c r="A1602" s="6">
        <v>46072</v>
      </c>
      <c r="B1602" t="s">
        <v>86</v>
      </c>
      <c r="C1602" t="s">
        <v>17</v>
      </c>
      <c r="D1602" t="s">
        <v>156</v>
      </c>
      <c r="E1602" t="s">
        <v>13</v>
      </c>
      <c r="F1602" t="s">
        <v>23</v>
      </c>
      <c r="G1602" t="s">
        <v>77</v>
      </c>
      <c r="H1602">
        <v>38871.300000000003</v>
      </c>
      <c r="I1602">
        <v>1</v>
      </c>
      <c r="J1602">
        <v>5444.5</v>
      </c>
      <c r="K1602" t="str">
        <f t="shared" si="48"/>
        <v>February</v>
      </c>
      <c r="L1602">
        <f t="shared" si="49"/>
        <v>2026</v>
      </c>
    </row>
    <row r="1603" spans="1:12" x14ac:dyDescent="0.3">
      <c r="A1603" s="6">
        <v>46073</v>
      </c>
      <c r="B1603" t="s">
        <v>52</v>
      </c>
      <c r="C1603" t="s">
        <v>22</v>
      </c>
      <c r="D1603" t="s">
        <v>156</v>
      </c>
      <c r="E1603" t="s">
        <v>26</v>
      </c>
      <c r="F1603" t="s">
        <v>53</v>
      </c>
      <c r="G1603" t="s">
        <v>98</v>
      </c>
      <c r="H1603">
        <v>118955.19</v>
      </c>
      <c r="I1603">
        <v>4</v>
      </c>
      <c r="J1603">
        <v>23816.53</v>
      </c>
      <c r="K1603" t="str">
        <f t="shared" ref="K1603:K1666" si="50">TEXT(A1603,"mmmm")</f>
        <v>February</v>
      </c>
      <c r="L1603">
        <f t="shared" ref="L1603:L1666" si="51">YEAR(A1603)</f>
        <v>2026</v>
      </c>
    </row>
    <row r="1604" spans="1:12" x14ac:dyDescent="0.3">
      <c r="A1604" s="6">
        <v>46073</v>
      </c>
      <c r="B1604" t="s">
        <v>78</v>
      </c>
      <c r="C1604" t="s">
        <v>66</v>
      </c>
      <c r="D1604" t="s">
        <v>156</v>
      </c>
      <c r="E1604" t="s">
        <v>13</v>
      </c>
      <c r="F1604" t="s">
        <v>23</v>
      </c>
      <c r="G1604" t="s">
        <v>77</v>
      </c>
      <c r="H1604">
        <v>39730.31</v>
      </c>
      <c r="I1604">
        <v>1</v>
      </c>
      <c r="J1604">
        <v>5895.48</v>
      </c>
      <c r="K1604" t="str">
        <f t="shared" si="50"/>
        <v>February</v>
      </c>
      <c r="L1604">
        <f t="shared" si="51"/>
        <v>2026</v>
      </c>
    </row>
    <row r="1605" spans="1:12" x14ac:dyDescent="0.3">
      <c r="A1605" s="6">
        <v>46073</v>
      </c>
      <c r="B1605" t="s">
        <v>60</v>
      </c>
      <c r="C1605" t="s">
        <v>66</v>
      </c>
      <c r="D1605" t="s">
        <v>156</v>
      </c>
      <c r="E1605" t="s">
        <v>26</v>
      </c>
      <c r="F1605" t="s">
        <v>27</v>
      </c>
      <c r="G1605" t="s">
        <v>28</v>
      </c>
      <c r="H1605">
        <v>48873.4</v>
      </c>
      <c r="I1605">
        <v>2</v>
      </c>
      <c r="J1605">
        <v>7512.2</v>
      </c>
      <c r="K1605" t="str">
        <f t="shared" si="50"/>
        <v>February</v>
      </c>
      <c r="L1605">
        <f t="shared" si="51"/>
        <v>2026</v>
      </c>
    </row>
    <row r="1606" spans="1:12" x14ac:dyDescent="0.3">
      <c r="A1606" s="6">
        <v>46073</v>
      </c>
      <c r="B1606" t="s">
        <v>103</v>
      </c>
      <c r="C1606" t="s">
        <v>58</v>
      </c>
      <c r="D1606" t="s">
        <v>156</v>
      </c>
      <c r="E1606" t="s">
        <v>35</v>
      </c>
      <c r="F1606" t="s">
        <v>63</v>
      </c>
      <c r="G1606" t="s">
        <v>112</v>
      </c>
      <c r="H1606">
        <v>138182.26999999999</v>
      </c>
      <c r="I1606">
        <v>5</v>
      </c>
      <c r="J1606">
        <v>11384.34</v>
      </c>
      <c r="K1606" t="str">
        <f t="shared" si="50"/>
        <v>February</v>
      </c>
      <c r="L1606">
        <f t="shared" si="51"/>
        <v>2026</v>
      </c>
    </row>
    <row r="1607" spans="1:12" x14ac:dyDescent="0.3">
      <c r="A1607" s="6">
        <v>46073</v>
      </c>
      <c r="B1607" t="s">
        <v>95</v>
      </c>
      <c r="C1607" t="s">
        <v>12</v>
      </c>
      <c r="D1607" t="s">
        <v>156</v>
      </c>
      <c r="E1607" t="s">
        <v>18</v>
      </c>
      <c r="F1607" t="s">
        <v>19</v>
      </c>
      <c r="G1607" t="s">
        <v>20</v>
      </c>
      <c r="H1607">
        <v>58983.4</v>
      </c>
      <c r="I1607">
        <v>1</v>
      </c>
      <c r="J1607">
        <v>8665.7000000000007</v>
      </c>
      <c r="K1607" t="str">
        <f t="shared" si="50"/>
        <v>February</v>
      </c>
      <c r="L1607">
        <f t="shared" si="51"/>
        <v>2026</v>
      </c>
    </row>
    <row r="1608" spans="1:12" x14ac:dyDescent="0.3">
      <c r="A1608" s="6">
        <v>46073</v>
      </c>
      <c r="B1608" t="s">
        <v>67</v>
      </c>
      <c r="C1608" t="s">
        <v>12</v>
      </c>
      <c r="D1608" t="s">
        <v>156</v>
      </c>
      <c r="E1608" t="s">
        <v>18</v>
      </c>
      <c r="F1608" t="s">
        <v>19</v>
      </c>
      <c r="G1608" t="s">
        <v>59</v>
      </c>
      <c r="H1608">
        <v>48925.18</v>
      </c>
      <c r="I1608">
        <v>1</v>
      </c>
      <c r="J1608">
        <v>5070</v>
      </c>
      <c r="K1608" t="str">
        <f t="shared" si="50"/>
        <v>February</v>
      </c>
      <c r="L1608">
        <f t="shared" si="51"/>
        <v>2026</v>
      </c>
    </row>
    <row r="1609" spans="1:12" x14ac:dyDescent="0.3">
      <c r="A1609" s="6">
        <v>46075</v>
      </c>
      <c r="B1609" t="s">
        <v>103</v>
      </c>
      <c r="C1609" t="s">
        <v>69</v>
      </c>
      <c r="D1609" t="s">
        <v>156</v>
      </c>
      <c r="E1609" t="s">
        <v>18</v>
      </c>
      <c r="F1609" t="s">
        <v>40</v>
      </c>
      <c r="G1609" t="s">
        <v>102</v>
      </c>
      <c r="H1609">
        <v>3958.96</v>
      </c>
      <c r="I1609">
        <v>3</v>
      </c>
      <c r="J1609">
        <v>375.63</v>
      </c>
      <c r="K1609" t="str">
        <f t="shared" si="50"/>
        <v>February</v>
      </c>
      <c r="L1609">
        <f t="shared" si="51"/>
        <v>2026</v>
      </c>
    </row>
    <row r="1610" spans="1:12" x14ac:dyDescent="0.3">
      <c r="A1610" s="6">
        <v>46075</v>
      </c>
      <c r="B1610" t="s">
        <v>25</v>
      </c>
      <c r="C1610" t="s">
        <v>68</v>
      </c>
      <c r="D1610" t="s">
        <v>156</v>
      </c>
      <c r="E1610" t="s">
        <v>18</v>
      </c>
      <c r="F1610" t="s">
        <v>40</v>
      </c>
      <c r="G1610" t="s">
        <v>41</v>
      </c>
      <c r="H1610">
        <v>51849.58</v>
      </c>
      <c r="I1610">
        <v>3</v>
      </c>
      <c r="J1610">
        <v>4612.74</v>
      </c>
      <c r="K1610" t="str">
        <f t="shared" si="50"/>
        <v>February</v>
      </c>
      <c r="L1610">
        <f t="shared" si="51"/>
        <v>2026</v>
      </c>
    </row>
    <row r="1611" spans="1:12" x14ac:dyDescent="0.3">
      <c r="A1611" s="6">
        <v>46075</v>
      </c>
      <c r="B1611" t="s">
        <v>52</v>
      </c>
      <c r="C1611" t="s">
        <v>69</v>
      </c>
      <c r="D1611" t="s">
        <v>156</v>
      </c>
      <c r="E1611" t="s">
        <v>26</v>
      </c>
      <c r="F1611" t="s">
        <v>53</v>
      </c>
      <c r="G1611" t="s">
        <v>54</v>
      </c>
      <c r="H1611">
        <v>36857.620000000003</v>
      </c>
      <c r="I1611">
        <v>1</v>
      </c>
      <c r="J1611">
        <v>-519.82000000000005</v>
      </c>
      <c r="K1611" t="str">
        <f t="shared" si="50"/>
        <v>February</v>
      </c>
      <c r="L1611">
        <f t="shared" si="51"/>
        <v>2026</v>
      </c>
    </row>
    <row r="1612" spans="1:12" x14ac:dyDescent="0.3">
      <c r="A1612" s="6">
        <v>46075</v>
      </c>
      <c r="B1612" t="s">
        <v>95</v>
      </c>
      <c r="C1612" t="s">
        <v>58</v>
      </c>
      <c r="D1612" t="s">
        <v>156</v>
      </c>
      <c r="E1612" t="s">
        <v>26</v>
      </c>
      <c r="F1612" t="s">
        <v>53</v>
      </c>
      <c r="G1612" t="s">
        <v>96</v>
      </c>
      <c r="H1612">
        <v>62492.07</v>
      </c>
      <c r="I1612">
        <v>1</v>
      </c>
      <c r="J1612">
        <v>13121.8</v>
      </c>
      <c r="K1612" t="str">
        <f t="shared" si="50"/>
        <v>February</v>
      </c>
      <c r="L1612">
        <f t="shared" si="51"/>
        <v>2026</v>
      </c>
    </row>
    <row r="1613" spans="1:12" x14ac:dyDescent="0.3">
      <c r="A1613" s="6">
        <v>46076</v>
      </c>
      <c r="B1613" t="s">
        <v>21</v>
      </c>
      <c r="C1613" t="s">
        <v>30</v>
      </c>
      <c r="D1613" t="s">
        <v>156</v>
      </c>
      <c r="E1613" t="s">
        <v>18</v>
      </c>
      <c r="F1613" t="s">
        <v>40</v>
      </c>
      <c r="G1613" t="s">
        <v>105</v>
      </c>
      <c r="H1613">
        <v>2371.27</v>
      </c>
      <c r="I1613">
        <v>1</v>
      </c>
      <c r="J1613">
        <v>212.57</v>
      </c>
      <c r="K1613" t="str">
        <f t="shared" si="50"/>
        <v>February</v>
      </c>
      <c r="L1613">
        <f t="shared" si="51"/>
        <v>2026</v>
      </c>
    </row>
    <row r="1614" spans="1:12" x14ac:dyDescent="0.3">
      <c r="A1614" s="6">
        <v>46077</v>
      </c>
      <c r="B1614" t="s">
        <v>67</v>
      </c>
      <c r="C1614" t="s">
        <v>39</v>
      </c>
      <c r="D1614" t="s">
        <v>156</v>
      </c>
      <c r="E1614" t="s">
        <v>13</v>
      </c>
      <c r="F1614" t="s">
        <v>23</v>
      </c>
      <c r="G1614" t="s">
        <v>79</v>
      </c>
      <c r="H1614">
        <v>126525.46</v>
      </c>
      <c r="I1614">
        <v>2</v>
      </c>
      <c r="J1614">
        <v>15520.6</v>
      </c>
      <c r="K1614" t="str">
        <f t="shared" si="50"/>
        <v>February</v>
      </c>
      <c r="L1614">
        <f t="shared" si="51"/>
        <v>2026</v>
      </c>
    </row>
    <row r="1615" spans="1:12" x14ac:dyDescent="0.3">
      <c r="A1615" s="6">
        <v>46077</v>
      </c>
      <c r="B1615" t="s">
        <v>32</v>
      </c>
      <c r="C1615" t="s">
        <v>56</v>
      </c>
      <c r="D1615" t="s">
        <v>156</v>
      </c>
      <c r="E1615" t="s">
        <v>35</v>
      </c>
      <c r="F1615" t="s">
        <v>63</v>
      </c>
      <c r="G1615" t="s">
        <v>64</v>
      </c>
      <c r="H1615">
        <v>61355.95</v>
      </c>
      <c r="I1615">
        <v>2</v>
      </c>
      <c r="J1615">
        <v>11678.59</v>
      </c>
      <c r="K1615" t="str">
        <f t="shared" si="50"/>
        <v>February</v>
      </c>
      <c r="L1615">
        <f t="shared" si="51"/>
        <v>2026</v>
      </c>
    </row>
    <row r="1616" spans="1:12" x14ac:dyDescent="0.3">
      <c r="A1616" s="6">
        <v>46077</v>
      </c>
      <c r="B1616" t="s">
        <v>78</v>
      </c>
      <c r="C1616" t="s">
        <v>39</v>
      </c>
      <c r="D1616" t="s">
        <v>156</v>
      </c>
      <c r="E1616" t="s">
        <v>26</v>
      </c>
      <c r="F1616" t="s">
        <v>53</v>
      </c>
      <c r="G1616" t="s">
        <v>98</v>
      </c>
      <c r="H1616">
        <v>88388</v>
      </c>
      <c r="I1616">
        <v>3</v>
      </c>
      <c r="J1616">
        <v>11940.65</v>
      </c>
      <c r="K1616" t="str">
        <f t="shared" si="50"/>
        <v>February</v>
      </c>
      <c r="L1616">
        <f t="shared" si="51"/>
        <v>2026</v>
      </c>
    </row>
    <row r="1617" spans="1:12" x14ac:dyDescent="0.3">
      <c r="A1617" s="6">
        <v>46078</v>
      </c>
      <c r="B1617" t="s">
        <v>38</v>
      </c>
      <c r="C1617" t="s">
        <v>46</v>
      </c>
      <c r="D1617" t="s">
        <v>156</v>
      </c>
      <c r="E1617" t="s">
        <v>18</v>
      </c>
      <c r="F1617" t="s">
        <v>19</v>
      </c>
      <c r="G1617" t="s">
        <v>106</v>
      </c>
      <c r="H1617">
        <v>95164.67</v>
      </c>
      <c r="I1617">
        <v>1</v>
      </c>
      <c r="J1617">
        <v>14594.47</v>
      </c>
      <c r="K1617" t="str">
        <f t="shared" si="50"/>
        <v>February</v>
      </c>
      <c r="L1617">
        <f t="shared" si="51"/>
        <v>2026</v>
      </c>
    </row>
    <row r="1618" spans="1:12" x14ac:dyDescent="0.3">
      <c r="A1618" s="6">
        <v>46078</v>
      </c>
      <c r="B1618" t="s">
        <v>21</v>
      </c>
      <c r="C1618" t="s">
        <v>56</v>
      </c>
      <c r="D1618" t="s">
        <v>156</v>
      </c>
      <c r="E1618" t="s">
        <v>26</v>
      </c>
      <c r="F1618" t="s">
        <v>27</v>
      </c>
      <c r="G1618" t="s">
        <v>94</v>
      </c>
      <c r="H1618">
        <v>36449.629999999997</v>
      </c>
      <c r="I1618">
        <v>3</v>
      </c>
      <c r="J1618">
        <v>2781.08</v>
      </c>
      <c r="K1618" t="str">
        <f t="shared" si="50"/>
        <v>February</v>
      </c>
      <c r="L1618">
        <f t="shared" si="51"/>
        <v>2026</v>
      </c>
    </row>
    <row r="1619" spans="1:12" x14ac:dyDescent="0.3">
      <c r="A1619" s="6">
        <v>46079</v>
      </c>
      <c r="B1619" t="s">
        <v>25</v>
      </c>
      <c r="C1619" t="s">
        <v>66</v>
      </c>
      <c r="D1619" t="s">
        <v>156</v>
      </c>
      <c r="E1619" t="s">
        <v>13</v>
      </c>
      <c r="F1619" t="s">
        <v>14</v>
      </c>
      <c r="G1619" t="s">
        <v>111</v>
      </c>
      <c r="H1619">
        <v>1860.5</v>
      </c>
      <c r="I1619">
        <v>1</v>
      </c>
      <c r="J1619">
        <v>372.55</v>
      </c>
      <c r="K1619" t="str">
        <f t="shared" si="50"/>
        <v>February</v>
      </c>
      <c r="L1619">
        <f t="shared" si="51"/>
        <v>2026</v>
      </c>
    </row>
    <row r="1620" spans="1:12" x14ac:dyDescent="0.3">
      <c r="A1620" s="6">
        <v>46080</v>
      </c>
      <c r="B1620" t="s">
        <v>67</v>
      </c>
      <c r="C1620" t="s">
        <v>17</v>
      </c>
      <c r="D1620" t="s">
        <v>156</v>
      </c>
      <c r="E1620" t="s">
        <v>18</v>
      </c>
      <c r="F1620" t="s">
        <v>19</v>
      </c>
      <c r="G1620" t="s">
        <v>33</v>
      </c>
      <c r="H1620">
        <v>53125.63</v>
      </c>
      <c r="I1620">
        <v>1</v>
      </c>
      <c r="J1620">
        <v>9162.5</v>
      </c>
      <c r="K1620" t="str">
        <f t="shared" si="50"/>
        <v>February</v>
      </c>
      <c r="L1620">
        <f t="shared" si="51"/>
        <v>2026</v>
      </c>
    </row>
    <row r="1621" spans="1:12" x14ac:dyDescent="0.3">
      <c r="A1621" s="6">
        <v>46080</v>
      </c>
      <c r="B1621" t="s">
        <v>25</v>
      </c>
      <c r="C1621" t="s">
        <v>58</v>
      </c>
      <c r="D1621" t="s">
        <v>156</v>
      </c>
      <c r="E1621" t="s">
        <v>13</v>
      </c>
      <c r="F1621" t="s">
        <v>23</v>
      </c>
      <c r="G1621" t="s">
        <v>85</v>
      </c>
      <c r="H1621">
        <v>220395.19</v>
      </c>
      <c r="I1621">
        <v>5</v>
      </c>
      <c r="J1621">
        <v>38221.07</v>
      </c>
      <c r="K1621" t="str">
        <f t="shared" si="50"/>
        <v>February</v>
      </c>
      <c r="L1621">
        <f t="shared" si="51"/>
        <v>2026</v>
      </c>
    </row>
    <row r="1622" spans="1:12" x14ac:dyDescent="0.3">
      <c r="A1622" s="6">
        <v>46081</v>
      </c>
      <c r="B1622" t="s">
        <v>103</v>
      </c>
      <c r="C1622" t="s">
        <v>17</v>
      </c>
      <c r="D1622" t="s">
        <v>156</v>
      </c>
      <c r="E1622" t="s">
        <v>35</v>
      </c>
      <c r="F1622" t="s">
        <v>36</v>
      </c>
      <c r="G1622" t="s">
        <v>99</v>
      </c>
      <c r="H1622">
        <v>73009.97</v>
      </c>
      <c r="I1622">
        <v>2</v>
      </c>
      <c r="J1622">
        <v>6307.37</v>
      </c>
      <c r="K1622" t="str">
        <f t="shared" si="50"/>
        <v>February</v>
      </c>
      <c r="L1622">
        <f t="shared" si="51"/>
        <v>2026</v>
      </c>
    </row>
    <row r="1623" spans="1:12" x14ac:dyDescent="0.3">
      <c r="A1623" s="6">
        <v>46082</v>
      </c>
      <c r="B1623" t="s">
        <v>45</v>
      </c>
      <c r="C1623" t="s">
        <v>61</v>
      </c>
      <c r="D1623" t="s">
        <v>156</v>
      </c>
      <c r="E1623" t="s">
        <v>42</v>
      </c>
      <c r="F1623" t="s">
        <v>43</v>
      </c>
      <c r="G1623" t="s">
        <v>44</v>
      </c>
      <c r="H1623">
        <v>27717.54</v>
      </c>
      <c r="I1623">
        <v>2</v>
      </c>
      <c r="J1623">
        <v>2087.39</v>
      </c>
      <c r="K1623" t="str">
        <f t="shared" si="50"/>
        <v>March</v>
      </c>
      <c r="L1623">
        <f t="shared" si="51"/>
        <v>2026</v>
      </c>
    </row>
    <row r="1624" spans="1:12" x14ac:dyDescent="0.3">
      <c r="A1624" s="6">
        <v>46082</v>
      </c>
      <c r="B1624" t="s">
        <v>95</v>
      </c>
      <c r="C1624" t="s">
        <v>30</v>
      </c>
      <c r="D1624" t="s">
        <v>156</v>
      </c>
      <c r="E1624" t="s">
        <v>13</v>
      </c>
      <c r="F1624" t="s">
        <v>23</v>
      </c>
      <c r="G1624" t="s">
        <v>79</v>
      </c>
      <c r="H1624">
        <v>69400.820000000007</v>
      </c>
      <c r="I1624">
        <v>1</v>
      </c>
      <c r="J1624">
        <v>-3198.54</v>
      </c>
      <c r="K1624" t="str">
        <f t="shared" si="50"/>
        <v>March</v>
      </c>
      <c r="L1624">
        <f t="shared" si="51"/>
        <v>2026</v>
      </c>
    </row>
    <row r="1625" spans="1:12" x14ac:dyDescent="0.3">
      <c r="A1625" s="6">
        <v>46083</v>
      </c>
      <c r="B1625" t="s">
        <v>65</v>
      </c>
      <c r="C1625" t="s">
        <v>22</v>
      </c>
      <c r="D1625" t="s">
        <v>156</v>
      </c>
      <c r="E1625" t="s">
        <v>26</v>
      </c>
      <c r="F1625" t="s">
        <v>27</v>
      </c>
      <c r="G1625" t="s">
        <v>28</v>
      </c>
      <c r="H1625">
        <v>45707.31</v>
      </c>
      <c r="I1625">
        <v>2</v>
      </c>
      <c r="J1625">
        <v>9481.2199999999993</v>
      </c>
      <c r="K1625" t="str">
        <f t="shared" si="50"/>
        <v>March</v>
      </c>
      <c r="L1625">
        <f t="shared" si="51"/>
        <v>2026</v>
      </c>
    </row>
    <row r="1626" spans="1:12" x14ac:dyDescent="0.3">
      <c r="A1626" s="6">
        <v>46084</v>
      </c>
      <c r="B1626" t="s">
        <v>80</v>
      </c>
      <c r="C1626" t="s">
        <v>56</v>
      </c>
      <c r="D1626" t="s">
        <v>156</v>
      </c>
      <c r="E1626" t="s">
        <v>18</v>
      </c>
      <c r="F1626" t="s">
        <v>40</v>
      </c>
      <c r="G1626" t="s">
        <v>105</v>
      </c>
      <c r="H1626">
        <v>2231.0500000000002</v>
      </c>
      <c r="I1626">
        <v>1</v>
      </c>
      <c r="J1626">
        <v>302.93</v>
      </c>
      <c r="K1626" t="str">
        <f t="shared" si="50"/>
        <v>March</v>
      </c>
      <c r="L1626">
        <f t="shared" si="51"/>
        <v>2026</v>
      </c>
    </row>
    <row r="1627" spans="1:12" x14ac:dyDescent="0.3">
      <c r="A1627" s="6">
        <v>46084</v>
      </c>
      <c r="B1627" t="s">
        <v>65</v>
      </c>
      <c r="C1627" t="s">
        <v>12</v>
      </c>
      <c r="D1627" t="s">
        <v>156</v>
      </c>
      <c r="E1627" t="s">
        <v>42</v>
      </c>
      <c r="F1627" t="s">
        <v>90</v>
      </c>
      <c r="G1627" t="s">
        <v>97</v>
      </c>
      <c r="H1627">
        <v>6950.9</v>
      </c>
      <c r="I1627">
        <v>3</v>
      </c>
      <c r="J1627">
        <v>904.36</v>
      </c>
      <c r="K1627" t="str">
        <f t="shared" si="50"/>
        <v>March</v>
      </c>
      <c r="L1627">
        <f t="shared" si="51"/>
        <v>2026</v>
      </c>
    </row>
    <row r="1628" spans="1:12" x14ac:dyDescent="0.3">
      <c r="A1628" s="6">
        <v>46085</v>
      </c>
      <c r="B1628" t="s">
        <v>52</v>
      </c>
      <c r="C1628" t="s">
        <v>30</v>
      </c>
      <c r="D1628" t="s">
        <v>156</v>
      </c>
      <c r="E1628" t="s">
        <v>26</v>
      </c>
      <c r="F1628" t="s">
        <v>53</v>
      </c>
      <c r="G1628" t="s">
        <v>100</v>
      </c>
      <c r="H1628">
        <v>198884.48000000001</v>
      </c>
      <c r="I1628">
        <v>2</v>
      </c>
      <c r="J1628">
        <v>34511.47</v>
      </c>
      <c r="K1628" t="str">
        <f t="shared" si="50"/>
        <v>March</v>
      </c>
      <c r="L1628">
        <f t="shared" si="51"/>
        <v>2026</v>
      </c>
    </row>
    <row r="1629" spans="1:12" x14ac:dyDescent="0.3">
      <c r="A1629" s="6">
        <v>46085</v>
      </c>
      <c r="B1629" t="s">
        <v>86</v>
      </c>
      <c r="C1629" t="s">
        <v>39</v>
      </c>
      <c r="D1629" t="s">
        <v>156</v>
      </c>
      <c r="E1629" t="s">
        <v>42</v>
      </c>
      <c r="F1629" t="s">
        <v>90</v>
      </c>
      <c r="G1629" t="s">
        <v>97</v>
      </c>
      <c r="H1629">
        <v>2246.11</v>
      </c>
      <c r="I1629">
        <v>1</v>
      </c>
      <c r="J1629">
        <v>261.60000000000002</v>
      </c>
      <c r="K1629" t="str">
        <f t="shared" si="50"/>
        <v>March</v>
      </c>
      <c r="L1629">
        <f t="shared" si="51"/>
        <v>2026</v>
      </c>
    </row>
    <row r="1630" spans="1:12" x14ac:dyDescent="0.3">
      <c r="A1630" s="6">
        <v>46086</v>
      </c>
      <c r="B1630" t="s">
        <v>21</v>
      </c>
      <c r="C1630" t="s">
        <v>62</v>
      </c>
      <c r="D1630" t="s">
        <v>156</v>
      </c>
      <c r="E1630" t="s">
        <v>18</v>
      </c>
      <c r="F1630" t="s">
        <v>19</v>
      </c>
      <c r="G1630" t="s">
        <v>33</v>
      </c>
      <c r="H1630">
        <v>101558.62</v>
      </c>
      <c r="I1630">
        <v>2</v>
      </c>
      <c r="J1630">
        <v>-1683.21</v>
      </c>
      <c r="K1630" t="str">
        <f t="shared" si="50"/>
        <v>March</v>
      </c>
      <c r="L1630">
        <f t="shared" si="51"/>
        <v>2026</v>
      </c>
    </row>
    <row r="1631" spans="1:12" x14ac:dyDescent="0.3">
      <c r="A1631" s="6">
        <v>46088</v>
      </c>
      <c r="B1631" t="s">
        <v>60</v>
      </c>
      <c r="C1631" t="s">
        <v>22</v>
      </c>
      <c r="D1631" t="s">
        <v>156</v>
      </c>
      <c r="E1631" t="s">
        <v>18</v>
      </c>
      <c r="F1631" t="s">
        <v>40</v>
      </c>
      <c r="G1631" t="s">
        <v>105</v>
      </c>
      <c r="H1631">
        <v>4878.1400000000003</v>
      </c>
      <c r="I1631">
        <v>2</v>
      </c>
      <c r="J1631">
        <v>693.19</v>
      </c>
      <c r="K1631" t="str">
        <f t="shared" si="50"/>
        <v>March</v>
      </c>
      <c r="L1631">
        <f t="shared" si="51"/>
        <v>2026</v>
      </c>
    </row>
    <row r="1632" spans="1:12" x14ac:dyDescent="0.3">
      <c r="A1632" s="6">
        <v>46088</v>
      </c>
      <c r="B1632" t="s">
        <v>16</v>
      </c>
      <c r="C1632" t="s">
        <v>17</v>
      </c>
      <c r="D1632" t="s">
        <v>156</v>
      </c>
      <c r="E1632" t="s">
        <v>42</v>
      </c>
      <c r="F1632" t="s">
        <v>90</v>
      </c>
      <c r="G1632" t="s">
        <v>97</v>
      </c>
      <c r="H1632">
        <v>2071.14</v>
      </c>
      <c r="I1632">
        <v>1</v>
      </c>
      <c r="J1632">
        <v>148.38999999999999</v>
      </c>
      <c r="K1632" t="str">
        <f t="shared" si="50"/>
        <v>March</v>
      </c>
      <c r="L1632">
        <f t="shared" si="51"/>
        <v>2026</v>
      </c>
    </row>
    <row r="1633" spans="1:12" x14ac:dyDescent="0.3">
      <c r="A1633" s="6">
        <v>46088</v>
      </c>
      <c r="B1633" t="s">
        <v>86</v>
      </c>
      <c r="C1633" t="s">
        <v>81</v>
      </c>
      <c r="D1633" t="s">
        <v>156</v>
      </c>
      <c r="E1633" t="s">
        <v>26</v>
      </c>
      <c r="F1633" t="s">
        <v>53</v>
      </c>
      <c r="G1633" t="s">
        <v>96</v>
      </c>
      <c r="H1633">
        <v>69363.53</v>
      </c>
      <c r="I1633">
        <v>1</v>
      </c>
      <c r="J1633">
        <v>8675.16</v>
      </c>
      <c r="K1633" t="str">
        <f t="shared" si="50"/>
        <v>March</v>
      </c>
      <c r="L1633">
        <f t="shared" si="51"/>
        <v>2026</v>
      </c>
    </row>
    <row r="1634" spans="1:12" x14ac:dyDescent="0.3">
      <c r="A1634" s="6">
        <v>46088</v>
      </c>
      <c r="B1634" t="s">
        <v>34</v>
      </c>
      <c r="C1634" t="s">
        <v>30</v>
      </c>
      <c r="D1634" t="s">
        <v>156</v>
      </c>
      <c r="E1634" t="s">
        <v>42</v>
      </c>
      <c r="F1634" t="s">
        <v>43</v>
      </c>
      <c r="G1634" t="s">
        <v>89</v>
      </c>
      <c r="H1634">
        <v>65731.09</v>
      </c>
      <c r="I1634">
        <v>2</v>
      </c>
      <c r="J1634">
        <v>6285.68</v>
      </c>
      <c r="K1634" t="str">
        <f t="shared" si="50"/>
        <v>March</v>
      </c>
      <c r="L1634">
        <f t="shared" si="51"/>
        <v>2026</v>
      </c>
    </row>
    <row r="1635" spans="1:12" x14ac:dyDescent="0.3">
      <c r="A1635" s="6">
        <v>46089</v>
      </c>
      <c r="B1635" t="s">
        <v>73</v>
      </c>
      <c r="C1635" t="s">
        <v>62</v>
      </c>
      <c r="D1635" t="s">
        <v>156</v>
      </c>
      <c r="E1635" t="s">
        <v>35</v>
      </c>
      <c r="F1635" t="s">
        <v>36</v>
      </c>
      <c r="G1635" t="s">
        <v>37</v>
      </c>
      <c r="H1635">
        <v>48154.45</v>
      </c>
      <c r="I1635">
        <v>2</v>
      </c>
      <c r="J1635">
        <v>10140.86</v>
      </c>
      <c r="K1635" t="str">
        <f t="shared" si="50"/>
        <v>March</v>
      </c>
      <c r="L1635">
        <f t="shared" si="51"/>
        <v>2026</v>
      </c>
    </row>
    <row r="1636" spans="1:12" x14ac:dyDescent="0.3">
      <c r="A1636" s="6">
        <v>46090</v>
      </c>
      <c r="B1636" t="s">
        <v>38</v>
      </c>
      <c r="C1636" t="s">
        <v>68</v>
      </c>
      <c r="D1636" t="s">
        <v>156</v>
      </c>
      <c r="E1636" t="s">
        <v>26</v>
      </c>
      <c r="F1636" t="s">
        <v>53</v>
      </c>
      <c r="G1636" t="s">
        <v>96</v>
      </c>
      <c r="H1636">
        <v>121779.17</v>
      </c>
      <c r="I1636">
        <v>2</v>
      </c>
      <c r="J1636">
        <v>11912.96</v>
      </c>
      <c r="K1636" t="str">
        <f t="shared" si="50"/>
        <v>March</v>
      </c>
      <c r="L1636">
        <f t="shared" si="51"/>
        <v>2026</v>
      </c>
    </row>
    <row r="1637" spans="1:12" x14ac:dyDescent="0.3">
      <c r="A1637" s="6">
        <v>46090</v>
      </c>
      <c r="B1637" t="s">
        <v>21</v>
      </c>
      <c r="C1637" t="s">
        <v>58</v>
      </c>
      <c r="D1637" t="s">
        <v>156</v>
      </c>
      <c r="E1637" t="s">
        <v>18</v>
      </c>
      <c r="F1637" t="s">
        <v>40</v>
      </c>
      <c r="G1637" t="s">
        <v>115</v>
      </c>
      <c r="H1637">
        <v>9918.2199999999993</v>
      </c>
      <c r="I1637">
        <v>1</v>
      </c>
      <c r="J1637">
        <v>1534.27</v>
      </c>
      <c r="K1637" t="str">
        <f t="shared" si="50"/>
        <v>March</v>
      </c>
      <c r="L1637">
        <f t="shared" si="51"/>
        <v>2026</v>
      </c>
    </row>
    <row r="1638" spans="1:12" x14ac:dyDescent="0.3">
      <c r="A1638" s="6">
        <v>46091</v>
      </c>
      <c r="B1638" t="s">
        <v>11</v>
      </c>
      <c r="C1638" t="s">
        <v>62</v>
      </c>
      <c r="D1638" t="s">
        <v>156</v>
      </c>
      <c r="E1638" t="s">
        <v>26</v>
      </c>
      <c r="F1638" t="s">
        <v>53</v>
      </c>
      <c r="G1638" t="s">
        <v>104</v>
      </c>
      <c r="H1638">
        <v>77982.45</v>
      </c>
      <c r="I1638">
        <v>1</v>
      </c>
      <c r="J1638">
        <v>-3573.4</v>
      </c>
      <c r="K1638" t="str">
        <f t="shared" si="50"/>
        <v>March</v>
      </c>
      <c r="L1638">
        <f t="shared" si="51"/>
        <v>2026</v>
      </c>
    </row>
    <row r="1639" spans="1:12" x14ac:dyDescent="0.3">
      <c r="A1639" s="6">
        <v>46091</v>
      </c>
      <c r="B1639" t="s">
        <v>38</v>
      </c>
      <c r="C1639" t="s">
        <v>58</v>
      </c>
      <c r="D1639" t="s">
        <v>156</v>
      </c>
      <c r="E1639" t="s">
        <v>26</v>
      </c>
      <c r="F1639" t="s">
        <v>27</v>
      </c>
      <c r="G1639" t="s">
        <v>94</v>
      </c>
      <c r="H1639">
        <v>10690.85</v>
      </c>
      <c r="I1639">
        <v>1</v>
      </c>
      <c r="J1639">
        <v>2346.88</v>
      </c>
      <c r="K1639" t="str">
        <f t="shared" si="50"/>
        <v>March</v>
      </c>
      <c r="L1639">
        <f t="shared" si="51"/>
        <v>2026</v>
      </c>
    </row>
    <row r="1640" spans="1:12" x14ac:dyDescent="0.3">
      <c r="A1640" s="6">
        <v>46092</v>
      </c>
      <c r="B1640" t="s">
        <v>60</v>
      </c>
      <c r="C1640" t="s">
        <v>61</v>
      </c>
      <c r="D1640" t="s">
        <v>156</v>
      </c>
      <c r="E1640" t="s">
        <v>35</v>
      </c>
      <c r="F1640" t="s">
        <v>50</v>
      </c>
      <c r="G1640" t="s">
        <v>119</v>
      </c>
      <c r="H1640">
        <v>5109.2700000000004</v>
      </c>
      <c r="I1640">
        <v>2</v>
      </c>
      <c r="J1640">
        <v>1074.92</v>
      </c>
      <c r="K1640" t="str">
        <f t="shared" si="50"/>
        <v>March</v>
      </c>
      <c r="L1640">
        <f t="shared" si="51"/>
        <v>2026</v>
      </c>
    </row>
    <row r="1641" spans="1:12" x14ac:dyDescent="0.3">
      <c r="A1641" s="6">
        <v>46092</v>
      </c>
      <c r="B1641" t="s">
        <v>86</v>
      </c>
      <c r="C1641" t="s">
        <v>12</v>
      </c>
      <c r="D1641" t="s">
        <v>156</v>
      </c>
      <c r="E1641" t="s">
        <v>18</v>
      </c>
      <c r="F1641" t="s">
        <v>40</v>
      </c>
      <c r="G1641" t="s">
        <v>41</v>
      </c>
      <c r="H1641">
        <v>17224.07</v>
      </c>
      <c r="I1641">
        <v>1</v>
      </c>
      <c r="J1641">
        <v>3520.65</v>
      </c>
      <c r="K1641" t="str">
        <f t="shared" si="50"/>
        <v>March</v>
      </c>
      <c r="L1641">
        <f t="shared" si="51"/>
        <v>2026</v>
      </c>
    </row>
    <row r="1642" spans="1:12" x14ac:dyDescent="0.3">
      <c r="A1642" s="6">
        <v>46092</v>
      </c>
      <c r="B1642" t="s">
        <v>25</v>
      </c>
      <c r="C1642" t="s">
        <v>58</v>
      </c>
      <c r="D1642" t="s">
        <v>156</v>
      </c>
      <c r="E1642" t="s">
        <v>26</v>
      </c>
      <c r="F1642" t="s">
        <v>27</v>
      </c>
      <c r="G1642" t="s">
        <v>94</v>
      </c>
      <c r="H1642">
        <v>12069.5</v>
      </c>
      <c r="I1642">
        <v>1</v>
      </c>
      <c r="J1642">
        <v>1637.88</v>
      </c>
      <c r="K1642" t="str">
        <f t="shared" si="50"/>
        <v>March</v>
      </c>
      <c r="L1642">
        <f t="shared" si="51"/>
        <v>2026</v>
      </c>
    </row>
    <row r="1643" spans="1:12" x14ac:dyDescent="0.3">
      <c r="A1643" s="6">
        <v>46093</v>
      </c>
      <c r="B1643" t="s">
        <v>71</v>
      </c>
      <c r="C1643" t="s">
        <v>62</v>
      </c>
      <c r="D1643" t="s">
        <v>156</v>
      </c>
      <c r="E1643" t="s">
        <v>26</v>
      </c>
      <c r="F1643" t="s">
        <v>27</v>
      </c>
      <c r="G1643" t="s">
        <v>94</v>
      </c>
      <c r="H1643">
        <v>60067.26</v>
      </c>
      <c r="I1643">
        <v>5</v>
      </c>
      <c r="J1643">
        <v>-1218.6500000000001</v>
      </c>
      <c r="K1643" t="str">
        <f t="shared" si="50"/>
        <v>March</v>
      </c>
      <c r="L1643">
        <f t="shared" si="51"/>
        <v>2026</v>
      </c>
    </row>
    <row r="1644" spans="1:12" x14ac:dyDescent="0.3">
      <c r="A1644" s="6">
        <v>46094</v>
      </c>
      <c r="B1644" t="s">
        <v>74</v>
      </c>
      <c r="C1644" t="s">
        <v>49</v>
      </c>
      <c r="D1644" t="s">
        <v>156</v>
      </c>
      <c r="E1644" t="s">
        <v>35</v>
      </c>
      <c r="F1644" t="s">
        <v>75</v>
      </c>
      <c r="G1644" t="s">
        <v>76</v>
      </c>
      <c r="H1644">
        <v>130406.5</v>
      </c>
      <c r="I1644">
        <v>3</v>
      </c>
      <c r="J1644">
        <v>22918.18</v>
      </c>
      <c r="K1644" t="str">
        <f t="shared" si="50"/>
        <v>March</v>
      </c>
      <c r="L1644">
        <f t="shared" si="51"/>
        <v>2026</v>
      </c>
    </row>
    <row r="1645" spans="1:12" x14ac:dyDescent="0.3">
      <c r="A1645" s="6">
        <v>46095</v>
      </c>
      <c r="B1645" t="s">
        <v>95</v>
      </c>
      <c r="C1645" t="s">
        <v>68</v>
      </c>
      <c r="D1645" t="s">
        <v>156</v>
      </c>
      <c r="E1645" t="s">
        <v>18</v>
      </c>
      <c r="F1645" t="s">
        <v>40</v>
      </c>
      <c r="G1645" t="s">
        <v>105</v>
      </c>
      <c r="H1645">
        <v>4954.74</v>
      </c>
      <c r="I1645">
        <v>2</v>
      </c>
      <c r="J1645">
        <v>664.29</v>
      </c>
      <c r="K1645" t="str">
        <f t="shared" si="50"/>
        <v>March</v>
      </c>
      <c r="L1645">
        <f t="shared" si="51"/>
        <v>2026</v>
      </c>
    </row>
    <row r="1646" spans="1:12" x14ac:dyDescent="0.3">
      <c r="A1646" s="6">
        <v>46095</v>
      </c>
      <c r="B1646" t="s">
        <v>60</v>
      </c>
      <c r="C1646" t="s">
        <v>58</v>
      </c>
      <c r="D1646" t="s">
        <v>156</v>
      </c>
      <c r="E1646" t="s">
        <v>26</v>
      </c>
      <c r="F1646" t="s">
        <v>53</v>
      </c>
      <c r="G1646" t="s">
        <v>100</v>
      </c>
      <c r="H1646">
        <v>86257.65</v>
      </c>
      <c r="I1646">
        <v>1</v>
      </c>
      <c r="J1646">
        <v>15840</v>
      </c>
      <c r="K1646" t="str">
        <f t="shared" si="50"/>
        <v>March</v>
      </c>
      <c r="L1646">
        <f t="shared" si="51"/>
        <v>2026</v>
      </c>
    </row>
    <row r="1647" spans="1:12" x14ac:dyDescent="0.3">
      <c r="A1647" s="6">
        <v>46095</v>
      </c>
      <c r="B1647" t="s">
        <v>21</v>
      </c>
      <c r="C1647" t="s">
        <v>61</v>
      </c>
      <c r="D1647" t="s">
        <v>156</v>
      </c>
      <c r="E1647" t="s">
        <v>13</v>
      </c>
      <c r="F1647" t="s">
        <v>14</v>
      </c>
      <c r="G1647" t="s">
        <v>88</v>
      </c>
      <c r="H1647">
        <v>1437.12</v>
      </c>
      <c r="I1647">
        <v>1</v>
      </c>
      <c r="J1647">
        <v>303.27999999999997</v>
      </c>
      <c r="K1647" t="str">
        <f t="shared" si="50"/>
        <v>March</v>
      </c>
      <c r="L1647">
        <f t="shared" si="51"/>
        <v>2026</v>
      </c>
    </row>
    <row r="1648" spans="1:12" x14ac:dyDescent="0.3">
      <c r="A1648" s="6">
        <v>46095</v>
      </c>
      <c r="B1648" t="s">
        <v>32</v>
      </c>
      <c r="C1648" t="s">
        <v>39</v>
      </c>
      <c r="D1648" t="s">
        <v>156</v>
      </c>
      <c r="E1648" t="s">
        <v>13</v>
      </c>
      <c r="F1648" t="s">
        <v>14</v>
      </c>
      <c r="G1648" t="s">
        <v>57</v>
      </c>
      <c r="H1648">
        <v>2973.59</v>
      </c>
      <c r="I1648">
        <v>2</v>
      </c>
      <c r="J1648">
        <v>488.75</v>
      </c>
      <c r="K1648" t="str">
        <f t="shared" si="50"/>
        <v>March</v>
      </c>
      <c r="L1648">
        <f t="shared" si="51"/>
        <v>2026</v>
      </c>
    </row>
    <row r="1649" spans="1:12" x14ac:dyDescent="0.3">
      <c r="A1649" s="6">
        <v>46096</v>
      </c>
      <c r="B1649" t="s">
        <v>109</v>
      </c>
      <c r="C1649" t="s">
        <v>22</v>
      </c>
      <c r="D1649" t="s">
        <v>156</v>
      </c>
      <c r="E1649" t="s">
        <v>18</v>
      </c>
      <c r="F1649" t="s">
        <v>40</v>
      </c>
      <c r="G1649" t="s">
        <v>102</v>
      </c>
      <c r="H1649">
        <v>5548.47</v>
      </c>
      <c r="I1649">
        <v>4</v>
      </c>
      <c r="J1649">
        <v>512.87</v>
      </c>
      <c r="K1649" t="str">
        <f t="shared" si="50"/>
        <v>March</v>
      </c>
      <c r="L1649">
        <f t="shared" si="51"/>
        <v>2026</v>
      </c>
    </row>
    <row r="1650" spans="1:12" x14ac:dyDescent="0.3">
      <c r="A1650" s="6">
        <v>46096</v>
      </c>
      <c r="B1650" t="s">
        <v>95</v>
      </c>
      <c r="C1650" t="s">
        <v>61</v>
      </c>
      <c r="D1650" t="s">
        <v>156</v>
      </c>
      <c r="E1650" t="s">
        <v>13</v>
      </c>
      <c r="F1650" t="s">
        <v>14</v>
      </c>
      <c r="G1650" t="s">
        <v>111</v>
      </c>
      <c r="H1650">
        <v>1678.66</v>
      </c>
      <c r="I1650">
        <v>1</v>
      </c>
      <c r="J1650">
        <v>300.93</v>
      </c>
      <c r="K1650" t="str">
        <f t="shared" si="50"/>
        <v>March</v>
      </c>
      <c r="L1650">
        <f t="shared" si="51"/>
        <v>2026</v>
      </c>
    </row>
    <row r="1651" spans="1:12" x14ac:dyDescent="0.3">
      <c r="A1651" s="6">
        <v>46096</v>
      </c>
      <c r="B1651" t="s">
        <v>25</v>
      </c>
      <c r="C1651" t="s">
        <v>69</v>
      </c>
      <c r="D1651" t="s">
        <v>156</v>
      </c>
      <c r="E1651" t="s">
        <v>35</v>
      </c>
      <c r="F1651" t="s">
        <v>75</v>
      </c>
      <c r="G1651" t="s">
        <v>76</v>
      </c>
      <c r="H1651">
        <v>40301.89</v>
      </c>
      <c r="I1651">
        <v>1</v>
      </c>
      <c r="J1651">
        <v>8501.93</v>
      </c>
      <c r="K1651" t="str">
        <f t="shared" si="50"/>
        <v>March</v>
      </c>
      <c r="L1651">
        <f t="shared" si="51"/>
        <v>2026</v>
      </c>
    </row>
    <row r="1652" spans="1:12" x14ac:dyDescent="0.3">
      <c r="A1652" s="6">
        <v>46098</v>
      </c>
      <c r="B1652" t="s">
        <v>92</v>
      </c>
      <c r="C1652" t="s">
        <v>68</v>
      </c>
      <c r="D1652" t="s">
        <v>156</v>
      </c>
      <c r="E1652" t="s">
        <v>18</v>
      </c>
      <c r="F1652" t="s">
        <v>40</v>
      </c>
      <c r="G1652" t="s">
        <v>105</v>
      </c>
      <c r="H1652">
        <v>2108.08</v>
      </c>
      <c r="I1652">
        <v>1</v>
      </c>
      <c r="J1652">
        <v>383.51</v>
      </c>
      <c r="K1652" t="str">
        <f t="shared" si="50"/>
        <v>March</v>
      </c>
      <c r="L1652">
        <f t="shared" si="51"/>
        <v>2026</v>
      </c>
    </row>
    <row r="1653" spans="1:12" x14ac:dyDescent="0.3">
      <c r="A1653" s="6">
        <v>46098</v>
      </c>
      <c r="B1653" t="s">
        <v>48</v>
      </c>
      <c r="C1653" t="s">
        <v>17</v>
      </c>
      <c r="D1653" t="s">
        <v>156</v>
      </c>
      <c r="E1653" t="s">
        <v>18</v>
      </c>
      <c r="F1653" t="s">
        <v>19</v>
      </c>
      <c r="G1653" t="s">
        <v>72</v>
      </c>
      <c r="H1653">
        <v>245401.87</v>
      </c>
      <c r="I1653">
        <v>4</v>
      </c>
      <c r="J1653">
        <v>44786.67</v>
      </c>
      <c r="K1653" t="str">
        <f t="shared" si="50"/>
        <v>March</v>
      </c>
      <c r="L1653">
        <f t="shared" si="51"/>
        <v>2026</v>
      </c>
    </row>
    <row r="1654" spans="1:12" x14ac:dyDescent="0.3">
      <c r="A1654" s="6">
        <v>46100</v>
      </c>
      <c r="B1654" t="s">
        <v>80</v>
      </c>
      <c r="C1654" t="s">
        <v>58</v>
      </c>
      <c r="D1654" t="s">
        <v>156</v>
      </c>
      <c r="E1654" t="s">
        <v>13</v>
      </c>
      <c r="F1654" t="s">
        <v>14</v>
      </c>
      <c r="G1654" t="s">
        <v>57</v>
      </c>
      <c r="H1654">
        <v>1508.2</v>
      </c>
      <c r="I1654">
        <v>1</v>
      </c>
      <c r="J1654">
        <v>150.65</v>
      </c>
      <c r="K1654" t="str">
        <f t="shared" si="50"/>
        <v>March</v>
      </c>
      <c r="L1654">
        <f t="shared" si="51"/>
        <v>2026</v>
      </c>
    </row>
    <row r="1655" spans="1:12" x14ac:dyDescent="0.3">
      <c r="A1655" s="6">
        <v>46100</v>
      </c>
      <c r="B1655" t="s">
        <v>103</v>
      </c>
      <c r="C1655" t="s">
        <v>46</v>
      </c>
      <c r="D1655" t="s">
        <v>156</v>
      </c>
      <c r="E1655" t="s">
        <v>35</v>
      </c>
      <c r="F1655" t="s">
        <v>75</v>
      </c>
      <c r="G1655" t="s">
        <v>110</v>
      </c>
      <c r="H1655">
        <v>48649.919999999998</v>
      </c>
      <c r="I1655">
        <v>1</v>
      </c>
      <c r="J1655">
        <v>4624.92</v>
      </c>
      <c r="K1655" t="str">
        <f t="shared" si="50"/>
        <v>March</v>
      </c>
      <c r="L1655">
        <f t="shared" si="51"/>
        <v>2026</v>
      </c>
    </row>
    <row r="1656" spans="1:12" x14ac:dyDescent="0.3">
      <c r="A1656" s="6">
        <v>46100</v>
      </c>
      <c r="B1656" t="s">
        <v>109</v>
      </c>
      <c r="C1656" t="s">
        <v>39</v>
      </c>
      <c r="D1656" t="s">
        <v>156</v>
      </c>
      <c r="E1656" t="s">
        <v>18</v>
      </c>
      <c r="F1656" t="s">
        <v>19</v>
      </c>
      <c r="G1656" t="s">
        <v>20</v>
      </c>
      <c r="H1656">
        <v>262096.41</v>
      </c>
      <c r="I1656">
        <v>4</v>
      </c>
      <c r="J1656">
        <v>28226.01</v>
      </c>
      <c r="K1656" t="str">
        <f t="shared" si="50"/>
        <v>March</v>
      </c>
      <c r="L1656">
        <f t="shared" si="51"/>
        <v>2026</v>
      </c>
    </row>
    <row r="1657" spans="1:12" x14ac:dyDescent="0.3">
      <c r="A1657" s="6">
        <v>46102</v>
      </c>
      <c r="B1657" t="s">
        <v>48</v>
      </c>
      <c r="C1657" t="s">
        <v>49</v>
      </c>
      <c r="D1657" t="s">
        <v>156</v>
      </c>
      <c r="E1657" t="s">
        <v>13</v>
      </c>
      <c r="F1657" t="s">
        <v>14</v>
      </c>
      <c r="G1657" t="s">
        <v>57</v>
      </c>
      <c r="H1657">
        <v>3543.93</v>
      </c>
      <c r="I1657">
        <v>2</v>
      </c>
      <c r="J1657">
        <v>433.72</v>
      </c>
      <c r="K1657" t="str">
        <f t="shared" si="50"/>
        <v>March</v>
      </c>
      <c r="L1657">
        <f t="shared" si="51"/>
        <v>2026</v>
      </c>
    </row>
    <row r="1658" spans="1:12" x14ac:dyDescent="0.3">
      <c r="A1658" s="6">
        <v>46102</v>
      </c>
      <c r="B1658" t="s">
        <v>32</v>
      </c>
      <c r="C1658" t="s">
        <v>46</v>
      </c>
      <c r="D1658" t="s">
        <v>156</v>
      </c>
      <c r="E1658" t="s">
        <v>42</v>
      </c>
      <c r="F1658" t="s">
        <v>43</v>
      </c>
      <c r="G1658" t="s">
        <v>87</v>
      </c>
      <c r="H1658">
        <v>32378.15</v>
      </c>
      <c r="I1658">
        <v>3</v>
      </c>
      <c r="J1658">
        <v>4369.6000000000004</v>
      </c>
      <c r="K1658" t="str">
        <f t="shared" si="50"/>
        <v>March</v>
      </c>
      <c r="L1658">
        <f t="shared" si="51"/>
        <v>2026</v>
      </c>
    </row>
    <row r="1659" spans="1:12" x14ac:dyDescent="0.3">
      <c r="A1659" s="6">
        <v>46102</v>
      </c>
      <c r="B1659" t="s">
        <v>60</v>
      </c>
      <c r="C1659" t="s">
        <v>61</v>
      </c>
      <c r="D1659" t="s">
        <v>156</v>
      </c>
      <c r="E1659" t="s">
        <v>42</v>
      </c>
      <c r="F1659" t="s">
        <v>90</v>
      </c>
      <c r="G1659" t="s">
        <v>97</v>
      </c>
      <c r="H1659">
        <v>2184.0100000000002</v>
      </c>
      <c r="I1659">
        <v>1</v>
      </c>
      <c r="J1659">
        <v>223.07</v>
      </c>
      <c r="K1659" t="str">
        <f t="shared" si="50"/>
        <v>March</v>
      </c>
      <c r="L1659">
        <f t="shared" si="51"/>
        <v>2026</v>
      </c>
    </row>
    <row r="1660" spans="1:12" x14ac:dyDescent="0.3">
      <c r="A1660" s="6">
        <v>46104</v>
      </c>
      <c r="B1660" t="s">
        <v>95</v>
      </c>
      <c r="C1660" t="s">
        <v>12</v>
      </c>
      <c r="D1660" t="s">
        <v>156</v>
      </c>
      <c r="E1660" t="s">
        <v>42</v>
      </c>
      <c r="F1660" t="s">
        <v>90</v>
      </c>
      <c r="G1660" t="s">
        <v>120</v>
      </c>
      <c r="H1660">
        <v>20446.689999999999</v>
      </c>
      <c r="I1660">
        <v>4</v>
      </c>
      <c r="J1660">
        <v>2393.0100000000002</v>
      </c>
      <c r="K1660" t="str">
        <f t="shared" si="50"/>
        <v>March</v>
      </c>
      <c r="L1660">
        <f t="shared" si="51"/>
        <v>2026</v>
      </c>
    </row>
    <row r="1661" spans="1:12" x14ac:dyDescent="0.3">
      <c r="A1661" s="6">
        <v>46104</v>
      </c>
      <c r="B1661" t="s">
        <v>38</v>
      </c>
      <c r="C1661" t="s">
        <v>58</v>
      </c>
      <c r="D1661" t="s">
        <v>156</v>
      </c>
      <c r="E1661" t="s">
        <v>35</v>
      </c>
      <c r="F1661" t="s">
        <v>50</v>
      </c>
      <c r="G1661" t="s">
        <v>118</v>
      </c>
      <c r="H1661">
        <v>6558.07</v>
      </c>
      <c r="I1661">
        <v>1</v>
      </c>
      <c r="J1661">
        <v>836.91</v>
      </c>
      <c r="K1661" t="str">
        <f t="shared" si="50"/>
        <v>March</v>
      </c>
      <c r="L1661">
        <f t="shared" si="51"/>
        <v>2026</v>
      </c>
    </row>
    <row r="1662" spans="1:12" x14ac:dyDescent="0.3">
      <c r="A1662" s="6">
        <v>46105</v>
      </c>
      <c r="B1662" t="s">
        <v>73</v>
      </c>
      <c r="C1662" t="s">
        <v>39</v>
      </c>
      <c r="D1662" t="s">
        <v>156</v>
      </c>
      <c r="E1662" t="s">
        <v>13</v>
      </c>
      <c r="F1662" t="s">
        <v>23</v>
      </c>
      <c r="G1662" t="s">
        <v>79</v>
      </c>
      <c r="H1662">
        <v>188951.79</v>
      </c>
      <c r="I1662">
        <v>3</v>
      </c>
      <c r="J1662">
        <v>14280.62</v>
      </c>
      <c r="K1662" t="str">
        <f t="shared" si="50"/>
        <v>March</v>
      </c>
      <c r="L1662">
        <f t="shared" si="51"/>
        <v>2026</v>
      </c>
    </row>
    <row r="1663" spans="1:12" x14ac:dyDescent="0.3">
      <c r="A1663" s="6">
        <v>46106</v>
      </c>
      <c r="B1663" t="s">
        <v>86</v>
      </c>
      <c r="C1663" t="s">
        <v>62</v>
      </c>
      <c r="D1663" t="s">
        <v>156</v>
      </c>
      <c r="E1663" t="s">
        <v>18</v>
      </c>
      <c r="F1663" t="s">
        <v>19</v>
      </c>
      <c r="G1663" t="s">
        <v>20</v>
      </c>
      <c r="H1663">
        <v>64027.41</v>
      </c>
      <c r="I1663">
        <v>1</v>
      </c>
      <c r="J1663">
        <v>5388.79</v>
      </c>
      <c r="K1663" t="str">
        <f t="shared" si="50"/>
        <v>March</v>
      </c>
      <c r="L1663">
        <f t="shared" si="51"/>
        <v>2026</v>
      </c>
    </row>
    <row r="1664" spans="1:12" x14ac:dyDescent="0.3">
      <c r="A1664" s="6">
        <v>46106</v>
      </c>
      <c r="B1664" t="s">
        <v>67</v>
      </c>
      <c r="C1664" t="s">
        <v>61</v>
      </c>
      <c r="D1664" t="s">
        <v>156</v>
      </c>
      <c r="E1664" t="s">
        <v>13</v>
      </c>
      <c r="F1664" t="s">
        <v>14</v>
      </c>
      <c r="G1664" t="s">
        <v>88</v>
      </c>
      <c r="H1664">
        <v>4332.72</v>
      </c>
      <c r="I1664">
        <v>3</v>
      </c>
      <c r="J1664">
        <v>571.73</v>
      </c>
      <c r="K1664" t="str">
        <f t="shared" si="50"/>
        <v>March</v>
      </c>
      <c r="L1664">
        <f t="shared" si="51"/>
        <v>2026</v>
      </c>
    </row>
    <row r="1665" spans="1:12" x14ac:dyDescent="0.3">
      <c r="A1665" s="6">
        <v>46107</v>
      </c>
      <c r="B1665" t="s">
        <v>74</v>
      </c>
      <c r="C1665" t="s">
        <v>22</v>
      </c>
      <c r="D1665" t="s">
        <v>156</v>
      </c>
      <c r="E1665" t="s">
        <v>35</v>
      </c>
      <c r="F1665" t="s">
        <v>50</v>
      </c>
      <c r="G1665" t="s">
        <v>119</v>
      </c>
      <c r="H1665">
        <v>2563.6999999999998</v>
      </c>
      <c r="I1665">
        <v>1</v>
      </c>
      <c r="J1665">
        <v>264.13</v>
      </c>
      <c r="K1665" t="str">
        <f t="shared" si="50"/>
        <v>March</v>
      </c>
      <c r="L1665">
        <f t="shared" si="51"/>
        <v>2026</v>
      </c>
    </row>
    <row r="1666" spans="1:12" x14ac:dyDescent="0.3">
      <c r="A1666" s="6">
        <v>46107</v>
      </c>
      <c r="B1666" t="s">
        <v>86</v>
      </c>
      <c r="C1666" t="s">
        <v>66</v>
      </c>
      <c r="D1666" t="s">
        <v>156</v>
      </c>
      <c r="E1666" t="s">
        <v>35</v>
      </c>
      <c r="F1666" t="s">
        <v>36</v>
      </c>
      <c r="G1666" t="s">
        <v>37</v>
      </c>
      <c r="H1666">
        <v>139594.29999999999</v>
      </c>
      <c r="I1666">
        <v>5</v>
      </c>
      <c r="J1666">
        <v>25377.26</v>
      </c>
      <c r="K1666" t="str">
        <f t="shared" si="50"/>
        <v>March</v>
      </c>
      <c r="L1666">
        <f t="shared" si="51"/>
        <v>2026</v>
      </c>
    </row>
    <row r="1667" spans="1:12" x14ac:dyDescent="0.3">
      <c r="A1667" s="6">
        <v>46108</v>
      </c>
      <c r="B1667" t="s">
        <v>78</v>
      </c>
      <c r="C1667" t="s">
        <v>12</v>
      </c>
      <c r="D1667" t="s">
        <v>156</v>
      </c>
      <c r="E1667" t="s">
        <v>35</v>
      </c>
      <c r="F1667" t="s">
        <v>63</v>
      </c>
      <c r="G1667" t="s">
        <v>114</v>
      </c>
      <c r="H1667">
        <v>28917.79</v>
      </c>
      <c r="I1667">
        <v>1</v>
      </c>
      <c r="J1667">
        <v>3109.19</v>
      </c>
      <c r="K1667" t="str">
        <f t="shared" ref="K1667:K1730" si="52">TEXT(A1667,"mmmm")</f>
        <v>March</v>
      </c>
      <c r="L1667">
        <f t="shared" ref="L1667:L1730" si="53">YEAR(A1667)</f>
        <v>2026</v>
      </c>
    </row>
    <row r="1668" spans="1:12" x14ac:dyDescent="0.3">
      <c r="A1668" s="6">
        <v>46108</v>
      </c>
      <c r="B1668" t="s">
        <v>16</v>
      </c>
      <c r="C1668" t="s">
        <v>39</v>
      </c>
      <c r="D1668" t="s">
        <v>156</v>
      </c>
      <c r="E1668" t="s">
        <v>42</v>
      </c>
      <c r="F1668" t="s">
        <v>90</v>
      </c>
      <c r="G1668" t="s">
        <v>91</v>
      </c>
      <c r="H1668">
        <v>1793.29</v>
      </c>
      <c r="I1668">
        <v>1</v>
      </c>
      <c r="J1668">
        <v>169.71</v>
      </c>
      <c r="K1668" t="str">
        <f t="shared" si="52"/>
        <v>March</v>
      </c>
      <c r="L1668">
        <f t="shared" si="53"/>
        <v>2026</v>
      </c>
    </row>
    <row r="1669" spans="1:12" x14ac:dyDescent="0.3">
      <c r="A1669" s="6">
        <v>46109</v>
      </c>
      <c r="B1669" t="s">
        <v>65</v>
      </c>
      <c r="C1669" t="s">
        <v>66</v>
      </c>
      <c r="D1669" t="s">
        <v>156</v>
      </c>
      <c r="E1669" t="s">
        <v>13</v>
      </c>
      <c r="F1669" t="s">
        <v>23</v>
      </c>
      <c r="G1669" t="s">
        <v>77</v>
      </c>
      <c r="H1669">
        <v>113183.64</v>
      </c>
      <c r="I1669">
        <v>3</v>
      </c>
      <c r="J1669">
        <v>8919.92</v>
      </c>
      <c r="K1669" t="str">
        <f t="shared" si="52"/>
        <v>March</v>
      </c>
      <c r="L1669">
        <f t="shared" si="53"/>
        <v>2026</v>
      </c>
    </row>
    <row r="1670" spans="1:12" x14ac:dyDescent="0.3">
      <c r="A1670" s="6">
        <v>46109</v>
      </c>
      <c r="B1670" t="s">
        <v>78</v>
      </c>
      <c r="C1670" t="s">
        <v>81</v>
      </c>
      <c r="D1670" t="s">
        <v>156</v>
      </c>
      <c r="E1670" t="s">
        <v>42</v>
      </c>
      <c r="F1670" t="s">
        <v>43</v>
      </c>
      <c r="G1670" t="s">
        <v>87</v>
      </c>
      <c r="H1670">
        <v>33915.68</v>
      </c>
      <c r="I1670">
        <v>3</v>
      </c>
      <c r="J1670">
        <v>3654.76</v>
      </c>
      <c r="K1670" t="str">
        <f t="shared" si="52"/>
        <v>March</v>
      </c>
      <c r="L1670">
        <f t="shared" si="53"/>
        <v>2026</v>
      </c>
    </row>
    <row r="1671" spans="1:12" x14ac:dyDescent="0.3">
      <c r="A1671" s="6">
        <v>46110</v>
      </c>
      <c r="B1671" t="s">
        <v>74</v>
      </c>
      <c r="C1671" t="s">
        <v>12</v>
      </c>
      <c r="D1671" t="s">
        <v>156</v>
      </c>
      <c r="E1671" t="s">
        <v>42</v>
      </c>
      <c r="F1671" t="s">
        <v>43</v>
      </c>
      <c r="G1671" t="s">
        <v>87</v>
      </c>
      <c r="H1671">
        <v>9908.1200000000008</v>
      </c>
      <c r="I1671">
        <v>1</v>
      </c>
      <c r="J1671">
        <v>1035.1199999999999</v>
      </c>
      <c r="K1671" t="str">
        <f t="shared" si="52"/>
        <v>March</v>
      </c>
      <c r="L1671">
        <f t="shared" si="53"/>
        <v>2026</v>
      </c>
    </row>
    <row r="1672" spans="1:12" x14ac:dyDescent="0.3">
      <c r="A1672" s="6">
        <v>46110</v>
      </c>
      <c r="B1672" t="s">
        <v>113</v>
      </c>
      <c r="C1672" t="s">
        <v>66</v>
      </c>
      <c r="D1672" t="s">
        <v>156</v>
      </c>
      <c r="E1672" t="s">
        <v>13</v>
      </c>
      <c r="F1672" t="s">
        <v>14</v>
      </c>
      <c r="G1672" t="s">
        <v>70</v>
      </c>
      <c r="H1672">
        <v>2674.47</v>
      </c>
      <c r="I1672">
        <v>1</v>
      </c>
      <c r="J1672">
        <v>409.66</v>
      </c>
      <c r="K1672" t="str">
        <f t="shared" si="52"/>
        <v>March</v>
      </c>
      <c r="L1672">
        <f t="shared" si="53"/>
        <v>2026</v>
      </c>
    </row>
    <row r="1673" spans="1:12" x14ac:dyDescent="0.3">
      <c r="A1673" s="6">
        <v>46111</v>
      </c>
      <c r="B1673" t="s">
        <v>32</v>
      </c>
      <c r="C1673" t="s">
        <v>12</v>
      </c>
      <c r="D1673" t="s">
        <v>156</v>
      </c>
      <c r="E1673" t="s">
        <v>35</v>
      </c>
      <c r="F1673" t="s">
        <v>50</v>
      </c>
      <c r="G1673" t="s">
        <v>118</v>
      </c>
      <c r="H1673">
        <v>7260.13</v>
      </c>
      <c r="I1673">
        <v>1</v>
      </c>
      <c r="J1673">
        <v>1073.78</v>
      </c>
      <c r="K1673" t="str">
        <f t="shared" si="52"/>
        <v>March</v>
      </c>
      <c r="L1673">
        <f t="shared" si="53"/>
        <v>2026</v>
      </c>
    </row>
    <row r="1674" spans="1:12" x14ac:dyDescent="0.3">
      <c r="A1674" s="6">
        <v>46111</v>
      </c>
      <c r="B1674" t="s">
        <v>113</v>
      </c>
      <c r="C1674" t="s">
        <v>69</v>
      </c>
      <c r="D1674" t="s">
        <v>156</v>
      </c>
      <c r="E1674" t="s">
        <v>26</v>
      </c>
      <c r="F1674" t="s">
        <v>53</v>
      </c>
      <c r="G1674" t="s">
        <v>54</v>
      </c>
      <c r="H1674">
        <v>125511.39</v>
      </c>
      <c r="I1674">
        <v>3</v>
      </c>
      <c r="J1674">
        <v>23826.42</v>
      </c>
      <c r="K1674" t="str">
        <f t="shared" si="52"/>
        <v>March</v>
      </c>
      <c r="L1674">
        <f t="shared" si="53"/>
        <v>2026</v>
      </c>
    </row>
    <row r="1675" spans="1:12" x14ac:dyDescent="0.3">
      <c r="A1675" s="6">
        <v>46111</v>
      </c>
      <c r="B1675" t="s">
        <v>78</v>
      </c>
      <c r="C1675" t="s">
        <v>49</v>
      </c>
      <c r="D1675" t="s">
        <v>156</v>
      </c>
      <c r="E1675" t="s">
        <v>42</v>
      </c>
      <c r="F1675" t="s">
        <v>90</v>
      </c>
      <c r="G1675" t="s">
        <v>120</v>
      </c>
      <c r="H1675">
        <v>5828.77</v>
      </c>
      <c r="I1675">
        <v>1</v>
      </c>
      <c r="J1675">
        <v>-333.55</v>
      </c>
      <c r="K1675" t="str">
        <f t="shared" si="52"/>
        <v>March</v>
      </c>
      <c r="L1675">
        <f t="shared" si="53"/>
        <v>2026</v>
      </c>
    </row>
    <row r="1676" spans="1:12" x14ac:dyDescent="0.3">
      <c r="A1676" s="6">
        <v>46112</v>
      </c>
      <c r="B1676" t="s">
        <v>92</v>
      </c>
      <c r="C1676" t="s">
        <v>49</v>
      </c>
      <c r="D1676" t="s">
        <v>156</v>
      </c>
      <c r="E1676" t="s">
        <v>18</v>
      </c>
      <c r="F1676" t="s">
        <v>40</v>
      </c>
      <c r="G1676" t="s">
        <v>117</v>
      </c>
      <c r="H1676">
        <v>2915.66</v>
      </c>
      <c r="I1676">
        <v>1</v>
      </c>
      <c r="J1676">
        <v>529.05999999999995</v>
      </c>
      <c r="K1676" t="str">
        <f t="shared" si="52"/>
        <v>March</v>
      </c>
      <c r="L1676">
        <f t="shared" si="53"/>
        <v>2026</v>
      </c>
    </row>
    <row r="1677" spans="1:12" x14ac:dyDescent="0.3">
      <c r="A1677" s="6">
        <v>46112</v>
      </c>
      <c r="B1677" t="s">
        <v>11</v>
      </c>
      <c r="C1677" t="s">
        <v>12</v>
      </c>
      <c r="D1677" t="s">
        <v>156</v>
      </c>
      <c r="E1677" t="s">
        <v>26</v>
      </c>
      <c r="F1677" t="s">
        <v>53</v>
      </c>
      <c r="G1677" t="s">
        <v>100</v>
      </c>
      <c r="H1677">
        <v>187134.98</v>
      </c>
      <c r="I1677">
        <v>2</v>
      </c>
      <c r="J1677">
        <v>32328.16</v>
      </c>
      <c r="K1677" t="str">
        <f t="shared" si="52"/>
        <v>March</v>
      </c>
      <c r="L1677">
        <f t="shared" si="53"/>
        <v>2026</v>
      </c>
    </row>
    <row r="1678" spans="1:12" x14ac:dyDescent="0.3">
      <c r="A1678" s="6">
        <v>46113</v>
      </c>
      <c r="B1678" t="s">
        <v>60</v>
      </c>
      <c r="C1678" t="s">
        <v>61</v>
      </c>
      <c r="D1678" t="s">
        <v>156</v>
      </c>
      <c r="E1678" t="s">
        <v>13</v>
      </c>
      <c r="F1678" t="s">
        <v>23</v>
      </c>
      <c r="G1678" t="s">
        <v>77</v>
      </c>
      <c r="H1678">
        <v>37414.300000000003</v>
      </c>
      <c r="I1678">
        <v>1</v>
      </c>
      <c r="J1678">
        <v>4737.04</v>
      </c>
      <c r="K1678" t="str">
        <f t="shared" si="52"/>
        <v>April</v>
      </c>
      <c r="L1678">
        <f t="shared" si="53"/>
        <v>2026</v>
      </c>
    </row>
    <row r="1679" spans="1:12" x14ac:dyDescent="0.3">
      <c r="A1679" s="6">
        <v>46114</v>
      </c>
      <c r="B1679" t="s">
        <v>65</v>
      </c>
      <c r="C1679" t="s">
        <v>46</v>
      </c>
      <c r="D1679" t="s">
        <v>156</v>
      </c>
      <c r="E1679" t="s">
        <v>13</v>
      </c>
      <c r="F1679" t="s">
        <v>23</v>
      </c>
      <c r="G1679" t="s">
        <v>108</v>
      </c>
      <c r="H1679">
        <v>178426.11</v>
      </c>
      <c r="I1679">
        <v>3</v>
      </c>
      <c r="J1679">
        <v>31543.78</v>
      </c>
      <c r="K1679" t="str">
        <f t="shared" si="52"/>
        <v>April</v>
      </c>
      <c r="L1679">
        <f t="shared" si="53"/>
        <v>2026</v>
      </c>
    </row>
    <row r="1680" spans="1:12" x14ac:dyDescent="0.3">
      <c r="A1680" s="6">
        <v>46115</v>
      </c>
      <c r="B1680" t="s">
        <v>71</v>
      </c>
      <c r="C1680" t="s">
        <v>69</v>
      </c>
      <c r="D1680" t="s">
        <v>156</v>
      </c>
      <c r="E1680" t="s">
        <v>35</v>
      </c>
      <c r="F1680" t="s">
        <v>63</v>
      </c>
      <c r="G1680" t="s">
        <v>114</v>
      </c>
      <c r="H1680">
        <v>27579.86</v>
      </c>
      <c r="I1680">
        <v>1</v>
      </c>
      <c r="J1680">
        <v>5087.45</v>
      </c>
      <c r="K1680" t="str">
        <f t="shared" si="52"/>
        <v>April</v>
      </c>
      <c r="L1680">
        <f t="shared" si="53"/>
        <v>2026</v>
      </c>
    </row>
    <row r="1681" spans="1:12" x14ac:dyDescent="0.3">
      <c r="A1681" s="6">
        <v>46116</v>
      </c>
      <c r="B1681" t="s">
        <v>55</v>
      </c>
      <c r="C1681" t="s">
        <v>56</v>
      </c>
      <c r="D1681" t="s">
        <v>156</v>
      </c>
      <c r="E1681" t="s">
        <v>35</v>
      </c>
      <c r="F1681" t="s">
        <v>63</v>
      </c>
      <c r="G1681" t="s">
        <v>64</v>
      </c>
      <c r="H1681">
        <v>27603.05</v>
      </c>
      <c r="I1681">
        <v>1</v>
      </c>
      <c r="J1681">
        <v>2148.9699999999998</v>
      </c>
      <c r="K1681" t="str">
        <f t="shared" si="52"/>
        <v>April</v>
      </c>
      <c r="L1681">
        <f t="shared" si="53"/>
        <v>2026</v>
      </c>
    </row>
    <row r="1682" spans="1:12" x14ac:dyDescent="0.3">
      <c r="A1682" s="6">
        <v>46117</v>
      </c>
      <c r="B1682" t="s">
        <v>73</v>
      </c>
      <c r="C1682" t="s">
        <v>17</v>
      </c>
      <c r="D1682" t="s">
        <v>156</v>
      </c>
      <c r="E1682" t="s">
        <v>18</v>
      </c>
      <c r="F1682" t="s">
        <v>40</v>
      </c>
      <c r="G1682" t="s">
        <v>102</v>
      </c>
      <c r="H1682">
        <v>2900.18</v>
      </c>
      <c r="I1682">
        <v>2</v>
      </c>
      <c r="J1682">
        <v>321.45999999999998</v>
      </c>
      <c r="K1682" t="str">
        <f t="shared" si="52"/>
        <v>April</v>
      </c>
      <c r="L1682">
        <f t="shared" si="53"/>
        <v>2026</v>
      </c>
    </row>
    <row r="1683" spans="1:12" x14ac:dyDescent="0.3">
      <c r="A1683" s="6">
        <v>46117</v>
      </c>
      <c r="B1683" t="s">
        <v>71</v>
      </c>
      <c r="C1683" t="s">
        <v>46</v>
      </c>
      <c r="D1683" t="s">
        <v>156</v>
      </c>
      <c r="E1683" t="s">
        <v>26</v>
      </c>
      <c r="F1683" t="s">
        <v>27</v>
      </c>
      <c r="G1683" t="s">
        <v>82</v>
      </c>
      <c r="H1683">
        <v>57812.21</v>
      </c>
      <c r="I1683">
        <v>2</v>
      </c>
      <c r="J1683">
        <v>-1931.43</v>
      </c>
      <c r="K1683" t="str">
        <f t="shared" si="52"/>
        <v>April</v>
      </c>
      <c r="L1683">
        <f t="shared" si="53"/>
        <v>2026</v>
      </c>
    </row>
    <row r="1684" spans="1:12" x14ac:dyDescent="0.3">
      <c r="A1684" s="6">
        <v>46117</v>
      </c>
      <c r="B1684" t="s">
        <v>73</v>
      </c>
      <c r="C1684" t="s">
        <v>56</v>
      </c>
      <c r="D1684" t="s">
        <v>156</v>
      </c>
      <c r="E1684" t="s">
        <v>35</v>
      </c>
      <c r="F1684" t="s">
        <v>50</v>
      </c>
      <c r="G1684" t="s">
        <v>51</v>
      </c>
      <c r="H1684">
        <v>8489.17</v>
      </c>
      <c r="I1684">
        <v>1</v>
      </c>
      <c r="J1684">
        <v>1400.72</v>
      </c>
      <c r="K1684" t="str">
        <f t="shared" si="52"/>
        <v>April</v>
      </c>
      <c r="L1684">
        <f t="shared" si="53"/>
        <v>2026</v>
      </c>
    </row>
    <row r="1685" spans="1:12" x14ac:dyDescent="0.3">
      <c r="A1685" s="6">
        <v>46117</v>
      </c>
      <c r="B1685" t="s">
        <v>73</v>
      </c>
      <c r="C1685" t="s">
        <v>12</v>
      </c>
      <c r="D1685" t="s">
        <v>156</v>
      </c>
      <c r="E1685" t="s">
        <v>13</v>
      </c>
      <c r="F1685" t="s">
        <v>14</v>
      </c>
      <c r="G1685" t="s">
        <v>88</v>
      </c>
      <c r="H1685">
        <v>1368.81</v>
      </c>
      <c r="I1685">
        <v>1</v>
      </c>
      <c r="J1685">
        <v>298.95999999999998</v>
      </c>
      <c r="K1685" t="str">
        <f t="shared" si="52"/>
        <v>April</v>
      </c>
      <c r="L1685">
        <f t="shared" si="53"/>
        <v>2026</v>
      </c>
    </row>
    <row r="1686" spans="1:12" x14ac:dyDescent="0.3">
      <c r="A1686" s="6">
        <v>46120</v>
      </c>
      <c r="B1686" t="s">
        <v>74</v>
      </c>
      <c r="C1686" t="s">
        <v>68</v>
      </c>
      <c r="D1686" t="s">
        <v>156</v>
      </c>
      <c r="E1686" t="s">
        <v>18</v>
      </c>
      <c r="F1686" t="s">
        <v>40</v>
      </c>
      <c r="G1686" t="s">
        <v>115</v>
      </c>
      <c r="H1686">
        <v>11619.57</v>
      </c>
      <c r="I1686">
        <v>1</v>
      </c>
      <c r="J1686">
        <v>2000.86</v>
      </c>
      <c r="K1686" t="str">
        <f t="shared" si="52"/>
        <v>April</v>
      </c>
      <c r="L1686">
        <f t="shared" si="53"/>
        <v>2026</v>
      </c>
    </row>
    <row r="1687" spans="1:12" x14ac:dyDescent="0.3">
      <c r="A1687" s="6">
        <v>46121</v>
      </c>
      <c r="B1687" t="s">
        <v>55</v>
      </c>
      <c r="C1687" t="s">
        <v>46</v>
      </c>
      <c r="D1687" t="s">
        <v>156</v>
      </c>
      <c r="E1687" t="s">
        <v>18</v>
      </c>
      <c r="F1687" t="s">
        <v>40</v>
      </c>
      <c r="G1687" t="s">
        <v>102</v>
      </c>
      <c r="H1687">
        <v>2834.55</v>
      </c>
      <c r="I1687">
        <v>2</v>
      </c>
      <c r="J1687">
        <v>429.26</v>
      </c>
      <c r="K1687" t="str">
        <f t="shared" si="52"/>
        <v>April</v>
      </c>
      <c r="L1687">
        <f t="shared" si="53"/>
        <v>2026</v>
      </c>
    </row>
    <row r="1688" spans="1:12" x14ac:dyDescent="0.3">
      <c r="A1688" s="6">
        <v>46121</v>
      </c>
      <c r="B1688" t="s">
        <v>80</v>
      </c>
      <c r="C1688" t="s">
        <v>22</v>
      </c>
      <c r="D1688" t="s">
        <v>156</v>
      </c>
      <c r="E1688" t="s">
        <v>13</v>
      </c>
      <c r="F1688" t="s">
        <v>14</v>
      </c>
      <c r="G1688" t="s">
        <v>88</v>
      </c>
      <c r="H1688">
        <v>1494.71</v>
      </c>
      <c r="I1688">
        <v>1</v>
      </c>
      <c r="J1688">
        <v>218.18</v>
      </c>
      <c r="K1688" t="str">
        <f t="shared" si="52"/>
        <v>April</v>
      </c>
      <c r="L1688">
        <f t="shared" si="53"/>
        <v>2026</v>
      </c>
    </row>
    <row r="1689" spans="1:12" x14ac:dyDescent="0.3">
      <c r="A1689" s="6">
        <v>46121</v>
      </c>
      <c r="B1689" t="s">
        <v>45</v>
      </c>
      <c r="C1689" t="s">
        <v>30</v>
      </c>
      <c r="D1689" t="s">
        <v>156</v>
      </c>
      <c r="E1689" t="s">
        <v>26</v>
      </c>
      <c r="F1689" t="s">
        <v>53</v>
      </c>
      <c r="G1689" t="s">
        <v>54</v>
      </c>
      <c r="H1689">
        <v>76172.740000000005</v>
      </c>
      <c r="I1689">
        <v>2</v>
      </c>
      <c r="J1689">
        <v>-1762.4</v>
      </c>
      <c r="K1689" t="str">
        <f t="shared" si="52"/>
        <v>April</v>
      </c>
      <c r="L1689">
        <f t="shared" si="53"/>
        <v>2026</v>
      </c>
    </row>
    <row r="1690" spans="1:12" x14ac:dyDescent="0.3">
      <c r="A1690" s="6">
        <v>46122</v>
      </c>
      <c r="B1690" t="s">
        <v>34</v>
      </c>
      <c r="C1690" t="s">
        <v>22</v>
      </c>
      <c r="D1690" t="s">
        <v>156</v>
      </c>
      <c r="E1690" t="s">
        <v>18</v>
      </c>
      <c r="F1690" t="s">
        <v>19</v>
      </c>
      <c r="G1690" t="s">
        <v>106</v>
      </c>
      <c r="H1690">
        <v>187157.07</v>
      </c>
      <c r="I1690">
        <v>2</v>
      </c>
      <c r="J1690">
        <v>33962.239999999998</v>
      </c>
      <c r="K1690" t="str">
        <f t="shared" si="52"/>
        <v>April</v>
      </c>
      <c r="L1690">
        <f t="shared" si="53"/>
        <v>2026</v>
      </c>
    </row>
    <row r="1691" spans="1:12" x14ac:dyDescent="0.3">
      <c r="A1691" s="6">
        <v>46122</v>
      </c>
      <c r="B1691" t="s">
        <v>71</v>
      </c>
      <c r="C1691" t="s">
        <v>61</v>
      </c>
      <c r="D1691" t="s">
        <v>156</v>
      </c>
      <c r="E1691" t="s">
        <v>35</v>
      </c>
      <c r="F1691" t="s">
        <v>63</v>
      </c>
      <c r="G1691" t="s">
        <v>64</v>
      </c>
      <c r="H1691">
        <v>30174.959999999999</v>
      </c>
      <c r="I1691">
        <v>1</v>
      </c>
      <c r="J1691">
        <v>3356.04</v>
      </c>
      <c r="K1691" t="str">
        <f t="shared" si="52"/>
        <v>April</v>
      </c>
      <c r="L1691">
        <f t="shared" si="53"/>
        <v>2026</v>
      </c>
    </row>
    <row r="1692" spans="1:12" x14ac:dyDescent="0.3">
      <c r="A1692" s="6">
        <v>46124</v>
      </c>
      <c r="B1692" t="s">
        <v>60</v>
      </c>
      <c r="C1692" t="s">
        <v>68</v>
      </c>
      <c r="D1692" t="s">
        <v>156</v>
      </c>
      <c r="E1692" t="s">
        <v>42</v>
      </c>
      <c r="F1692" t="s">
        <v>90</v>
      </c>
      <c r="G1692" t="s">
        <v>97</v>
      </c>
      <c r="H1692">
        <v>4821.72</v>
      </c>
      <c r="I1692">
        <v>2</v>
      </c>
      <c r="J1692">
        <v>734.46</v>
      </c>
      <c r="K1692" t="str">
        <f t="shared" si="52"/>
        <v>April</v>
      </c>
      <c r="L1692">
        <f t="shared" si="53"/>
        <v>2026</v>
      </c>
    </row>
    <row r="1693" spans="1:12" x14ac:dyDescent="0.3">
      <c r="A1693" s="6">
        <v>46124</v>
      </c>
      <c r="B1693" t="s">
        <v>21</v>
      </c>
      <c r="C1693" t="s">
        <v>17</v>
      </c>
      <c r="D1693" t="s">
        <v>156</v>
      </c>
      <c r="E1693" t="s">
        <v>26</v>
      </c>
      <c r="F1693" t="s">
        <v>53</v>
      </c>
      <c r="G1693" t="s">
        <v>54</v>
      </c>
      <c r="H1693">
        <v>155870.01999999999</v>
      </c>
      <c r="I1693">
        <v>4</v>
      </c>
      <c r="J1693">
        <v>30043.119999999999</v>
      </c>
      <c r="K1693" t="str">
        <f t="shared" si="52"/>
        <v>April</v>
      </c>
      <c r="L1693">
        <f t="shared" si="53"/>
        <v>2026</v>
      </c>
    </row>
    <row r="1694" spans="1:12" x14ac:dyDescent="0.3">
      <c r="A1694" s="6">
        <v>46124</v>
      </c>
      <c r="B1694" t="s">
        <v>67</v>
      </c>
      <c r="C1694" t="s">
        <v>56</v>
      </c>
      <c r="D1694" t="s">
        <v>156</v>
      </c>
      <c r="E1694" t="s">
        <v>42</v>
      </c>
      <c r="F1694" t="s">
        <v>90</v>
      </c>
      <c r="G1694" t="s">
        <v>91</v>
      </c>
      <c r="H1694">
        <v>3798.67</v>
      </c>
      <c r="I1694">
        <v>2</v>
      </c>
      <c r="J1694">
        <v>406.75</v>
      </c>
      <c r="K1694" t="str">
        <f t="shared" si="52"/>
        <v>April</v>
      </c>
      <c r="L1694">
        <f t="shared" si="53"/>
        <v>2026</v>
      </c>
    </row>
    <row r="1695" spans="1:12" x14ac:dyDescent="0.3">
      <c r="A1695" s="6">
        <v>46125</v>
      </c>
      <c r="B1695" t="s">
        <v>65</v>
      </c>
      <c r="C1695" t="s">
        <v>61</v>
      </c>
      <c r="D1695" t="s">
        <v>156</v>
      </c>
      <c r="E1695" t="s">
        <v>13</v>
      </c>
      <c r="F1695" t="s">
        <v>14</v>
      </c>
      <c r="G1695" t="s">
        <v>15</v>
      </c>
      <c r="H1695">
        <v>4880.51</v>
      </c>
      <c r="I1695">
        <v>2</v>
      </c>
      <c r="J1695">
        <v>765.47</v>
      </c>
      <c r="K1695" t="str">
        <f t="shared" si="52"/>
        <v>April</v>
      </c>
      <c r="L1695">
        <f t="shared" si="53"/>
        <v>2026</v>
      </c>
    </row>
    <row r="1696" spans="1:12" x14ac:dyDescent="0.3">
      <c r="A1696" s="6">
        <v>46125</v>
      </c>
      <c r="B1696" t="s">
        <v>11</v>
      </c>
      <c r="C1696" t="s">
        <v>62</v>
      </c>
      <c r="D1696" t="s">
        <v>156</v>
      </c>
      <c r="E1696" t="s">
        <v>13</v>
      </c>
      <c r="F1696" t="s">
        <v>23</v>
      </c>
      <c r="G1696" t="s">
        <v>79</v>
      </c>
      <c r="H1696">
        <v>66813.289999999994</v>
      </c>
      <c r="I1696">
        <v>1</v>
      </c>
      <c r="J1696">
        <v>-3506.44</v>
      </c>
      <c r="K1696" t="str">
        <f t="shared" si="52"/>
        <v>April</v>
      </c>
      <c r="L1696">
        <f t="shared" si="53"/>
        <v>2026</v>
      </c>
    </row>
    <row r="1697" spans="1:12" x14ac:dyDescent="0.3">
      <c r="A1697" s="6">
        <v>46126</v>
      </c>
      <c r="B1697" t="s">
        <v>38</v>
      </c>
      <c r="C1697" t="s">
        <v>49</v>
      </c>
      <c r="D1697" t="s">
        <v>156</v>
      </c>
      <c r="E1697" t="s">
        <v>13</v>
      </c>
      <c r="F1697" t="s">
        <v>14</v>
      </c>
      <c r="G1697" t="s">
        <v>57</v>
      </c>
      <c r="H1697">
        <v>8599.43</v>
      </c>
      <c r="I1697">
        <v>5</v>
      </c>
      <c r="J1697">
        <v>667.89</v>
      </c>
      <c r="K1697" t="str">
        <f t="shared" si="52"/>
        <v>April</v>
      </c>
      <c r="L1697">
        <f t="shared" si="53"/>
        <v>2026</v>
      </c>
    </row>
    <row r="1698" spans="1:12" x14ac:dyDescent="0.3">
      <c r="A1698" s="6">
        <v>46126</v>
      </c>
      <c r="B1698" t="s">
        <v>78</v>
      </c>
      <c r="C1698" t="s">
        <v>56</v>
      </c>
      <c r="D1698" t="s">
        <v>156</v>
      </c>
      <c r="E1698" t="s">
        <v>13</v>
      </c>
      <c r="F1698" t="s">
        <v>23</v>
      </c>
      <c r="G1698" t="s">
        <v>108</v>
      </c>
      <c r="H1698">
        <v>52631.519999999997</v>
      </c>
      <c r="I1698">
        <v>1</v>
      </c>
      <c r="J1698">
        <v>-909.76</v>
      </c>
      <c r="K1698" t="str">
        <f t="shared" si="52"/>
        <v>April</v>
      </c>
      <c r="L1698">
        <f t="shared" si="53"/>
        <v>2026</v>
      </c>
    </row>
    <row r="1699" spans="1:12" x14ac:dyDescent="0.3">
      <c r="A1699" s="6">
        <v>46126</v>
      </c>
      <c r="B1699" t="s">
        <v>71</v>
      </c>
      <c r="C1699" t="s">
        <v>69</v>
      </c>
      <c r="D1699" t="s">
        <v>156</v>
      </c>
      <c r="E1699" t="s">
        <v>13</v>
      </c>
      <c r="F1699" t="s">
        <v>23</v>
      </c>
      <c r="G1699" t="s">
        <v>47</v>
      </c>
      <c r="H1699">
        <v>123606.16</v>
      </c>
      <c r="I1699">
        <v>2</v>
      </c>
      <c r="J1699">
        <v>9312.5</v>
      </c>
      <c r="K1699" t="str">
        <f t="shared" si="52"/>
        <v>April</v>
      </c>
      <c r="L1699">
        <f t="shared" si="53"/>
        <v>2026</v>
      </c>
    </row>
    <row r="1700" spans="1:12" x14ac:dyDescent="0.3">
      <c r="A1700" s="6">
        <v>46127</v>
      </c>
      <c r="B1700" t="s">
        <v>78</v>
      </c>
      <c r="C1700" t="s">
        <v>49</v>
      </c>
      <c r="D1700" t="s">
        <v>156</v>
      </c>
      <c r="E1700" t="s">
        <v>26</v>
      </c>
      <c r="F1700" t="s">
        <v>53</v>
      </c>
      <c r="G1700" t="s">
        <v>104</v>
      </c>
      <c r="H1700">
        <v>238828.79</v>
      </c>
      <c r="I1700">
        <v>3</v>
      </c>
      <c r="J1700">
        <v>41334.949999999997</v>
      </c>
      <c r="K1700" t="str">
        <f t="shared" si="52"/>
        <v>April</v>
      </c>
      <c r="L1700">
        <f t="shared" si="53"/>
        <v>2026</v>
      </c>
    </row>
    <row r="1701" spans="1:12" x14ac:dyDescent="0.3">
      <c r="A1701" s="6">
        <v>46127</v>
      </c>
      <c r="B1701" t="s">
        <v>95</v>
      </c>
      <c r="C1701" t="s">
        <v>62</v>
      </c>
      <c r="D1701" t="s">
        <v>156</v>
      </c>
      <c r="E1701" t="s">
        <v>26</v>
      </c>
      <c r="F1701" t="s">
        <v>27</v>
      </c>
      <c r="G1701" t="s">
        <v>28</v>
      </c>
      <c r="H1701">
        <v>24873.25</v>
      </c>
      <c r="I1701">
        <v>1</v>
      </c>
      <c r="J1701">
        <v>3863.05</v>
      </c>
      <c r="K1701" t="str">
        <f t="shared" si="52"/>
        <v>April</v>
      </c>
      <c r="L1701">
        <f t="shared" si="53"/>
        <v>2026</v>
      </c>
    </row>
    <row r="1702" spans="1:12" x14ac:dyDescent="0.3">
      <c r="A1702" s="6">
        <v>46129</v>
      </c>
      <c r="B1702" t="s">
        <v>73</v>
      </c>
      <c r="C1702" t="s">
        <v>39</v>
      </c>
      <c r="D1702" t="s">
        <v>156</v>
      </c>
      <c r="E1702" t="s">
        <v>35</v>
      </c>
      <c r="F1702" t="s">
        <v>63</v>
      </c>
      <c r="G1702" t="s">
        <v>112</v>
      </c>
      <c r="H1702">
        <v>30694.5</v>
      </c>
      <c r="I1702">
        <v>1</v>
      </c>
      <c r="J1702">
        <v>2999</v>
      </c>
      <c r="K1702" t="str">
        <f t="shared" si="52"/>
        <v>April</v>
      </c>
      <c r="L1702">
        <f t="shared" si="53"/>
        <v>2026</v>
      </c>
    </row>
    <row r="1703" spans="1:12" x14ac:dyDescent="0.3">
      <c r="A1703" s="6">
        <v>46130</v>
      </c>
      <c r="B1703" t="s">
        <v>25</v>
      </c>
      <c r="C1703" t="s">
        <v>61</v>
      </c>
      <c r="D1703" t="s">
        <v>156</v>
      </c>
      <c r="E1703" t="s">
        <v>42</v>
      </c>
      <c r="F1703" t="s">
        <v>90</v>
      </c>
      <c r="G1703" t="s">
        <v>97</v>
      </c>
      <c r="H1703">
        <v>4690.9799999999996</v>
      </c>
      <c r="I1703">
        <v>2</v>
      </c>
      <c r="J1703">
        <v>572.82000000000005</v>
      </c>
      <c r="K1703" t="str">
        <f t="shared" si="52"/>
        <v>April</v>
      </c>
      <c r="L1703">
        <f t="shared" si="53"/>
        <v>2026</v>
      </c>
    </row>
    <row r="1704" spans="1:12" x14ac:dyDescent="0.3">
      <c r="A1704" s="6">
        <v>46130</v>
      </c>
      <c r="B1704" t="s">
        <v>11</v>
      </c>
      <c r="C1704" t="s">
        <v>49</v>
      </c>
      <c r="D1704" t="s">
        <v>156</v>
      </c>
      <c r="E1704" t="s">
        <v>18</v>
      </c>
      <c r="F1704" t="s">
        <v>40</v>
      </c>
      <c r="G1704" t="s">
        <v>115</v>
      </c>
      <c r="H1704">
        <v>11384.89</v>
      </c>
      <c r="I1704">
        <v>1</v>
      </c>
      <c r="J1704">
        <v>2471.65</v>
      </c>
      <c r="K1704" t="str">
        <f t="shared" si="52"/>
        <v>April</v>
      </c>
      <c r="L1704">
        <f t="shared" si="53"/>
        <v>2026</v>
      </c>
    </row>
    <row r="1705" spans="1:12" x14ac:dyDescent="0.3">
      <c r="A1705" s="6">
        <v>46130</v>
      </c>
      <c r="B1705" t="s">
        <v>92</v>
      </c>
      <c r="C1705" t="s">
        <v>61</v>
      </c>
      <c r="D1705" t="s">
        <v>156</v>
      </c>
      <c r="E1705" t="s">
        <v>18</v>
      </c>
      <c r="F1705" t="s">
        <v>19</v>
      </c>
      <c r="G1705" t="s">
        <v>33</v>
      </c>
      <c r="H1705">
        <v>54871.47</v>
      </c>
      <c r="I1705">
        <v>1</v>
      </c>
      <c r="J1705">
        <v>4065.32</v>
      </c>
      <c r="K1705" t="str">
        <f t="shared" si="52"/>
        <v>April</v>
      </c>
      <c r="L1705">
        <f t="shared" si="53"/>
        <v>2026</v>
      </c>
    </row>
    <row r="1706" spans="1:12" x14ac:dyDescent="0.3">
      <c r="A1706" s="6">
        <v>46132</v>
      </c>
      <c r="B1706" t="s">
        <v>71</v>
      </c>
      <c r="C1706" t="s">
        <v>17</v>
      </c>
      <c r="D1706" t="s">
        <v>156</v>
      </c>
      <c r="E1706" t="s">
        <v>42</v>
      </c>
      <c r="F1706" t="s">
        <v>90</v>
      </c>
      <c r="G1706" t="s">
        <v>120</v>
      </c>
      <c r="H1706">
        <v>11395.57</v>
      </c>
      <c r="I1706">
        <v>2</v>
      </c>
      <c r="J1706">
        <v>2385.0500000000002</v>
      </c>
      <c r="K1706" t="str">
        <f t="shared" si="52"/>
        <v>April</v>
      </c>
      <c r="L1706">
        <f t="shared" si="53"/>
        <v>2026</v>
      </c>
    </row>
    <row r="1707" spans="1:12" x14ac:dyDescent="0.3">
      <c r="A1707" s="6">
        <v>46132</v>
      </c>
      <c r="B1707" t="s">
        <v>71</v>
      </c>
      <c r="C1707" t="s">
        <v>69</v>
      </c>
      <c r="D1707" t="s">
        <v>156</v>
      </c>
      <c r="E1707" t="s">
        <v>18</v>
      </c>
      <c r="F1707" t="s">
        <v>19</v>
      </c>
      <c r="G1707" t="s">
        <v>106</v>
      </c>
      <c r="H1707">
        <v>92365.55</v>
      </c>
      <c r="I1707">
        <v>1</v>
      </c>
      <c r="J1707">
        <v>11036.81</v>
      </c>
      <c r="K1707" t="str">
        <f t="shared" si="52"/>
        <v>April</v>
      </c>
      <c r="L1707">
        <f t="shared" si="53"/>
        <v>2026</v>
      </c>
    </row>
    <row r="1708" spans="1:12" x14ac:dyDescent="0.3">
      <c r="A1708" s="6">
        <v>46133</v>
      </c>
      <c r="B1708" t="s">
        <v>103</v>
      </c>
      <c r="C1708" t="s">
        <v>56</v>
      </c>
      <c r="D1708" t="s">
        <v>156</v>
      </c>
      <c r="E1708" t="s">
        <v>26</v>
      </c>
      <c r="F1708" t="s">
        <v>53</v>
      </c>
      <c r="G1708" t="s">
        <v>100</v>
      </c>
      <c r="H1708">
        <v>182177.7</v>
      </c>
      <c r="I1708">
        <v>2</v>
      </c>
      <c r="J1708">
        <v>22927.51</v>
      </c>
      <c r="K1708" t="str">
        <f t="shared" si="52"/>
        <v>April</v>
      </c>
      <c r="L1708">
        <f t="shared" si="53"/>
        <v>2026</v>
      </c>
    </row>
    <row r="1709" spans="1:12" x14ac:dyDescent="0.3">
      <c r="A1709" s="6">
        <v>46133</v>
      </c>
      <c r="B1709" t="s">
        <v>92</v>
      </c>
      <c r="C1709" t="s">
        <v>39</v>
      </c>
      <c r="D1709" t="s">
        <v>156</v>
      </c>
      <c r="E1709" t="s">
        <v>35</v>
      </c>
      <c r="F1709" t="s">
        <v>75</v>
      </c>
      <c r="G1709" t="s">
        <v>107</v>
      </c>
      <c r="H1709">
        <v>38888.6</v>
      </c>
      <c r="I1709">
        <v>1</v>
      </c>
      <c r="J1709">
        <v>4800.1499999999996</v>
      </c>
      <c r="K1709" t="str">
        <f t="shared" si="52"/>
        <v>April</v>
      </c>
      <c r="L1709">
        <f t="shared" si="53"/>
        <v>2026</v>
      </c>
    </row>
    <row r="1710" spans="1:12" x14ac:dyDescent="0.3">
      <c r="A1710" s="6">
        <v>46133</v>
      </c>
      <c r="B1710" t="s">
        <v>103</v>
      </c>
      <c r="C1710" t="s">
        <v>30</v>
      </c>
      <c r="D1710" t="s">
        <v>156</v>
      </c>
      <c r="E1710" t="s">
        <v>35</v>
      </c>
      <c r="F1710" t="s">
        <v>50</v>
      </c>
      <c r="G1710" t="s">
        <v>119</v>
      </c>
      <c r="H1710">
        <v>8012.48</v>
      </c>
      <c r="I1710">
        <v>3</v>
      </c>
      <c r="J1710">
        <v>1448.4</v>
      </c>
      <c r="K1710" t="str">
        <f t="shared" si="52"/>
        <v>April</v>
      </c>
      <c r="L1710">
        <f t="shared" si="53"/>
        <v>2026</v>
      </c>
    </row>
    <row r="1711" spans="1:12" x14ac:dyDescent="0.3">
      <c r="A1711" s="6">
        <v>46133</v>
      </c>
      <c r="B1711" t="s">
        <v>60</v>
      </c>
      <c r="C1711" t="s">
        <v>30</v>
      </c>
      <c r="D1711" t="s">
        <v>156</v>
      </c>
      <c r="E1711" t="s">
        <v>18</v>
      </c>
      <c r="F1711" t="s">
        <v>40</v>
      </c>
      <c r="G1711" t="s">
        <v>102</v>
      </c>
      <c r="H1711">
        <v>4298.83</v>
      </c>
      <c r="I1711">
        <v>3</v>
      </c>
      <c r="J1711">
        <v>329.86</v>
      </c>
      <c r="K1711" t="str">
        <f t="shared" si="52"/>
        <v>April</v>
      </c>
      <c r="L1711">
        <f t="shared" si="53"/>
        <v>2026</v>
      </c>
    </row>
    <row r="1712" spans="1:12" x14ac:dyDescent="0.3">
      <c r="A1712" s="6">
        <v>46133</v>
      </c>
      <c r="B1712" t="s">
        <v>21</v>
      </c>
      <c r="C1712" t="s">
        <v>17</v>
      </c>
      <c r="D1712" t="s">
        <v>156</v>
      </c>
      <c r="E1712" t="s">
        <v>18</v>
      </c>
      <c r="F1712" t="s">
        <v>19</v>
      </c>
      <c r="G1712" t="s">
        <v>59</v>
      </c>
      <c r="H1712">
        <v>149288.20000000001</v>
      </c>
      <c r="I1712">
        <v>3</v>
      </c>
      <c r="J1712">
        <v>25612.080000000002</v>
      </c>
      <c r="K1712" t="str">
        <f t="shared" si="52"/>
        <v>April</v>
      </c>
      <c r="L1712">
        <f t="shared" si="53"/>
        <v>2026</v>
      </c>
    </row>
    <row r="1713" spans="1:12" x14ac:dyDescent="0.3">
      <c r="A1713" s="6">
        <v>46134</v>
      </c>
      <c r="B1713" t="s">
        <v>113</v>
      </c>
      <c r="C1713" t="s">
        <v>17</v>
      </c>
      <c r="D1713" t="s">
        <v>156</v>
      </c>
      <c r="E1713" t="s">
        <v>35</v>
      </c>
      <c r="F1713" t="s">
        <v>36</v>
      </c>
      <c r="G1713" t="s">
        <v>99</v>
      </c>
      <c r="H1713">
        <v>37512.35</v>
      </c>
      <c r="I1713">
        <v>1</v>
      </c>
      <c r="J1713">
        <v>3083.81</v>
      </c>
      <c r="K1713" t="str">
        <f t="shared" si="52"/>
        <v>April</v>
      </c>
      <c r="L1713">
        <f t="shared" si="53"/>
        <v>2026</v>
      </c>
    </row>
    <row r="1714" spans="1:12" x14ac:dyDescent="0.3">
      <c r="A1714" s="6">
        <v>46134</v>
      </c>
      <c r="B1714" t="s">
        <v>11</v>
      </c>
      <c r="C1714" t="s">
        <v>30</v>
      </c>
      <c r="D1714" t="s">
        <v>156</v>
      </c>
      <c r="E1714" t="s">
        <v>42</v>
      </c>
      <c r="F1714" t="s">
        <v>43</v>
      </c>
      <c r="G1714" t="s">
        <v>44</v>
      </c>
      <c r="H1714">
        <v>13958.41</v>
      </c>
      <c r="I1714">
        <v>1</v>
      </c>
      <c r="J1714">
        <v>2386.54</v>
      </c>
      <c r="K1714" t="str">
        <f t="shared" si="52"/>
        <v>April</v>
      </c>
      <c r="L1714">
        <f t="shared" si="53"/>
        <v>2026</v>
      </c>
    </row>
    <row r="1715" spans="1:12" x14ac:dyDescent="0.3">
      <c r="A1715" s="6">
        <v>46136</v>
      </c>
      <c r="B1715" t="s">
        <v>78</v>
      </c>
      <c r="C1715" t="s">
        <v>69</v>
      </c>
      <c r="D1715" t="s">
        <v>156</v>
      </c>
      <c r="E1715" t="s">
        <v>35</v>
      </c>
      <c r="F1715" t="s">
        <v>36</v>
      </c>
      <c r="G1715" t="s">
        <v>84</v>
      </c>
      <c r="H1715">
        <v>28756.68</v>
      </c>
      <c r="I1715">
        <v>1</v>
      </c>
      <c r="J1715">
        <v>3390.2</v>
      </c>
      <c r="K1715" t="str">
        <f t="shared" si="52"/>
        <v>April</v>
      </c>
      <c r="L1715">
        <f t="shared" si="53"/>
        <v>2026</v>
      </c>
    </row>
    <row r="1716" spans="1:12" x14ac:dyDescent="0.3">
      <c r="A1716" s="6">
        <v>46137</v>
      </c>
      <c r="B1716" t="s">
        <v>65</v>
      </c>
      <c r="C1716" t="s">
        <v>46</v>
      </c>
      <c r="D1716" t="s">
        <v>156</v>
      </c>
      <c r="E1716" t="s">
        <v>35</v>
      </c>
      <c r="F1716" t="s">
        <v>50</v>
      </c>
      <c r="G1716" t="s">
        <v>119</v>
      </c>
      <c r="H1716">
        <v>7672.16</v>
      </c>
      <c r="I1716">
        <v>3</v>
      </c>
      <c r="J1716">
        <v>654.04</v>
      </c>
      <c r="K1716" t="str">
        <f t="shared" si="52"/>
        <v>April</v>
      </c>
      <c r="L1716">
        <f t="shared" si="53"/>
        <v>2026</v>
      </c>
    </row>
    <row r="1717" spans="1:12" x14ac:dyDescent="0.3">
      <c r="A1717" s="6">
        <v>46138</v>
      </c>
      <c r="B1717" t="s">
        <v>95</v>
      </c>
      <c r="C1717" t="s">
        <v>30</v>
      </c>
      <c r="D1717" t="s">
        <v>156</v>
      </c>
      <c r="E1717" t="s">
        <v>35</v>
      </c>
      <c r="F1717" t="s">
        <v>50</v>
      </c>
      <c r="G1717" t="s">
        <v>118</v>
      </c>
      <c r="H1717">
        <v>14584.68</v>
      </c>
      <c r="I1717">
        <v>2</v>
      </c>
      <c r="J1717">
        <v>-431.59</v>
      </c>
      <c r="K1717" t="str">
        <f t="shared" si="52"/>
        <v>April</v>
      </c>
      <c r="L1717">
        <f t="shared" si="53"/>
        <v>2026</v>
      </c>
    </row>
    <row r="1718" spans="1:12" x14ac:dyDescent="0.3">
      <c r="A1718" s="6">
        <v>46138</v>
      </c>
      <c r="B1718" t="s">
        <v>92</v>
      </c>
      <c r="C1718" t="s">
        <v>61</v>
      </c>
      <c r="D1718" t="s">
        <v>156</v>
      </c>
      <c r="E1718" t="s">
        <v>26</v>
      </c>
      <c r="F1718" t="s">
        <v>53</v>
      </c>
      <c r="G1718" t="s">
        <v>104</v>
      </c>
      <c r="H1718">
        <v>153991.03</v>
      </c>
      <c r="I1718">
        <v>2</v>
      </c>
      <c r="J1718">
        <v>16112.88</v>
      </c>
      <c r="K1718" t="str">
        <f t="shared" si="52"/>
        <v>April</v>
      </c>
      <c r="L1718">
        <f t="shared" si="53"/>
        <v>2026</v>
      </c>
    </row>
    <row r="1719" spans="1:12" x14ac:dyDescent="0.3">
      <c r="A1719" s="6">
        <v>46138</v>
      </c>
      <c r="B1719" t="s">
        <v>80</v>
      </c>
      <c r="C1719" t="s">
        <v>81</v>
      </c>
      <c r="D1719" t="s">
        <v>156</v>
      </c>
      <c r="E1719" t="s">
        <v>35</v>
      </c>
      <c r="F1719" t="s">
        <v>50</v>
      </c>
      <c r="G1719" t="s">
        <v>51</v>
      </c>
      <c r="H1719">
        <v>8263.2000000000007</v>
      </c>
      <c r="I1719">
        <v>1</v>
      </c>
      <c r="J1719">
        <v>1113.8699999999999</v>
      </c>
      <c r="K1719" t="str">
        <f t="shared" si="52"/>
        <v>April</v>
      </c>
      <c r="L1719">
        <f t="shared" si="53"/>
        <v>2026</v>
      </c>
    </row>
    <row r="1720" spans="1:12" x14ac:dyDescent="0.3">
      <c r="A1720" s="6">
        <v>46138</v>
      </c>
      <c r="B1720" t="s">
        <v>38</v>
      </c>
      <c r="C1720" t="s">
        <v>49</v>
      </c>
      <c r="D1720" t="s">
        <v>156</v>
      </c>
      <c r="E1720" t="s">
        <v>18</v>
      </c>
      <c r="F1720" t="s">
        <v>40</v>
      </c>
      <c r="G1720" t="s">
        <v>41</v>
      </c>
      <c r="H1720">
        <v>36651.620000000003</v>
      </c>
      <c r="I1720">
        <v>2</v>
      </c>
      <c r="J1720">
        <v>4524.76</v>
      </c>
      <c r="K1720" t="str">
        <f t="shared" si="52"/>
        <v>April</v>
      </c>
      <c r="L1720">
        <f t="shared" si="53"/>
        <v>2026</v>
      </c>
    </row>
    <row r="1721" spans="1:12" x14ac:dyDescent="0.3">
      <c r="A1721" s="6">
        <v>46139</v>
      </c>
      <c r="B1721" t="s">
        <v>48</v>
      </c>
      <c r="C1721" t="s">
        <v>39</v>
      </c>
      <c r="D1721" t="s">
        <v>156</v>
      </c>
      <c r="E1721" t="s">
        <v>42</v>
      </c>
      <c r="F1721" t="s">
        <v>43</v>
      </c>
      <c r="G1721" t="s">
        <v>87</v>
      </c>
      <c r="H1721">
        <v>10447.370000000001</v>
      </c>
      <c r="I1721">
        <v>1</v>
      </c>
      <c r="J1721">
        <v>2201.58</v>
      </c>
      <c r="K1721" t="str">
        <f t="shared" si="52"/>
        <v>April</v>
      </c>
      <c r="L1721">
        <f t="shared" si="53"/>
        <v>2026</v>
      </c>
    </row>
    <row r="1722" spans="1:12" x14ac:dyDescent="0.3">
      <c r="A1722" s="6">
        <v>46140</v>
      </c>
      <c r="B1722" t="s">
        <v>32</v>
      </c>
      <c r="C1722" t="s">
        <v>81</v>
      </c>
      <c r="D1722" t="s">
        <v>156</v>
      </c>
      <c r="E1722" t="s">
        <v>26</v>
      </c>
      <c r="F1722" t="s">
        <v>27</v>
      </c>
      <c r="G1722" t="s">
        <v>31</v>
      </c>
      <c r="H1722">
        <v>9172.42</v>
      </c>
      <c r="I1722">
        <v>1</v>
      </c>
      <c r="J1722">
        <v>1942.96</v>
      </c>
      <c r="K1722" t="str">
        <f t="shared" si="52"/>
        <v>April</v>
      </c>
      <c r="L1722">
        <f t="shared" si="53"/>
        <v>2026</v>
      </c>
    </row>
    <row r="1723" spans="1:12" x14ac:dyDescent="0.3">
      <c r="A1723" s="6">
        <v>46141</v>
      </c>
      <c r="B1723" t="s">
        <v>21</v>
      </c>
      <c r="C1723" t="s">
        <v>12</v>
      </c>
      <c r="D1723" t="s">
        <v>156</v>
      </c>
      <c r="E1723" t="s">
        <v>42</v>
      </c>
      <c r="F1723" t="s">
        <v>90</v>
      </c>
      <c r="G1723" t="s">
        <v>97</v>
      </c>
      <c r="H1723">
        <v>4112.42</v>
      </c>
      <c r="I1723">
        <v>2</v>
      </c>
      <c r="J1723">
        <v>597.19000000000005</v>
      </c>
      <c r="K1723" t="str">
        <f t="shared" si="52"/>
        <v>April</v>
      </c>
      <c r="L1723">
        <f t="shared" si="53"/>
        <v>2026</v>
      </c>
    </row>
    <row r="1724" spans="1:12" x14ac:dyDescent="0.3">
      <c r="A1724" s="6">
        <v>46141</v>
      </c>
      <c r="B1724" t="s">
        <v>25</v>
      </c>
      <c r="C1724" t="s">
        <v>49</v>
      </c>
      <c r="D1724" t="s">
        <v>156</v>
      </c>
      <c r="E1724" t="s">
        <v>26</v>
      </c>
      <c r="F1724" t="s">
        <v>27</v>
      </c>
      <c r="G1724" t="s">
        <v>28</v>
      </c>
      <c r="H1724">
        <v>43768.6</v>
      </c>
      <c r="I1724">
        <v>2</v>
      </c>
      <c r="J1724">
        <v>-976.71</v>
      </c>
      <c r="K1724" t="str">
        <f t="shared" si="52"/>
        <v>April</v>
      </c>
      <c r="L1724">
        <f t="shared" si="53"/>
        <v>2026</v>
      </c>
    </row>
    <row r="1725" spans="1:12" x14ac:dyDescent="0.3">
      <c r="A1725" s="6">
        <v>46142</v>
      </c>
      <c r="B1725" t="s">
        <v>80</v>
      </c>
      <c r="C1725" t="s">
        <v>39</v>
      </c>
      <c r="D1725" t="s">
        <v>156</v>
      </c>
      <c r="E1725" t="s">
        <v>13</v>
      </c>
      <c r="F1725" t="s">
        <v>23</v>
      </c>
      <c r="G1725" t="s">
        <v>85</v>
      </c>
      <c r="H1725">
        <v>82198.509999999995</v>
      </c>
      <c r="I1725">
        <v>2</v>
      </c>
      <c r="J1725">
        <v>9345.74</v>
      </c>
      <c r="K1725" t="str">
        <f t="shared" si="52"/>
        <v>April</v>
      </c>
      <c r="L1725">
        <f t="shared" si="53"/>
        <v>2026</v>
      </c>
    </row>
    <row r="1726" spans="1:12" x14ac:dyDescent="0.3">
      <c r="A1726" s="6">
        <v>46142</v>
      </c>
      <c r="B1726" t="s">
        <v>48</v>
      </c>
      <c r="C1726" t="s">
        <v>30</v>
      </c>
      <c r="D1726" t="s">
        <v>156</v>
      </c>
      <c r="E1726" t="s">
        <v>18</v>
      </c>
      <c r="F1726" t="s">
        <v>40</v>
      </c>
      <c r="G1726" t="s">
        <v>105</v>
      </c>
      <c r="H1726">
        <v>7483.46</v>
      </c>
      <c r="I1726">
        <v>3</v>
      </c>
      <c r="J1726">
        <v>1171.54</v>
      </c>
      <c r="K1726" t="str">
        <f t="shared" si="52"/>
        <v>April</v>
      </c>
      <c r="L1726">
        <f t="shared" si="53"/>
        <v>2026</v>
      </c>
    </row>
    <row r="1727" spans="1:12" x14ac:dyDescent="0.3">
      <c r="A1727" s="6">
        <v>46142</v>
      </c>
      <c r="B1727" t="s">
        <v>80</v>
      </c>
      <c r="C1727" t="s">
        <v>69</v>
      </c>
      <c r="D1727" t="s">
        <v>156</v>
      </c>
      <c r="E1727" t="s">
        <v>18</v>
      </c>
      <c r="F1727" t="s">
        <v>40</v>
      </c>
      <c r="G1727" t="s">
        <v>102</v>
      </c>
      <c r="H1727">
        <v>6624.01</v>
      </c>
      <c r="I1727">
        <v>5</v>
      </c>
      <c r="J1727">
        <v>547.29</v>
      </c>
      <c r="K1727" t="str">
        <f t="shared" si="52"/>
        <v>April</v>
      </c>
      <c r="L1727">
        <f t="shared" si="53"/>
        <v>2026</v>
      </c>
    </row>
    <row r="1728" spans="1:12" x14ac:dyDescent="0.3">
      <c r="A1728" s="6">
        <v>46142</v>
      </c>
      <c r="B1728" t="s">
        <v>71</v>
      </c>
      <c r="C1728" t="s">
        <v>62</v>
      </c>
      <c r="D1728" t="s">
        <v>156</v>
      </c>
      <c r="E1728" t="s">
        <v>26</v>
      </c>
      <c r="F1728" t="s">
        <v>27</v>
      </c>
      <c r="G1728" t="s">
        <v>28</v>
      </c>
      <c r="H1728">
        <v>46118.01</v>
      </c>
      <c r="I1728">
        <v>2</v>
      </c>
      <c r="J1728">
        <v>4430.54</v>
      </c>
      <c r="K1728" t="str">
        <f t="shared" si="52"/>
        <v>April</v>
      </c>
      <c r="L1728">
        <f t="shared" si="53"/>
        <v>2026</v>
      </c>
    </row>
    <row r="1729" spans="1:12" x14ac:dyDescent="0.3">
      <c r="A1729" s="6">
        <v>46144</v>
      </c>
      <c r="B1729" t="s">
        <v>60</v>
      </c>
      <c r="C1729" t="s">
        <v>30</v>
      </c>
      <c r="D1729" t="s">
        <v>156</v>
      </c>
      <c r="E1729" t="s">
        <v>42</v>
      </c>
      <c r="F1729" t="s">
        <v>90</v>
      </c>
      <c r="G1729" t="s">
        <v>97</v>
      </c>
      <c r="H1729">
        <v>4587.82</v>
      </c>
      <c r="I1729">
        <v>2</v>
      </c>
      <c r="J1729">
        <v>723.95</v>
      </c>
      <c r="K1729" t="str">
        <f t="shared" si="52"/>
        <v>May</v>
      </c>
      <c r="L1729">
        <f t="shared" si="53"/>
        <v>2026</v>
      </c>
    </row>
    <row r="1730" spans="1:12" x14ac:dyDescent="0.3">
      <c r="A1730" s="6">
        <v>46144</v>
      </c>
      <c r="B1730" t="s">
        <v>25</v>
      </c>
      <c r="C1730" t="s">
        <v>46</v>
      </c>
      <c r="D1730" t="s">
        <v>156</v>
      </c>
      <c r="E1730" t="s">
        <v>13</v>
      </c>
      <c r="F1730" t="s">
        <v>23</v>
      </c>
      <c r="G1730" t="s">
        <v>79</v>
      </c>
      <c r="H1730">
        <v>63623.11</v>
      </c>
      <c r="I1730">
        <v>1</v>
      </c>
      <c r="J1730">
        <v>13428.85</v>
      </c>
      <c r="K1730" t="str">
        <f t="shared" si="52"/>
        <v>May</v>
      </c>
      <c r="L1730">
        <f t="shared" si="53"/>
        <v>2026</v>
      </c>
    </row>
    <row r="1731" spans="1:12" x14ac:dyDescent="0.3">
      <c r="A1731" s="6">
        <v>46145</v>
      </c>
      <c r="B1731" t="s">
        <v>80</v>
      </c>
      <c r="C1731" t="s">
        <v>17</v>
      </c>
      <c r="D1731" t="s">
        <v>156</v>
      </c>
      <c r="E1731" t="s">
        <v>13</v>
      </c>
      <c r="F1731" t="s">
        <v>23</v>
      </c>
      <c r="G1731" t="s">
        <v>47</v>
      </c>
      <c r="H1731">
        <v>186007.15</v>
      </c>
      <c r="I1731">
        <v>3</v>
      </c>
      <c r="J1731">
        <v>27618.799999999999</v>
      </c>
      <c r="K1731" t="str">
        <f t="shared" ref="K1731:K1794" si="54">TEXT(A1731,"mmmm")</f>
        <v>May</v>
      </c>
      <c r="L1731">
        <f t="shared" ref="L1731:L1794" si="55">YEAR(A1731)</f>
        <v>2026</v>
      </c>
    </row>
    <row r="1732" spans="1:12" x14ac:dyDescent="0.3">
      <c r="A1732" s="6">
        <v>46146</v>
      </c>
      <c r="B1732" t="s">
        <v>16</v>
      </c>
      <c r="C1732" t="s">
        <v>39</v>
      </c>
      <c r="D1732" t="s">
        <v>156</v>
      </c>
      <c r="E1732" t="s">
        <v>13</v>
      </c>
      <c r="F1732" t="s">
        <v>23</v>
      </c>
      <c r="G1732" t="s">
        <v>85</v>
      </c>
      <c r="H1732">
        <v>77274.66</v>
      </c>
      <c r="I1732">
        <v>2</v>
      </c>
      <c r="J1732">
        <v>11400.17</v>
      </c>
      <c r="K1732" t="str">
        <f t="shared" si="54"/>
        <v>May</v>
      </c>
      <c r="L1732">
        <f t="shared" si="55"/>
        <v>2026</v>
      </c>
    </row>
    <row r="1733" spans="1:12" x14ac:dyDescent="0.3">
      <c r="A1733" s="6">
        <v>46146</v>
      </c>
      <c r="B1733" t="s">
        <v>71</v>
      </c>
      <c r="C1733" t="s">
        <v>62</v>
      </c>
      <c r="D1733" t="s">
        <v>156</v>
      </c>
      <c r="E1733" t="s">
        <v>13</v>
      </c>
      <c r="F1733" t="s">
        <v>14</v>
      </c>
      <c r="G1733" t="s">
        <v>88</v>
      </c>
      <c r="H1733">
        <v>1466.79</v>
      </c>
      <c r="I1733">
        <v>1</v>
      </c>
      <c r="J1733">
        <v>174.03</v>
      </c>
      <c r="K1733" t="str">
        <f t="shared" si="54"/>
        <v>May</v>
      </c>
      <c r="L1733">
        <f t="shared" si="55"/>
        <v>2026</v>
      </c>
    </row>
    <row r="1734" spans="1:12" x14ac:dyDescent="0.3">
      <c r="A1734" s="6">
        <v>46147</v>
      </c>
      <c r="B1734" t="s">
        <v>74</v>
      </c>
      <c r="C1734" t="s">
        <v>46</v>
      </c>
      <c r="D1734" t="s">
        <v>156</v>
      </c>
      <c r="E1734" t="s">
        <v>26</v>
      </c>
      <c r="F1734" t="s">
        <v>53</v>
      </c>
      <c r="G1734" t="s">
        <v>96</v>
      </c>
      <c r="H1734">
        <v>68107.850000000006</v>
      </c>
      <c r="I1734">
        <v>1</v>
      </c>
      <c r="J1734">
        <v>9530.9500000000007</v>
      </c>
      <c r="K1734" t="str">
        <f t="shared" si="54"/>
        <v>May</v>
      </c>
      <c r="L1734">
        <f t="shared" si="55"/>
        <v>2026</v>
      </c>
    </row>
    <row r="1735" spans="1:12" x14ac:dyDescent="0.3">
      <c r="A1735" s="6">
        <v>46147</v>
      </c>
      <c r="B1735" t="s">
        <v>73</v>
      </c>
      <c r="C1735" t="s">
        <v>69</v>
      </c>
      <c r="D1735" t="s">
        <v>156</v>
      </c>
      <c r="E1735" t="s">
        <v>26</v>
      </c>
      <c r="F1735" t="s">
        <v>53</v>
      </c>
      <c r="G1735" t="s">
        <v>96</v>
      </c>
      <c r="H1735">
        <v>67826.03</v>
      </c>
      <c r="I1735">
        <v>1</v>
      </c>
      <c r="J1735">
        <v>7705.72</v>
      </c>
      <c r="K1735" t="str">
        <f t="shared" si="54"/>
        <v>May</v>
      </c>
      <c r="L1735">
        <f t="shared" si="55"/>
        <v>2026</v>
      </c>
    </row>
    <row r="1736" spans="1:12" x14ac:dyDescent="0.3">
      <c r="A1736" s="6">
        <v>46147</v>
      </c>
      <c r="B1736" t="s">
        <v>16</v>
      </c>
      <c r="C1736" t="s">
        <v>56</v>
      </c>
      <c r="D1736" t="s">
        <v>156</v>
      </c>
      <c r="E1736" t="s">
        <v>42</v>
      </c>
      <c r="F1736" t="s">
        <v>90</v>
      </c>
      <c r="G1736" t="s">
        <v>97</v>
      </c>
      <c r="H1736">
        <v>2201.9299999999998</v>
      </c>
      <c r="I1736">
        <v>1</v>
      </c>
      <c r="J1736">
        <v>472.48</v>
      </c>
      <c r="K1736" t="str">
        <f t="shared" si="54"/>
        <v>May</v>
      </c>
      <c r="L1736">
        <f t="shared" si="55"/>
        <v>2026</v>
      </c>
    </row>
    <row r="1737" spans="1:12" x14ac:dyDescent="0.3">
      <c r="A1737" s="6">
        <v>46147</v>
      </c>
      <c r="B1737" t="s">
        <v>71</v>
      </c>
      <c r="C1737" t="s">
        <v>56</v>
      </c>
      <c r="D1737" t="s">
        <v>156</v>
      </c>
      <c r="E1737" t="s">
        <v>35</v>
      </c>
      <c r="F1737" t="s">
        <v>63</v>
      </c>
      <c r="G1737" t="s">
        <v>114</v>
      </c>
      <c r="H1737">
        <v>27737.87</v>
      </c>
      <c r="I1737">
        <v>1</v>
      </c>
      <c r="J1737">
        <v>2766.82</v>
      </c>
      <c r="K1737" t="str">
        <f t="shared" si="54"/>
        <v>May</v>
      </c>
      <c r="L1737">
        <f t="shared" si="55"/>
        <v>2026</v>
      </c>
    </row>
    <row r="1738" spans="1:12" x14ac:dyDescent="0.3">
      <c r="A1738" s="6">
        <v>46148</v>
      </c>
      <c r="B1738" t="s">
        <v>74</v>
      </c>
      <c r="C1738" t="s">
        <v>39</v>
      </c>
      <c r="D1738" t="s">
        <v>156</v>
      </c>
      <c r="E1738" t="s">
        <v>18</v>
      </c>
      <c r="F1738" t="s">
        <v>40</v>
      </c>
      <c r="G1738" t="s">
        <v>102</v>
      </c>
      <c r="H1738">
        <v>1347.35</v>
      </c>
      <c r="I1738">
        <v>1</v>
      </c>
      <c r="J1738">
        <v>255.58</v>
      </c>
      <c r="K1738" t="str">
        <f t="shared" si="54"/>
        <v>May</v>
      </c>
      <c r="L1738">
        <f t="shared" si="55"/>
        <v>2026</v>
      </c>
    </row>
    <row r="1739" spans="1:12" x14ac:dyDescent="0.3">
      <c r="A1739" s="6">
        <v>46150</v>
      </c>
      <c r="B1739" t="s">
        <v>38</v>
      </c>
      <c r="C1739" t="s">
        <v>68</v>
      </c>
      <c r="D1739" t="s">
        <v>156</v>
      </c>
      <c r="E1739" t="s">
        <v>42</v>
      </c>
      <c r="F1739" t="s">
        <v>43</v>
      </c>
      <c r="G1739" t="s">
        <v>89</v>
      </c>
      <c r="H1739">
        <v>133444.04999999999</v>
      </c>
      <c r="I1739">
        <v>4</v>
      </c>
      <c r="J1739">
        <v>17747.38</v>
      </c>
      <c r="K1739" t="str">
        <f t="shared" si="54"/>
        <v>May</v>
      </c>
      <c r="L1739">
        <f t="shared" si="55"/>
        <v>2026</v>
      </c>
    </row>
    <row r="1740" spans="1:12" x14ac:dyDescent="0.3">
      <c r="A1740" s="6">
        <v>46150</v>
      </c>
      <c r="B1740" t="s">
        <v>73</v>
      </c>
      <c r="C1740" t="s">
        <v>30</v>
      </c>
      <c r="D1740" t="s">
        <v>156</v>
      </c>
      <c r="E1740" t="s">
        <v>26</v>
      </c>
      <c r="F1740" t="s">
        <v>27</v>
      </c>
      <c r="G1740" t="s">
        <v>82</v>
      </c>
      <c r="H1740">
        <v>34901.620000000003</v>
      </c>
      <c r="I1740">
        <v>1</v>
      </c>
      <c r="J1740">
        <v>2444.23</v>
      </c>
      <c r="K1740" t="str">
        <f t="shared" si="54"/>
        <v>May</v>
      </c>
      <c r="L1740">
        <f t="shared" si="55"/>
        <v>2026</v>
      </c>
    </row>
    <row r="1741" spans="1:12" x14ac:dyDescent="0.3">
      <c r="A1741" s="6">
        <v>46150</v>
      </c>
      <c r="B1741" t="s">
        <v>25</v>
      </c>
      <c r="C1741" t="s">
        <v>58</v>
      </c>
      <c r="D1741" t="s">
        <v>156</v>
      </c>
      <c r="E1741" t="s">
        <v>35</v>
      </c>
      <c r="F1741" t="s">
        <v>75</v>
      </c>
      <c r="G1741" t="s">
        <v>107</v>
      </c>
      <c r="H1741">
        <v>38659.79</v>
      </c>
      <c r="I1741">
        <v>1</v>
      </c>
      <c r="J1741">
        <v>3758.15</v>
      </c>
      <c r="K1741" t="str">
        <f t="shared" si="54"/>
        <v>May</v>
      </c>
      <c r="L1741">
        <f t="shared" si="55"/>
        <v>2026</v>
      </c>
    </row>
    <row r="1742" spans="1:12" x14ac:dyDescent="0.3">
      <c r="A1742" s="6">
        <v>46150</v>
      </c>
      <c r="B1742" t="s">
        <v>34</v>
      </c>
      <c r="C1742" t="s">
        <v>69</v>
      </c>
      <c r="D1742" t="s">
        <v>156</v>
      </c>
      <c r="E1742" t="s">
        <v>26</v>
      </c>
      <c r="F1742" t="s">
        <v>53</v>
      </c>
      <c r="G1742" t="s">
        <v>100</v>
      </c>
      <c r="H1742">
        <v>181681.61</v>
      </c>
      <c r="I1742">
        <v>2</v>
      </c>
      <c r="J1742">
        <v>32740.97</v>
      </c>
      <c r="K1742" t="str">
        <f t="shared" si="54"/>
        <v>May</v>
      </c>
      <c r="L1742">
        <f t="shared" si="55"/>
        <v>2026</v>
      </c>
    </row>
    <row r="1743" spans="1:12" x14ac:dyDescent="0.3">
      <c r="A1743" s="6">
        <v>46150</v>
      </c>
      <c r="B1743" t="s">
        <v>109</v>
      </c>
      <c r="C1743" t="s">
        <v>39</v>
      </c>
      <c r="D1743" t="s">
        <v>156</v>
      </c>
      <c r="E1743" t="s">
        <v>13</v>
      </c>
      <c r="F1743" t="s">
        <v>23</v>
      </c>
      <c r="G1743" t="s">
        <v>47</v>
      </c>
      <c r="H1743">
        <v>128067.76</v>
      </c>
      <c r="I1743">
        <v>2</v>
      </c>
      <c r="J1743">
        <v>-4439.08</v>
      </c>
      <c r="K1743" t="str">
        <f t="shared" si="54"/>
        <v>May</v>
      </c>
      <c r="L1743">
        <f t="shared" si="55"/>
        <v>2026</v>
      </c>
    </row>
    <row r="1744" spans="1:12" x14ac:dyDescent="0.3">
      <c r="A1744" s="6">
        <v>46150</v>
      </c>
      <c r="B1744" t="s">
        <v>25</v>
      </c>
      <c r="C1744" t="s">
        <v>39</v>
      </c>
      <c r="D1744" t="s">
        <v>156</v>
      </c>
      <c r="E1744" t="s">
        <v>35</v>
      </c>
      <c r="F1744" t="s">
        <v>50</v>
      </c>
      <c r="G1744" t="s">
        <v>118</v>
      </c>
      <c r="H1744">
        <v>14052.79</v>
      </c>
      <c r="I1744">
        <v>2</v>
      </c>
      <c r="J1744">
        <v>1829.89</v>
      </c>
      <c r="K1744" t="str">
        <f t="shared" si="54"/>
        <v>May</v>
      </c>
      <c r="L1744">
        <f t="shared" si="55"/>
        <v>2026</v>
      </c>
    </row>
    <row r="1745" spans="1:12" x14ac:dyDescent="0.3">
      <c r="A1745" s="6">
        <v>46151</v>
      </c>
      <c r="B1745" t="s">
        <v>95</v>
      </c>
      <c r="C1745" t="s">
        <v>68</v>
      </c>
      <c r="D1745" t="s">
        <v>156</v>
      </c>
      <c r="E1745" t="s">
        <v>18</v>
      </c>
      <c r="F1745" t="s">
        <v>19</v>
      </c>
      <c r="G1745" t="s">
        <v>59</v>
      </c>
      <c r="H1745">
        <v>99166.51</v>
      </c>
      <c r="I1745">
        <v>2</v>
      </c>
      <c r="J1745">
        <v>14372.64</v>
      </c>
      <c r="K1745" t="str">
        <f t="shared" si="54"/>
        <v>May</v>
      </c>
      <c r="L1745">
        <f t="shared" si="55"/>
        <v>2026</v>
      </c>
    </row>
    <row r="1746" spans="1:12" x14ac:dyDescent="0.3">
      <c r="A1746" s="6">
        <v>46151</v>
      </c>
      <c r="B1746" t="s">
        <v>71</v>
      </c>
      <c r="C1746" t="s">
        <v>81</v>
      </c>
      <c r="D1746" t="s">
        <v>156</v>
      </c>
      <c r="E1746" t="s">
        <v>13</v>
      </c>
      <c r="F1746" t="s">
        <v>14</v>
      </c>
      <c r="G1746" t="s">
        <v>15</v>
      </c>
      <c r="H1746">
        <v>4995.32</v>
      </c>
      <c r="I1746">
        <v>2</v>
      </c>
      <c r="J1746">
        <v>667.9</v>
      </c>
      <c r="K1746" t="str">
        <f t="shared" si="54"/>
        <v>May</v>
      </c>
      <c r="L1746">
        <f t="shared" si="55"/>
        <v>2026</v>
      </c>
    </row>
    <row r="1747" spans="1:12" x14ac:dyDescent="0.3">
      <c r="A1747" s="6">
        <v>46151</v>
      </c>
      <c r="B1747" t="s">
        <v>74</v>
      </c>
      <c r="C1747" t="s">
        <v>69</v>
      </c>
      <c r="D1747" t="s">
        <v>156</v>
      </c>
      <c r="E1747" t="s">
        <v>35</v>
      </c>
      <c r="F1747" t="s">
        <v>36</v>
      </c>
      <c r="G1747" t="s">
        <v>37</v>
      </c>
      <c r="H1747">
        <v>27040.36</v>
      </c>
      <c r="I1747">
        <v>1</v>
      </c>
      <c r="J1747">
        <v>3629.8</v>
      </c>
      <c r="K1747" t="str">
        <f t="shared" si="54"/>
        <v>May</v>
      </c>
      <c r="L1747">
        <f t="shared" si="55"/>
        <v>2026</v>
      </c>
    </row>
    <row r="1748" spans="1:12" x14ac:dyDescent="0.3">
      <c r="A1748" s="6">
        <v>46152</v>
      </c>
      <c r="B1748" t="s">
        <v>74</v>
      </c>
      <c r="C1748" t="s">
        <v>12</v>
      </c>
      <c r="D1748" t="s">
        <v>156</v>
      </c>
      <c r="E1748" t="s">
        <v>42</v>
      </c>
      <c r="F1748" t="s">
        <v>90</v>
      </c>
      <c r="G1748" t="s">
        <v>97</v>
      </c>
      <c r="H1748">
        <v>9705.61</v>
      </c>
      <c r="I1748">
        <v>4</v>
      </c>
      <c r="J1748">
        <v>-517.54999999999995</v>
      </c>
      <c r="K1748" t="str">
        <f t="shared" si="54"/>
        <v>May</v>
      </c>
      <c r="L1748">
        <f t="shared" si="55"/>
        <v>2026</v>
      </c>
    </row>
    <row r="1749" spans="1:12" x14ac:dyDescent="0.3">
      <c r="A1749" s="6">
        <v>46152</v>
      </c>
      <c r="B1749" t="s">
        <v>11</v>
      </c>
      <c r="C1749" t="s">
        <v>81</v>
      </c>
      <c r="D1749" t="s">
        <v>156</v>
      </c>
      <c r="E1749" t="s">
        <v>13</v>
      </c>
      <c r="F1749" t="s">
        <v>14</v>
      </c>
      <c r="G1749" t="s">
        <v>15</v>
      </c>
      <c r="H1749">
        <v>2475.48</v>
      </c>
      <c r="I1749">
        <v>1</v>
      </c>
      <c r="J1749">
        <v>288.64</v>
      </c>
      <c r="K1749" t="str">
        <f t="shared" si="54"/>
        <v>May</v>
      </c>
      <c r="L1749">
        <f t="shared" si="55"/>
        <v>2026</v>
      </c>
    </row>
    <row r="1750" spans="1:12" x14ac:dyDescent="0.3">
      <c r="A1750" s="6">
        <v>46154</v>
      </c>
      <c r="B1750" t="s">
        <v>73</v>
      </c>
      <c r="C1750" t="s">
        <v>30</v>
      </c>
      <c r="D1750" t="s">
        <v>156</v>
      </c>
      <c r="E1750" t="s">
        <v>42</v>
      </c>
      <c r="F1750" t="s">
        <v>90</v>
      </c>
      <c r="G1750" t="s">
        <v>120</v>
      </c>
      <c r="H1750">
        <v>5874.19</v>
      </c>
      <c r="I1750">
        <v>1</v>
      </c>
      <c r="J1750">
        <v>1184.53</v>
      </c>
      <c r="K1750" t="str">
        <f t="shared" si="54"/>
        <v>May</v>
      </c>
      <c r="L1750">
        <f t="shared" si="55"/>
        <v>2026</v>
      </c>
    </row>
    <row r="1751" spans="1:12" x14ac:dyDescent="0.3">
      <c r="A1751" s="6">
        <v>46155</v>
      </c>
      <c r="B1751" t="s">
        <v>52</v>
      </c>
      <c r="C1751" t="s">
        <v>39</v>
      </c>
      <c r="D1751" t="s">
        <v>156</v>
      </c>
      <c r="E1751" t="s">
        <v>26</v>
      </c>
      <c r="F1751" t="s">
        <v>53</v>
      </c>
      <c r="G1751" t="s">
        <v>96</v>
      </c>
      <c r="H1751">
        <v>65086.63</v>
      </c>
      <c r="I1751">
        <v>1</v>
      </c>
      <c r="J1751">
        <v>9901.2099999999991</v>
      </c>
      <c r="K1751" t="str">
        <f t="shared" si="54"/>
        <v>May</v>
      </c>
      <c r="L1751">
        <f t="shared" si="55"/>
        <v>2026</v>
      </c>
    </row>
    <row r="1752" spans="1:12" x14ac:dyDescent="0.3">
      <c r="A1752" s="6">
        <v>46155</v>
      </c>
      <c r="B1752" t="s">
        <v>80</v>
      </c>
      <c r="C1752" t="s">
        <v>58</v>
      </c>
      <c r="D1752" t="s">
        <v>156</v>
      </c>
      <c r="E1752" t="s">
        <v>42</v>
      </c>
      <c r="F1752" t="s">
        <v>43</v>
      </c>
      <c r="G1752" t="s">
        <v>44</v>
      </c>
      <c r="H1752">
        <v>24788.65</v>
      </c>
      <c r="I1752">
        <v>2</v>
      </c>
      <c r="J1752">
        <v>4610.47</v>
      </c>
      <c r="K1752" t="str">
        <f t="shared" si="54"/>
        <v>May</v>
      </c>
      <c r="L1752">
        <f t="shared" si="55"/>
        <v>2026</v>
      </c>
    </row>
    <row r="1753" spans="1:12" x14ac:dyDescent="0.3">
      <c r="A1753" s="6">
        <v>46155</v>
      </c>
      <c r="B1753" t="s">
        <v>11</v>
      </c>
      <c r="C1753" t="s">
        <v>39</v>
      </c>
      <c r="D1753" t="s">
        <v>156</v>
      </c>
      <c r="E1753" t="s">
        <v>26</v>
      </c>
      <c r="F1753" t="s">
        <v>27</v>
      </c>
      <c r="G1753" t="s">
        <v>82</v>
      </c>
      <c r="H1753">
        <v>114794.23</v>
      </c>
      <c r="I1753">
        <v>4</v>
      </c>
      <c r="J1753">
        <v>24297</v>
      </c>
      <c r="K1753" t="str">
        <f t="shared" si="54"/>
        <v>May</v>
      </c>
      <c r="L1753">
        <f t="shared" si="55"/>
        <v>2026</v>
      </c>
    </row>
    <row r="1754" spans="1:12" x14ac:dyDescent="0.3">
      <c r="A1754" s="6">
        <v>46156</v>
      </c>
      <c r="B1754" t="s">
        <v>103</v>
      </c>
      <c r="C1754" t="s">
        <v>68</v>
      </c>
      <c r="D1754" t="s">
        <v>156</v>
      </c>
      <c r="E1754" t="s">
        <v>42</v>
      </c>
      <c r="F1754" t="s">
        <v>43</v>
      </c>
      <c r="G1754" t="s">
        <v>89</v>
      </c>
      <c r="H1754">
        <v>61433.36</v>
      </c>
      <c r="I1754">
        <v>2</v>
      </c>
      <c r="J1754">
        <v>4940.8599999999997</v>
      </c>
      <c r="K1754" t="str">
        <f t="shared" si="54"/>
        <v>May</v>
      </c>
      <c r="L1754">
        <f t="shared" si="55"/>
        <v>2026</v>
      </c>
    </row>
    <row r="1755" spans="1:12" x14ac:dyDescent="0.3">
      <c r="A1755" s="6">
        <v>46156</v>
      </c>
      <c r="B1755" t="s">
        <v>95</v>
      </c>
      <c r="C1755" t="s">
        <v>39</v>
      </c>
      <c r="D1755" t="s">
        <v>156</v>
      </c>
      <c r="E1755" t="s">
        <v>42</v>
      </c>
      <c r="F1755" t="s">
        <v>43</v>
      </c>
      <c r="G1755" t="s">
        <v>87</v>
      </c>
      <c r="H1755">
        <v>11323.38</v>
      </c>
      <c r="I1755">
        <v>1</v>
      </c>
      <c r="J1755">
        <v>1578.3</v>
      </c>
      <c r="K1755" t="str">
        <f t="shared" si="54"/>
        <v>May</v>
      </c>
      <c r="L1755">
        <f t="shared" si="55"/>
        <v>2026</v>
      </c>
    </row>
    <row r="1756" spans="1:12" x14ac:dyDescent="0.3">
      <c r="A1756" s="6">
        <v>46156</v>
      </c>
      <c r="B1756" t="s">
        <v>109</v>
      </c>
      <c r="C1756" t="s">
        <v>56</v>
      </c>
      <c r="D1756" t="s">
        <v>156</v>
      </c>
      <c r="E1756" t="s">
        <v>13</v>
      </c>
      <c r="F1756" t="s">
        <v>23</v>
      </c>
      <c r="G1756" t="s">
        <v>85</v>
      </c>
      <c r="H1756">
        <v>214754.37</v>
      </c>
      <c r="I1756">
        <v>5</v>
      </c>
      <c r="J1756">
        <v>46590.720000000001</v>
      </c>
      <c r="K1756" t="str">
        <f t="shared" si="54"/>
        <v>May</v>
      </c>
      <c r="L1756">
        <f t="shared" si="55"/>
        <v>2026</v>
      </c>
    </row>
    <row r="1757" spans="1:12" x14ac:dyDescent="0.3">
      <c r="A1757" s="6">
        <v>46157</v>
      </c>
      <c r="B1757" t="s">
        <v>80</v>
      </c>
      <c r="C1757" t="s">
        <v>49</v>
      </c>
      <c r="D1757" t="s">
        <v>156</v>
      </c>
      <c r="E1757" t="s">
        <v>18</v>
      </c>
      <c r="F1757" t="s">
        <v>19</v>
      </c>
      <c r="G1757" t="s">
        <v>33</v>
      </c>
      <c r="H1757">
        <v>48863.7</v>
      </c>
      <c r="I1757">
        <v>1</v>
      </c>
      <c r="J1757">
        <v>9860.36</v>
      </c>
      <c r="K1757" t="str">
        <f t="shared" si="54"/>
        <v>May</v>
      </c>
      <c r="L1757">
        <f t="shared" si="55"/>
        <v>2026</v>
      </c>
    </row>
    <row r="1758" spans="1:12" x14ac:dyDescent="0.3">
      <c r="A1758" s="6">
        <v>46157</v>
      </c>
      <c r="B1758" t="s">
        <v>34</v>
      </c>
      <c r="C1758" t="s">
        <v>61</v>
      </c>
      <c r="D1758" t="s">
        <v>156</v>
      </c>
      <c r="E1758" t="s">
        <v>26</v>
      </c>
      <c r="F1758" t="s">
        <v>27</v>
      </c>
      <c r="G1758" t="s">
        <v>82</v>
      </c>
      <c r="H1758">
        <v>61291.95</v>
      </c>
      <c r="I1758">
        <v>2</v>
      </c>
      <c r="J1758">
        <v>4575.8</v>
      </c>
      <c r="K1758" t="str">
        <f t="shared" si="54"/>
        <v>May</v>
      </c>
      <c r="L1758">
        <f t="shared" si="55"/>
        <v>2026</v>
      </c>
    </row>
    <row r="1759" spans="1:12" x14ac:dyDescent="0.3">
      <c r="A1759" s="6">
        <v>46157</v>
      </c>
      <c r="B1759" t="s">
        <v>80</v>
      </c>
      <c r="C1759" t="s">
        <v>58</v>
      </c>
      <c r="D1759" t="s">
        <v>156</v>
      </c>
      <c r="E1759" t="s">
        <v>35</v>
      </c>
      <c r="F1759" t="s">
        <v>63</v>
      </c>
      <c r="G1759" t="s">
        <v>64</v>
      </c>
      <c r="H1759">
        <v>118751.58</v>
      </c>
      <c r="I1759">
        <v>4</v>
      </c>
      <c r="J1759">
        <v>9695.15</v>
      </c>
      <c r="K1759" t="str">
        <f t="shared" si="54"/>
        <v>May</v>
      </c>
      <c r="L1759">
        <f t="shared" si="55"/>
        <v>2026</v>
      </c>
    </row>
    <row r="1760" spans="1:12" x14ac:dyDescent="0.3">
      <c r="A1760" s="6">
        <v>46158</v>
      </c>
      <c r="B1760" t="s">
        <v>67</v>
      </c>
      <c r="C1760" t="s">
        <v>68</v>
      </c>
      <c r="D1760" t="s">
        <v>156</v>
      </c>
      <c r="E1760" t="s">
        <v>13</v>
      </c>
      <c r="F1760" t="s">
        <v>23</v>
      </c>
      <c r="G1760" t="s">
        <v>108</v>
      </c>
      <c r="H1760">
        <v>57269.7</v>
      </c>
      <c r="I1760">
        <v>1</v>
      </c>
      <c r="J1760">
        <v>10567.5</v>
      </c>
      <c r="K1760" t="str">
        <f t="shared" si="54"/>
        <v>May</v>
      </c>
      <c r="L1760">
        <f t="shared" si="55"/>
        <v>2026</v>
      </c>
    </row>
    <row r="1761" spans="1:12" x14ac:dyDescent="0.3">
      <c r="A1761" s="6">
        <v>46159</v>
      </c>
      <c r="B1761" t="s">
        <v>80</v>
      </c>
      <c r="C1761" t="s">
        <v>12</v>
      </c>
      <c r="D1761" t="s">
        <v>156</v>
      </c>
      <c r="E1761" t="s">
        <v>42</v>
      </c>
      <c r="F1761" t="s">
        <v>43</v>
      </c>
      <c r="G1761" t="s">
        <v>89</v>
      </c>
      <c r="H1761">
        <v>63357.38</v>
      </c>
      <c r="I1761">
        <v>2</v>
      </c>
      <c r="J1761">
        <v>4563.3100000000004</v>
      </c>
      <c r="K1761" t="str">
        <f t="shared" si="54"/>
        <v>May</v>
      </c>
      <c r="L1761">
        <f t="shared" si="55"/>
        <v>2026</v>
      </c>
    </row>
    <row r="1762" spans="1:12" x14ac:dyDescent="0.3">
      <c r="A1762" s="6">
        <v>46159</v>
      </c>
      <c r="B1762" t="s">
        <v>38</v>
      </c>
      <c r="C1762" t="s">
        <v>22</v>
      </c>
      <c r="D1762" t="s">
        <v>156</v>
      </c>
      <c r="E1762" t="s">
        <v>35</v>
      </c>
      <c r="F1762" t="s">
        <v>36</v>
      </c>
      <c r="G1762" t="s">
        <v>84</v>
      </c>
      <c r="H1762">
        <v>29756.560000000001</v>
      </c>
      <c r="I1762">
        <v>1</v>
      </c>
      <c r="J1762">
        <v>3404.45</v>
      </c>
      <c r="K1762" t="str">
        <f t="shared" si="54"/>
        <v>May</v>
      </c>
      <c r="L1762">
        <f t="shared" si="55"/>
        <v>2026</v>
      </c>
    </row>
    <row r="1763" spans="1:12" x14ac:dyDescent="0.3">
      <c r="A1763" s="6">
        <v>46160</v>
      </c>
      <c r="B1763" t="s">
        <v>32</v>
      </c>
      <c r="C1763" t="s">
        <v>69</v>
      </c>
      <c r="D1763" t="s">
        <v>156</v>
      </c>
      <c r="E1763" t="s">
        <v>42</v>
      </c>
      <c r="F1763" t="s">
        <v>90</v>
      </c>
      <c r="G1763" t="s">
        <v>91</v>
      </c>
      <c r="H1763">
        <v>1946.92</v>
      </c>
      <c r="I1763">
        <v>1</v>
      </c>
      <c r="J1763">
        <v>144.58000000000001</v>
      </c>
      <c r="K1763" t="str">
        <f t="shared" si="54"/>
        <v>May</v>
      </c>
      <c r="L1763">
        <f t="shared" si="55"/>
        <v>2026</v>
      </c>
    </row>
    <row r="1764" spans="1:12" x14ac:dyDescent="0.3">
      <c r="A1764" s="6">
        <v>46160</v>
      </c>
      <c r="B1764" t="s">
        <v>32</v>
      </c>
      <c r="C1764" t="s">
        <v>46</v>
      </c>
      <c r="D1764" t="s">
        <v>156</v>
      </c>
      <c r="E1764" t="s">
        <v>35</v>
      </c>
      <c r="F1764" t="s">
        <v>63</v>
      </c>
      <c r="G1764" t="s">
        <v>112</v>
      </c>
      <c r="H1764">
        <v>29580.67</v>
      </c>
      <c r="I1764">
        <v>1</v>
      </c>
      <c r="J1764">
        <v>5714.97</v>
      </c>
      <c r="K1764" t="str">
        <f t="shared" si="54"/>
        <v>May</v>
      </c>
      <c r="L1764">
        <f t="shared" si="55"/>
        <v>2026</v>
      </c>
    </row>
    <row r="1765" spans="1:12" x14ac:dyDescent="0.3">
      <c r="A1765" s="6">
        <v>46160</v>
      </c>
      <c r="B1765" t="s">
        <v>65</v>
      </c>
      <c r="C1765" t="s">
        <v>12</v>
      </c>
      <c r="D1765" t="s">
        <v>156</v>
      </c>
      <c r="E1765" t="s">
        <v>35</v>
      </c>
      <c r="F1765" t="s">
        <v>36</v>
      </c>
      <c r="G1765" t="s">
        <v>37</v>
      </c>
      <c r="H1765">
        <v>24851.09</v>
      </c>
      <c r="I1765">
        <v>1</v>
      </c>
      <c r="J1765">
        <v>3419.41</v>
      </c>
      <c r="K1765" t="str">
        <f t="shared" si="54"/>
        <v>May</v>
      </c>
      <c r="L1765">
        <f t="shared" si="55"/>
        <v>2026</v>
      </c>
    </row>
    <row r="1766" spans="1:12" x14ac:dyDescent="0.3">
      <c r="A1766" s="6">
        <v>46161</v>
      </c>
      <c r="B1766" t="s">
        <v>16</v>
      </c>
      <c r="C1766" t="s">
        <v>62</v>
      </c>
      <c r="D1766" t="s">
        <v>156</v>
      </c>
      <c r="E1766" t="s">
        <v>26</v>
      </c>
      <c r="F1766" t="s">
        <v>27</v>
      </c>
      <c r="G1766" t="s">
        <v>82</v>
      </c>
      <c r="H1766">
        <v>34652.15</v>
      </c>
      <c r="I1766">
        <v>1</v>
      </c>
      <c r="J1766">
        <v>3390.54</v>
      </c>
      <c r="K1766" t="str">
        <f t="shared" si="54"/>
        <v>May</v>
      </c>
      <c r="L1766">
        <f t="shared" si="55"/>
        <v>2026</v>
      </c>
    </row>
    <row r="1767" spans="1:12" x14ac:dyDescent="0.3">
      <c r="A1767" s="6">
        <v>46161</v>
      </c>
      <c r="B1767" t="s">
        <v>78</v>
      </c>
      <c r="C1767" t="s">
        <v>49</v>
      </c>
      <c r="D1767" t="s">
        <v>156</v>
      </c>
      <c r="E1767" t="s">
        <v>13</v>
      </c>
      <c r="F1767" t="s">
        <v>23</v>
      </c>
      <c r="G1767" t="s">
        <v>24</v>
      </c>
      <c r="H1767">
        <v>60507.07</v>
      </c>
      <c r="I1767">
        <v>1</v>
      </c>
      <c r="J1767">
        <v>12535.43</v>
      </c>
      <c r="K1767" t="str">
        <f t="shared" si="54"/>
        <v>May</v>
      </c>
      <c r="L1767">
        <f t="shared" si="55"/>
        <v>2026</v>
      </c>
    </row>
    <row r="1768" spans="1:12" x14ac:dyDescent="0.3">
      <c r="A1768" s="6">
        <v>46161</v>
      </c>
      <c r="B1768" t="s">
        <v>65</v>
      </c>
      <c r="C1768" t="s">
        <v>46</v>
      </c>
      <c r="D1768" t="s">
        <v>156</v>
      </c>
      <c r="E1768" t="s">
        <v>26</v>
      </c>
      <c r="F1768" t="s">
        <v>53</v>
      </c>
      <c r="G1768" t="s">
        <v>104</v>
      </c>
      <c r="H1768">
        <v>228543.52</v>
      </c>
      <c r="I1768">
        <v>3</v>
      </c>
      <c r="J1768">
        <v>32875.01</v>
      </c>
      <c r="K1768" t="str">
        <f t="shared" si="54"/>
        <v>May</v>
      </c>
      <c r="L1768">
        <f t="shared" si="55"/>
        <v>2026</v>
      </c>
    </row>
    <row r="1769" spans="1:12" x14ac:dyDescent="0.3">
      <c r="A1769" s="6">
        <v>46161</v>
      </c>
      <c r="B1769" t="s">
        <v>109</v>
      </c>
      <c r="C1769" t="s">
        <v>81</v>
      </c>
      <c r="D1769" t="s">
        <v>156</v>
      </c>
      <c r="E1769" t="s">
        <v>13</v>
      </c>
      <c r="F1769" t="s">
        <v>23</v>
      </c>
      <c r="G1769" t="s">
        <v>108</v>
      </c>
      <c r="H1769">
        <v>54095.19</v>
      </c>
      <c r="I1769">
        <v>1</v>
      </c>
      <c r="J1769">
        <v>6492.64</v>
      </c>
      <c r="K1769" t="str">
        <f t="shared" si="54"/>
        <v>May</v>
      </c>
      <c r="L1769">
        <f t="shared" si="55"/>
        <v>2026</v>
      </c>
    </row>
    <row r="1770" spans="1:12" x14ac:dyDescent="0.3">
      <c r="A1770" s="6">
        <v>46163</v>
      </c>
      <c r="B1770" t="s">
        <v>38</v>
      </c>
      <c r="C1770" t="s">
        <v>61</v>
      </c>
      <c r="D1770" t="s">
        <v>156</v>
      </c>
      <c r="E1770" t="s">
        <v>13</v>
      </c>
      <c r="F1770" t="s">
        <v>14</v>
      </c>
      <c r="G1770" t="s">
        <v>111</v>
      </c>
      <c r="H1770">
        <v>7279.21</v>
      </c>
      <c r="I1770">
        <v>4</v>
      </c>
      <c r="J1770">
        <v>966.64</v>
      </c>
      <c r="K1770" t="str">
        <f t="shared" si="54"/>
        <v>May</v>
      </c>
      <c r="L1770">
        <f t="shared" si="55"/>
        <v>2026</v>
      </c>
    </row>
    <row r="1771" spans="1:12" x14ac:dyDescent="0.3">
      <c r="A1771" s="6">
        <v>46164</v>
      </c>
      <c r="B1771" t="s">
        <v>11</v>
      </c>
      <c r="C1771" t="s">
        <v>81</v>
      </c>
      <c r="D1771" t="s">
        <v>156</v>
      </c>
      <c r="E1771" t="s">
        <v>18</v>
      </c>
      <c r="F1771" t="s">
        <v>40</v>
      </c>
      <c r="G1771" t="s">
        <v>105</v>
      </c>
      <c r="H1771">
        <v>2246.08</v>
      </c>
      <c r="I1771">
        <v>1</v>
      </c>
      <c r="J1771">
        <v>434.89</v>
      </c>
      <c r="K1771" t="str">
        <f t="shared" si="54"/>
        <v>May</v>
      </c>
      <c r="L1771">
        <f t="shared" si="55"/>
        <v>2026</v>
      </c>
    </row>
    <row r="1772" spans="1:12" x14ac:dyDescent="0.3">
      <c r="A1772" s="6">
        <v>46164</v>
      </c>
      <c r="B1772" t="s">
        <v>113</v>
      </c>
      <c r="C1772" t="s">
        <v>49</v>
      </c>
      <c r="D1772" t="s">
        <v>156</v>
      </c>
      <c r="E1772" t="s">
        <v>35</v>
      </c>
      <c r="F1772" t="s">
        <v>36</v>
      </c>
      <c r="G1772" t="s">
        <v>37</v>
      </c>
      <c r="H1772">
        <v>26148.73</v>
      </c>
      <c r="I1772">
        <v>1</v>
      </c>
      <c r="J1772">
        <v>4182.04</v>
      </c>
      <c r="K1772" t="str">
        <f t="shared" si="54"/>
        <v>May</v>
      </c>
      <c r="L1772">
        <f t="shared" si="55"/>
        <v>2026</v>
      </c>
    </row>
    <row r="1773" spans="1:12" x14ac:dyDescent="0.3">
      <c r="A1773" s="6">
        <v>46165</v>
      </c>
      <c r="B1773" t="s">
        <v>67</v>
      </c>
      <c r="C1773" t="s">
        <v>22</v>
      </c>
      <c r="D1773" t="s">
        <v>156</v>
      </c>
      <c r="E1773" t="s">
        <v>35</v>
      </c>
      <c r="F1773" t="s">
        <v>75</v>
      </c>
      <c r="G1773" t="s">
        <v>107</v>
      </c>
      <c r="H1773">
        <v>66168.2</v>
      </c>
      <c r="I1773">
        <v>2</v>
      </c>
      <c r="J1773">
        <v>9306.15</v>
      </c>
      <c r="K1773" t="str">
        <f t="shared" si="54"/>
        <v>May</v>
      </c>
      <c r="L1773">
        <f t="shared" si="55"/>
        <v>2026</v>
      </c>
    </row>
    <row r="1774" spans="1:12" x14ac:dyDescent="0.3">
      <c r="A1774" s="6">
        <v>46166</v>
      </c>
      <c r="B1774" t="s">
        <v>34</v>
      </c>
      <c r="C1774" t="s">
        <v>58</v>
      </c>
      <c r="D1774" t="s">
        <v>156</v>
      </c>
      <c r="E1774" t="s">
        <v>13</v>
      </c>
      <c r="F1774" t="s">
        <v>23</v>
      </c>
      <c r="G1774" t="s">
        <v>85</v>
      </c>
      <c r="H1774">
        <v>38875.11</v>
      </c>
      <c r="I1774">
        <v>1</v>
      </c>
      <c r="J1774">
        <v>4785.1499999999996</v>
      </c>
      <c r="K1774" t="str">
        <f t="shared" si="54"/>
        <v>May</v>
      </c>
      <c r="L1774">
        <f t="shared" si="55"/>
        <v>2026</v>
      </c>
    </row>
    <row r="1775" spans="1:12" x14ac:dyDescent="0.3">
      <c r="A1775" s="6">
        <v>46167</v>
      </c>
      <c r="B1775" t="s">
        <v>71</v>
      </c>
      <c r="C1775" t="s">
        <v>69</v>
      </c>
      <c r="D1775" t="s">
        <v>156</v>
      </c>
      <c r="E1775" t="s">
        <v>35</v>
      </c>
      <c r="F1775" t="s">
        <v>63</v>
      </c>
      <c r="G1775" t="s">
        <v>64</v>
      </c>
      <c r="H1775">
        <v>53688.65</v>
      </c>
      <c r="I1775">
        <v>2</v>
      </c>
      <c r="J1775">
        <v>9154.26</v>
      </c>
      <c r="K1775" t="str">
        <f t="shared" si="54"/>
        <v>May</v>
      </c>
      <c r="L1775">
        <f t="shared" si="55"/>
        <v>2026</v>
      </c>
    </row>
    <row r="1776" spans="1:12" x14ac:dyDescent="0.3">
      <c r="A1776" s="6">
        <v>46167</v>
      </c>
      <c r="B1776" t="s">
        <v>52</v>
      </c>
      <c r="C1776" t="s">
        <v>49</v>
      </c>
      <c r="D1776" t="s">
        <v>156</v>
      </c>
      <c r="E1776" t="s">
        <v>26</v>
      </c>
      <c r="F1776" t="s">
        <v>53</v>
      </c>
      <c r="G1776" t="s">
        <v>98</v>
      </c>
      <c r="H1776">
        <v>24681.5</v>
      </c>
      <c r="I1776">
        <v>1</v>
      </c>
      <c r="J1776">
        <v>1806.36</v>
      </c>
      <c r="K1776" t="str">
        <f t="shared" si="54"/>
        <v>May</v>
      </c>
      <c r="L1776">
        <f t="shared" si="55"/>
        <v>2026</v>
      </c>
    </row>
    <row r="1777" spans="1:12" x14ac:dyDescent="0.3">
      <c r="A1777" s="6">
        <v>46168</v>
      </c>
      <c r="B1777" t="s">
        <v>80</v>
      </c>
      <c r="C1777" t="s">
        <v>81</v>
      </c>
      <c r="D1777" t="s">
        <v>156</v>
      </c>
      <c r="E1777" t="s">
        <v>35</v>
      </c>
      <c r="F1777" t="s">
        <v>63</v>
      </c>
      <c r="G1777" t="s">
        <v>64</v>
      </c>
      <c r="H1777">
        <v>61479.09</v>
      </c>
      <c r="I1777">
        <v>2</v>
      </c>
      <c r="J1777">
        <v>7312.18</v>
      </c>
      <c r="K1777" t="str">
        <f t="shared" si="54"/>
        <v>May</v>
      </c>
      <c r="L1777">
        <f t="shared" si="55"/>
        <v>2026</v>
      </c>
    </row>
    <row r="1778" spans="1:12" x14ac:dyDescent="0.3">
      <c r="A1778" s="6">
        <v>46170</v>
      </c>
      <c r="B1778" t="s">
        <v>73</v>
      </c>
      <c r="C1778" t="s">
        <v>62</v>
      </c>
      <c r="D1778" t="s">
        <v>156</v>
      </c>
      <c r="E1778" t="s">
        <v>35</v>
      </c>
      <c r="F1778" t="s">
        <v>63</v>
      </c>
      <c r="G1778" t="s">
        <v>64</v>
      </c>
      <c r="H1778">
        <v>30748.32</v>
      </c>
      <c r="I1778">
        <v>1</v>
      </c>
      <c r="J1778">
        <v>4286.33</v>
      </c>
      <c r="K1778" t="str">
        <f t="shared" si="54"/>
        <v>May</v>
      </c>
      <c r="L1778">
        <f t="shared" si="55"/>
        <v>2026</v>
      </c>
    </row>
    <row r="1779" spans="1:12" x14ac:dyDescent="0.3">
      <c r="A1779" s="6">
        <v>46170</v>
      </c>
      <c r="B1779" t="s">
        <v>25</v>
      </c>
      <c r="C1779" t="s">
        <v>49</v>
      </c>
      <c r="D1779" t="s">
        <v>156</v>
      </c>
      <c r="E1779" t="s">
        <v>26</v>
      </c>
      <c r="F1779" t="s">
        <v>53</v>
      </c>
      <c r="G1779" t="s">
        <v>100</v>
      </c>
      <c r="H1779">
        <v>86863.64</v>
      </c>
      <c r="I1779">
        <v>1</v>
      </c>
      <c r="J1779">
        <v>15272.86</v>
      </c>
      <c r="K1779" t="str">
        <f t="shared" si="54"/>
        <v>May</v>
      </c>
      <c r="L1779">
        <f t="shared" si="55"/>
        <v>2026</v>
      </c>
    </row>
    <row r="1780" spans="1:12" x14ac:dyDescent="0.3">
      <c r="A1780" s="6">
        <v>46170</v>
      </c>
      <c r="B1780" t="s">
        <v>16</v>
      </c>
      <c r="C1780" t="s">
        <v>22</v>
      </c>
      <c r="D1780" t="s">
        <v>156</v>
      </c>
      <c r="E1780" t="s">
        <v>18</v>
      </c>
      <c r="F1780" t="s">
        <v>40</v>
      </c>
      <c r="G1780" t="s">
        <v>115</v>
      </c>
      <c r="H1780">
        <v>11850.61</v>
      </c>
      <c r="I1780">
        <v>1</v>
      </c>
      <c r="J1780">
        <v>1010.79</v>
      </c>
      <c r="K1780" t="str">
        <f t="shared" si="54"/>
        <v>May</v>
      </c>
      <c r="L1780">
        <f t="shared" si="55"/>
        <v>2026</v>
      </c>
    </row>
    <row r="1781" spans="1:12" x14ac:dyDescent="0.3">
      <c r="A1781" s="6">
        <v>46170</v>
      </c>
      <c r="B1781" t="s">
        <v>45</v>
      </c>
      <c r="C1781" t="s">
        <v>12</v>
      </c>
      <c r="D1781" t="s">
        <v>156</v>
      </c>
      <c r="E1781" t="s">
        <v>42</v>
      </c>
      <c r="F1781" t="s">
        <v>43</v>
      </c>
      <c r="G1781" t="s">
        <v>89</v>
      </c>
      <c r="H1781">
        <v>29919.29</v>
      </c>
      <c r="I1781">
        <v>1</v>
      </c>
      <c r="J1781">
        <v>4223.25</v>
      </c>
      <c r="K1781" t="str">
        <f t="shared" si="54"/>
        <v>May</v>
      </c>
      <c r="L1781">
        <f t="shared" si="55"/>
        <v>2026</v>
      </c>
    </row>
    <row r="1782" spans="1:12" x14ac:dyDescent="0.3">
      <c r="A1782" s="6">
        <v>46170</v>
      </c>
      <c r="B1782" t="s">
        <v>38</v>
      </c>
      <c r="C1782" t="s">
        <v>30</v>
      </c>
      <c r="D1782" t="s">
        <v>156</v>
      </c>
      <c r="E1782" t="s">
        <v>18</v>
      </c>
      <c r="F1782" t="s">
        <v>19</v>
      </c>
      <c r="G1782" t="s">
        <v>59</v>
      </c>
      <c r="H1782">
        <v>54141.03</v>
      </c>
      <c r="I1782">
        <v>1</v>
      </c>
      <c r="J1782">
        <v>5570.04</v>
      </c>
      <c r="K1782" t="str">
        <f t="shared" si="54"/>
        <v>May</v>
      </c>
      <c r="L1782">
        <f t="shared" si="55"/>
        <v>2026</v>
      </c>
    </row>
    <row r="1783" spans="1:12" x14ac:dyDescent="0.3">
      <c r="A1783" s="6">
        <v>46170</v>
      </c>
      <c r="B1783" t="s">
        <v>71</v>
      </c>
      <c r="C1783" t="s">
        <v>30</v>
      </c>
      <c r="D1783" t="s">
        <v>156</v>
      </c>
      <c r="E1783" t="s">
        <v>35</v>
      </c>
      <c r="F1783" t="s">
        <v>75</v>
      </c>
      <c r="G1783" t="s">
        <v>110</v>
      </c>
      <c r="H1783">
        <v>45422.81</v>
      </c>
      <c r="I1783">
        <v>1</v>
      </c>
      <c r="J1783">
        <v>9887.9699999999993</v>
      </c>
      <c r="K1783" t="str">
        <f t="shared" si="54"/>
        <v>May</v>
      </c>
      <c r="L1783">
        <f t="shared" si="55"/>
        <v>2026</v>
      </c>
    </row>
    <row r="1784" spans="1:12" x14ac:dyDescent="0.3">
      <c r="A1784" s="6">
        <v>46171</v>
      </c>
      <c r="B1784" t="s">
        <v>78</v>
      </c>
      <c r="C1784" t="s">
        <v>49</v>
      </c>
      <c r="D1784" t="s">
        <v>156</v>
      </c>
      <c r="E1784" t="s">
        <v>26</v>
      </c>
      <c r="F1784" t="s">
        <v>27</v>
      </c>
      <c r="G1784" t="s">
        <v>31</v>
      </c>
      <c r="H1784">
        <v>9564.6299999999992</v>
      </c>
      <c r="I1784">
        <v>1</v>
      </c>
      <c r="J1784">
        <v>720.75</v>
      </c>
      <c r="K1784" t="str">
        <f t="shared" si="54"/>
        <v>May</v>
      </c>
      <c r="L1784">
        <f t="shared" si="55"/>
        <v>2026</v>
      </c>
    </row>
    <row r="1785" spans="1:12" x14ac:dyDescent="0.3">
      <c r="A1785" s="6">
        <v>46171</v>
      </c>
      <c r="B1785" t="s">
        <v>55</v>
      </c>
      <c r="C1785" t="s">
        <v>17</v>
      </c>
      <c r="D1785" t="s">
        <v>156</v>
      </c>
      <c r="E1785" t="s">
        <v>18</v>
      </c>
      <c r="F1785" t="s">
        <v>19</v>
      </c>
      <c r="G1785" t="s">
        <v>72</v>
      </c>
      <c r="H1785">
        <v>252023.58</v>
      </c>
      <c r="I1785">
        <v>4</v>
      </c>
      <c r="J1785">
        <v>28763.27</v>
      </c>
      <c r="K1785" t="str">
        <f t="shared" si="54"/>
        <v>May</v>
      </c>
      <c r="L1785">
        <f t="shared" si="55"/>
        <v>2026</v>
      </c>
    </row>
    <row r="1786" spans="1:12" x14ac:dyDescent="0.3">
      <c r="A1786" s="6">
        <v>46172</v>
      </c>
      <c r="B1786" t="s">
        <v>34</v>
      </c>
      <c r="C1786" t="s">
        <v>62</v>
      </c>
      <c r="D1786" t="s">
        <v>156</v>
      </c>
      <c r="E1786" t="s">
        <v>26</v>
      </c>
      <c r="F1786" t="s">
        <v>53</v>
      </c>
      <c r="G1786" t="s">
        <v>104</v>
      </c>
      <c r="H1786">
        <v>77560.12</v>
      </c>
      <c r="I1786">
        <v>1</v>
      </c>
      <c r="J1786">
        <v>8108.16</v>
      </c>
      <c r="K1786" t="str">
        <f t="shared" si="54"/>
        <v>May</v>
      </c>
      <c r="L1786">
        <f t="shared" si="55"/>
        <v>2026</v>
      </c>
    </row>
    <row r="1787" spans="1:12" x14ac:dyDescent="0.3">
      <c r="A1787" s="6">
        <v>46172</v>
      </c>
      <c r="B1787" t="s">
        <v>95</v>
      </c>
      <c r="C1787" t="s">
        <v>61</v>
      </c>
      <c r="D1787" t="s">
        <v>156</v>
      </c>
      <c r="E1787" t="s">
        <v>42</v>
      </c>
      <c r="F1787" t="s">
        <v>90</v>
      </c>
      <c r="G1787" t="s">
        <v>120</v>
      </c>
      <c r="H1787">
        <v>10851.57</v>
      </c>
      <c r="I1787">
        <v>2</v>
      </c>
      <c r="J1787">
        <v>988.44</v>
      </c>
      <c r="K1787" t="str">
        <f t="shared" si="54"/>
        <v>May</v>
      </c>
      <c r="L1787">
        <f t="shared" si="55"/>
        <v>2026</v>
      </c>
    </row>
    <row r="1788" spans="1:12" x14ac:dyDescent="0.3">
      <c r="A1788" s="6">
        <v>46172</v>
      </c>
      <c r="B1788" t="s">
        <v>86</v>
      </c>
      <c r="C1788" t="s">
        <v>69</v>
      </c>
      <c r="D1788" t="s">
        <v>156</v>
      </c>
      <c r="E1788" t="s">
        <v>26</v>
      </c>
      <c r="F1788" t="s">
        <v>27</v>
      </c>
      <c r="G1788" t="s">
        <v>31</v>
      </c>
      <c r="H1788">
        <v>25010.59</v>
      </c>
      <c r="I1788">
        <v>3</v>
      </c>
      <c r="J1788">
        <v>2280.2399999999998</v>
      </c>
      <c r="K1788" t="str">
        <f t="shared" si="54"/>
        <v>May</v>
      </c>
      <c r="L1788">
        <f t="shared" si="55"/>
        <v>2026</v>
      </c>
    </row>
    <row r="1789" spans="1:12" x14ac:dyDescent="0.3">
      <c r="A1789" s="6">
        <v>46173</v>
      </c>
      <c r="B1789" t="s">
        <v>60</v>
      </c>
      <c r="C1789" t="s">
        <v>46</v>
      </c>
      <c r="D1789" t="s">
        <v>156</v>
      </c>
      <c r="E1789" t="s">
        <v>35</v>
      </c>
      <c r="F1789" t="s">
        <v>50</v>
      </c>
      <c r="G1789" t="s">
        <v>51</v>
      </c>
      <c r="H1789">
        <v>8644.9599999999991</v>
      </c>
      <c r="I1789">
        <v>1</v>
      </c>
      <c r="J1789">
        <v>1552.08</v>
      </c>
      <c r="K1789" t="str">
        <f t="shared" si="54"/>
        <v>May</v>
      </c>
      <c r="L1789">
        <f t="shared" si="55"/>
        <v>2026</v>
      </c>
    </row>
    <row r="1790" spans="1:12" x14ac:dyDescent="0.3">
      <c r="A1790" s="6">
        <v>46173</v>
      </c>
      <c r="B1790" t="s">
        <v>52</v>
      </c>
      <c r="C1790" t="s">
        <v>58</v>
      </c>
      <c r="D1790" t="s">
        <v>156</v>
      </c>
      <c r="E1790" t="s">
        <v>18</v>
      </c>
      <c r="F1790" t="s">
        <v>19</v>
      </c>
      <c r="G1790" t="s">
        <v>33</v>
      </c>
      <c r="H1790">
        <v>98059.03</v>
      </c>
      <c r="I1790">
        <v>2</v>
      </c>
      <c r="J1790">
        <v>13831.76</v>
      </c>
      <c r="K1790" t="str">
        <f t="shared" si="54"/>
        <v>May</v>
      </c>
      <c r="L1790">
        <f t="shared" si="55"/>
        <v>2026</v>
      </c>
    </row>
    <row r="1791" spans="1:12" x14ac:dyDescent="0.3">
      <c r="A1791" s="6">
        <v>46173</v>
      </c>
      <c r="B1791" t="s">
        <v>32</v>
      </c>
      <c r="C1791" t="s">
        <v>68</v>
      </c>
      <c r="D1791" t="s">
        <v>156</v>
      </c>
      <c r="E1791" t="s">
        <v>26</v>
      </c>
      <c r="F1791" t="s">
        <v>27</v>
      </c>
      <c r="G1791" t="s">
        <v>28</v>
      </c>
      <c r="H1791">
        <v>22781.66</v>
      </c>
      <c r="I1791">
        <v>1</v>
      </c>
      <c r="J1791">
        <v>3969.57</v>
      </c>
      <c r="K1791" t="str">
        <f t="shared" si="54"/>
        <v>May</v>
      </c>
      <c r="L1791">
        <f t="shared" si="55"/>
        <v>2026</v>
      </c>
    </row>
    <row r="1792" spans="1:12" x14ac:dyDescent="0.3">
      <c r="A1792" s="6">
        <v>46174</v>
      </c>
      <c r="B1792" t="s">
        <v>48</v>
      </c>
      <c r="C1792" t="s">
        <v>30</v>
      </c>
      <c r="D1792" t="s">
        <v>156</v>
      </c>
      <c r="E1792" t="s">
        <v>42</v>
      </c>
      <c r="F1792" t="s">
        <v>43</v>
      </c>
      <c r="G1792" t="s">
        <v>87</v>
      </c>
      <c r="H1792">
        <v>10144.09</v>
      </c>
      <c r="I1792">
        <v>1</v>
      </c>
      <c r="J1792">
        <v>1260</v>
      </c>
      <c r="K1792" t="str">
        <f t="shared" si="54"/>
        <v>June</v>
      </c>
      <c r="L1792">
        <f t="shared" si="55"/>
        <v>2026</v>
      </c>
    </row>
    <row r="1793" spans="1:12" x14ac:dyDescent="0.3">
      <c r="A1793" s="6">
        <v>46174</v>
      </c>
      <c r="B1793" t="s">
        <v>86</v>
      </c>
      <c r="C1793" t="s">
        <v>58</v>
      </c>
      <c r="D1793" t="s">
        <v>156</v>
      </c>
      <c r="E1793" t="s">
        <v>13</v>
      </c>
      <c r="F1793" t="s">
        <v>23</v>
      </c>
      <c r="G1793" t="s">
        <v>24</v>
      </c>
      <c r="H1793">
        <v>61933.68</v>
      </c>
      <c r="I1793">
        <v>1</v>
      </c>
      <c r="J1793">
        <v>11756.76</v>
      </c>
      <c r="K1793" t="str">
        <f t="shared" si="54"/>
        <v>June</v>
      </c>
      <c r="L1793">
        <f t="shared" si="55"/>
        <v>2026</v>
      </c>
    </row>
    <row r="1794" spans="1:12" x14ac:dyDescent="0.3">
      <c r="A1794" s="6">
        <v>46175</v>
      </c>
      <c r="B1794" t="s">
        <v>67</v>
      </c>
      <c r="C1794" t="s">
        <v>49</v>
      </c>
      <c r="D1794" t="s">
        <v>156</v>
      </c>
      <c r="E1794" t="s">
        <v>42</v>
      </c>
      <c r="F1794" t="s">
        <v>43</v>
      </c>
      <c r="G1794" t="s">
        <v>89</v>
      </c>
      <c r="H1794">
        <v>133407.09</v>
      </c>
      <c r="I1794">
        <v>4</v>
      </c>
      <c r="J1794">
        <v>19055.25</v>
      </c>
      <c r="K1794" t="str">
        <f t="shared" si="54"/>
        <v>June</v>
      </c>
      <c r="L1794">
        <f t="shared" si="55"/>
        <v>2026</v>
      </c>
    </row>
    <row r="1795" spans="1:12" x14ac:dyDescent="0.3">
      <c r="A1795" s="6">
        <v>46175</v>
      </c>
      <c r="B1795" t="s">
        <v>45</v>
      </c>
      <c r="C1795" t="s">
        <v>46</v>
      </c>
      <c r="D1795" t="s">
        <v>156</v>
      </c>
      <c r="E1795" t="s">
        <v>42</v>
      </c>
      <c r="F1795" t="s">
        <v>90</v>
      </c>
      <c r="G1795" t="s">
        <v>97</v>
      </c>
      <c r="H1795">
        <v>4988.57</v>
      </c>
      <c r="I1795">
        <v>2</v>
      </c>
      <c r="J1795">
        <v>370.57</v>
      </c>
      <c r="K1795" t="str">
        <f t="shared" ref="K1795:K1858" si="56">TEXT(A1795,"mmmm")</f>
        <v>June</v>
      </c>
      <c r="L1795">
        <f t="shared" ref="L1795:L1858" si="57">YEAR(A1795)</f>
        <v>2026</v>
      </c>
    </row>
    <row r="1796" spans="1:12" x14ac:dyDescent="0.3">
      <c r="A1796" s="6">
        <v>46175</v>
      </c>
      <c r="B1796" t="s">
        <v>55</v>
      </c>
      <c r="C1796" t="s">
        <v>46</v>
      </c>
      <c r="D1796" t="s">
        <v>156</v>
      </c>
      <c r="E1796" t="s">
        <v>18</v>
      </c>
      <c r="F1796" t="s">
        <v>19</v>
      </c>
      <c r="G1796" t="s">
        <v>106</v>
      </c>
      <c r="H1796">
        <v>83152.490000000005</v>
      </c>
      <c r="I1796">
        <v>1</v>
      </c>
      <c r="J1796">
        <v>14786.1</v>
      </c>
      <c r="K1796" t="str">
        <f t="shared" si="56"/>
        <v>June</v>
      </c>
      <c r="L1796">
        <f t="shared" si="57"/>
        <v>2026</v>
      </c>
    </row>
    <row r="1797" spans="1:12" x14ac:dyDescent="0.3">
      <c r="A1797" s="6">
        <v>46175</v>
      </c>
      <c r="B1797" t="s">
        <v>67</v>
      </c>
      <c r="C1797" t="s">
        <v>17</v>
      </c>
      <c r="D1797" t="s">
        <v>156</v>
      </c>
      <c r="E1797" t="s">
        <v>18</v>
      </c>
      <c r="F1797" t="s">
        <v>40</v>
      </c>
      <c r="G1797" t="s">
        <v>41</v>
      </c>
      <c r="H1797">
        <v>17523.900000000001</v>
      </c>
      <c r="I1797">
        <v>1</v>
      </c>
      <c r="J1797">
        <v>3192.99</v>
      </c>
      <c r="K1797" t="str">
        <f t="shared" si="56"/>
        <v>June</v>
      </c>
      <c r="L1797">
        <f t="shared" si="57"/>
        <v>2026</v>
      </c>
    </row>
    <row r="1798" spans="1:12" x14ac:dyDescent="0.3">
      <c r="A1798" s="6">
        <v>46175</v>
      </c>
      <c r="B1798" t="s">
        <v>103</v>
      </c>
      <c r="C1798" t="s">
        <v>49</v>
      </c>
      <c r="D1798" t="s">
        <v>156</v>
      </c>
      <c r="E1798" t="s">
        <v>35</v>
      </c>
      <c r="F1798" t="s">
        <v>50</v>
      </c>
      <c r="G1798" t="s">
        <v>119</v>
      </c>
      <c r="H1798">
        <v>5044.78</v>
      </c>
      <c r="I1798">
        <v>2</v>
      </c>
      <c r="J1798">
        <v>456.16</v>
      </c>
      <c r="K1798" t="str">
        <f t="shared" si="56"/>
        <v>June</v>
      </c>
      <c r="L1798">
        <f t="shared" si="57"/>
        <v>2026</v>
      </c>
    </row>
    <row r="1799" spans="1:12" x14ac:dyDescent="0.3">
      <c r="A1799" s="6">
        <v>46176</v>
      </c>
      <c r="B1799" t="s">
        <v>45</v>
      </c>
      <c r="C1799" t="s">
        <v>58</v>
      </c>
      <c r="D1799" t="s">
        <v>156</v>
      </c>
      <c r="E1799" t="s">
        <v>26</v>
      </c>
      <c r="F1799" t="s">
        <v>27</v>
      </c>
      <c r="G1799" t="s">
        <v>31</v>
      </c>
      <c r="H1799">
        <v>8496.66</v>
      </c>
      <c r="I1799">
        <v>1</v>
      </c>
      <c r="J1799">
        <v>1810.44</v>
      </c>
      <c r="K1799" t="str">
        <f t="shared" si="56"/>
        <v>June</v>
      </c>
      <c r="L1799">
        <f t="shared" si="57"/>
        <v>2026</v>
      </c>
    </row>
    <row r="1800" spans="1:12" x14ac:dyDescent="0.3">
      <c r="A1800" s="6">
        <v>46178</v>
      </c>
      <c r="B1800" t="s">
        <v>21</v>
      </c>
      <c r="C1800" t="s">
        <v>12</v>
      </c>
      <c r="D1800" t="s">
        <v>156</v>
      </c>
      <c r="E1800" t="s">
        <v>35</v>
      </c>
      <c r="F1800" t="s">
        <v>63</v>
      </c>
      <c r="G1800" t="s">
        <v>114</v>
      </c>
      <c r="H1800">
        <v>24955.200000000001</v>
      </c>
      <c r="I1800">
        <v>1</v>
      </c>
      <c r="J1800">
        <v>2030.64</v>
      </c>
      <c r="K1800" t="str">
        <f t="shared" si="56"/>
        <v>June</v>
      </c>
      <c r="L1800">
        <f t="shared" si="57"/>
        <v>2026</v>
      </c>
    </row>
    <row r="1801" spans="1:12" x14ac:dyDescent="0.3">
      <c r="A1801" s="6">
        <v>46178</v>
      </c>
      <c r="B1801" t="s">
        <v>92</v>
      </c>
      <c r="C1801" t="s">
        <v>17</v>
      </c>
      <c r="D1801" t="s">
        <v>156</v>
      </c>
      <c r="E1801" t="s">
        <v>18</v>
      </c>
      <c r="F1801" t="s">
        <v>40</v>
      </c>
      <c r="G1801" t="s">
        <v>105</v>
      </c>
      <c r="H1801">
        <v>2257.64</v>
      </c>
      <c r="I1801">
        <v>1</v>
      </c>
      <c r="J1801">
        <v>343.57</v>
      </c>
      <c r="K1801" t="str">
        <f t="shared" si="56"/>
        <v>June</v>
      </c>
      <c r="L1801">
        <f t="shared" si="57"/>
        <v>2026</v>
      </c>
    </row>
    <row r="1802" spans="1:12" x14ac:dyDescent="0.3">
      <c r="A1802" s="6">
        <v>46180</v>
      </c>
      <c r="B1802" t="s">
        <v>52</v>
      </c>
      <c r="C1802" t="s">
        <v>62</v>
      </c>
      <c r="D1802" t="s">
        <v>156</v>
      </c>
      <c r="E1802" t="s">
        <v>35</v>
      </c>
      <c r="F1802" t="s">
        <v>36</v>
      </c>
      <c r="G1802" t="s">
        <v>37</v>
      </c>
      <c r="H1802">
        <v>140034.07999999999</v>
      </c>
      <c r="I1802">
        <v>5</v>
      </c>
      <c r="J1802">
        <v>22055.96</v>
      </c>
      <c r="K1802" t="str">
        <f t="shared" si="56"/>
        <v>June</v>
      </c>
      <c r="L1802">
        <f t="shared" si="57"/>
        <v>2026</v>
      </c>
    </row>
    <row r="1803" spans="1:12" x14ac:dyDescent="0.3">
      <c r="A1803" s="6">
        <v>46180</v>
      </c>
      <c r="B1803" t="s">
        <v>60</v>
      </c>
      <c r="C1803" t="s">
        <v>17</v>
      </c>
      <c r="D1803" t="s">
        <v>156</v>
      </c>
      <c r="E1803" t="s">
        <v>13</v>
      </c>
      <c r="F1803" t="s">
        <v>14</v>
      </c>
      <c r="G1803" t="s">
        <v>70</v>
      </c>
      <c r="H1803">
        <v>2798.44</v>
      </c>
      <c r="I1803">
        <v>1</v>
      </c>
      <c r="J1803">
        <v>487.97</v>
      </c>
      <c r="K1803" t="str">
        <f t="shared" si="56"/>
        <v>June</v>
      </c>
      <c r="L1803">
        <f t="shared" si="57"/>
        <v>2026</v>
      </c>
    </row>
    <row r="1804" spans="1:12" x14ac:dyDescent="0.3">
      <c r="A1804" s="6">
        <v>46181</v>
      </c>
      <c r="B1804" t="s">
        <v>78</v>
      </c>
      <c r="C1804" t="s">
        <v>58</v>
      </c>
      <c r="D1804" t="s">
        <v>156</v>
      </c>
      <c r="E1804" t="s">
        <v>13</v>
      </c>
      <c r="F1804" t="s">
        <v>23</v>
      </c>
      <c r="G1804" t="s">
        <v>24</v>
      </c>
      <c r="H1804">
        <v>54771.31</v>
      </c>
      <c r="I1804">
        <v>1</v>
      </c>
      <c r="J1804">
        <v>5718.52</v>
      </c>
      <c r="K1804" t="str">
        <f t="shared" si="56"/>
        <v>June</v>
      </c>
      <c r="L1804">
        <f t="shared" si="57"/>
        <v>2026</v>
      </c>
    </row>
    <row r="1805" spans="1:12" x14ac:dyDescent="0.3">
      <c r="A1805" s="6">
        <v>46181</v>
      </c>
      <c r="B1805" t="s">
        <v>73</v>
      </c>
      <c r="C1805" t="s">
        <v>68</v>
      </c>
      <c r="D1805" t="s">
        <v>156</v>
      </c>
      <c r="E1805" t="s">
        <v>42</v>
      </c>
      <c r="F1805" t="s">
        <v>90</v>
      </c>
      <c r="G1805" t="s">
        <v>120</v>
      </c>
      <c r="H1805">
        <v>11847.88</v>
      </c>
      <c r="I1805">
        <v>2</v>
      </c>
      <c r="J1805">
        <v>2400.21</v>
      </c>
      <c r="K1805" t="str">
        <f t="shared" si="56"/>
        <v>June</v>
      </c>
      <c r="L1805">
        <f t="shared" si="57"/>
        <v>2026</v>
      </c>
    </row>
    <row r="1806" spans="1:12" x14ac:dyDescent="0.3">
      <c r="A1806" s="6">
        <v>46181</v>
      </c>
      <c r="B1806" t="s">
        <v>86</v>
      </c>
      <c r="C1806" t="s">
        <v>69</v>
      </c>
      <c r="D1806" t="s">
        <v>156</v>
      </c>
      <c r="E1806" t="s">
        <v>35</v>
      </c>
      <c r="F1806" t="s">
        <v>36</v>
      </c>
      <c r="G1806" t="s">
        <v>84</v>
      </c>
      <c r="H1806">
        <v>28135.27</v>
      </c>
      <c r="I1806">
        <v>1</v>
      </c>
      <c r="J1806">
        <v>2461.6799999999998</v>
      </c>
      <c r="K1806" t="str">
        <f t="shared" si="56"/>
        <v>June</v>
      </c>
      <c r="L1806">
        <f t="shared" si="57"/>
        <v>2026</v>
      </c>
    </row>
    <row r="1807" spans="1:12" x14ac:dyDescent="0.3">
      <c r="A1807" s="6">
        <v>46182</v>
      </c>
      <c r="B1807" t="s">
        <v>25</v>
      </c>
      <c r="C1807" t="s">
        <v>17</v>
      </c>
      <c r="D1807" t="s">
        <v>156</v>
      </c>
      <c r="E1807" t="s">
        <v>13</v>
      </c>
      <c r="F1807" t="s">
        <v>14</v>
      </c>
      <c r="G1807" t="s">
        <v>88</v>
      </c>
      <c r="H1807">
        <v>4354.8</v>
      </c>
      <c r="I1807">
        <v>3</v>
      </c>
      <c r="J1807">
        <v>631.78</v>
      </c>
      <c r="K1807" t="str">
        <f t="shared" si="56"/>
        <v>June</v>
      </c>
      <c r="L1807">
        <f t="shared" si="57"/>
        <v>2026</v>
      </c>
    </row>
    <row r="1808" spans="1:12" x14ac:dyDescent="0.3">
      <c r="A1808" s="6">
        <v>46182</v>
      </c>
      <c r="B1808" t="s">
        <v>16</v>
      </c>
      <c r="C1808" t="s">
        <v>39</v>
      </c>
      <c r="D1808" t="s">
        <v>156</v>
      </c>
      <c r="E1808" t="s">
        <v>18</v>
      </c>
      <c r="F1808" t="s">
        <v>19</v>
      </c>
      <c r="G1808" t="s">
        <v>20</v>
      </c>
      <c r="H1808">
        <v>64890.93</v>
      </c>
      <c r="I1808">
        <v>1</v>
      </c>
      <c r="J1808">
        <v>10322.24</v>
      </c>
      <c r="K1808" t="str">
        <f t="shared" si="56"/>
        <v>June</v>
      </c>
      <c r="L1808">
        <f t="shared" si="57"/>
        <v>2026</v>
      </c>
    </row>
    <row r="1809" spans="1:12" x14ac:dyDescent="0.3">
      <c r="A1809" s="6">
        <v>46183</v>
      </c>
      <c r="B1809" t="s">
        <v>95</v>
      </c>
      <c r="C1809" t="s">
        <v>30</v>
      </c>
      <c r="D1809" t="s">
        <v>156</v>
      </c>
      <c r="E1809" t="s">
        <v>26</v>
      </c>
      <c r="F1809" t="s">
        <v>53</v>
      </c>
      <c r="G1809" t="s">
        <v>98</v>
      </c>
      <c r="H1809">
        <v>84477.63</v>
      </c>
      <c r="I1809">
        <v>3</v>
      </c>
      <c r="J1809">
        <v>12508.38</v>
      </c>
      <c r="K1809" t="str">
        <f t="shared" si="56"/>
        <v>June</v>
      </c>
      <c r="L1809">
        <f t="shared" si="57"/>
        <v>2026</v>
      </c>
    </row>
    <row r="1810" spans="1:12" x14ac:dyDescent="0.3">
      <c r="A1810" s="6">
        <v>46183</v>
      </c>
      <c r="B1810" t="s">
        <v>71</v>
      </c>
      <c r="C1810" t="s">
        <v>81</v>
      </c>
      <c r="D1810" t="s">
        <v>156</v>
      </c>
      <c r="E1810" t="s">
        <v>18</v>
      </c>
      <c r="F1810" t="s">
        <v>19</v>
      </c>
      <c r="G1810" t="s">
        <v>106</v>
      </c>
      <c r="H1810">
        <v>85329.42</v>
      </c>
      <c r="I1810">
        <v>1</v>
      </c>
      <c r="J1810">
        <v>9442.49</v>
      </c>
      <c r="K1810" t="str">
        <f t="shared" si="56"/>
        <v>June</v>
      </c>
      <c r="L1810">
        <f t="shared" si="57"/>
        <v>2026</v>
      </c>
    </row>
    <row r="1811" spans="1:12" x14ac:dyDescent="0.3">
      <c r="A1811" s="6">
        <v>46184</v>
      </c>
      <c r="B1811" t="s">
        <v>73</v>
      </c>
      <c r="C1811" t="s">
        <v>22</v>
      </c>
      <c r="D1811" t="s">
        <v>156</v>
      </c>
      <c r="E1811" t="s">
        <v>35</v>
      </c>
      <c r="F1811" t="s">
        <v>50</v>
      </c>
      <c r="G1811" t="s">
        <v>119</v>
      </c>
      <c r="H1811">
        <v>5502.29</v>
      </c>
      <c r="I1811">
        <v>2</v>
      </c>
      <c r="J1811">
        <v>611.75</v>
      </c>
      <c r="K1811" t="str">
        <f t="shared" si="56"/>
        <v>June</v>
      </c>
      <c r="L1811">
        <f t="shared" si="57"/>
        <v>2026</v>
      </c>
    </row>
    <row r="1812" spans="1:12" x14ac:dyDescent="0.3">
      <c r="A1812" s="6">
        <v>46184</v>
      </c>
      <c r="B1812" t="s">
        <v>113</v>
      </c>
      <c r="C1812" t="s">
        <v>69</v>
      </c>
      <c r="D1812" t="s">
        <v>156</v>
      </c>
      <c r="E1812" t="s">
        <v>26</v>
      </c>
      <c r="F1812" t="s">
        <v>27</v>
      </c>
      <c r="G1812" t="s">
        <v>28</v>
      </c>
      <c r="H1812">
        <v>69081.850000000006</v>
      </c>
      <c r="I1812">
        <v>3</v>
      </c>
      <c r="J1812">
        <v>8537.24</v>
      </c>
      <c r="K1812" t="str">
        <f t="shared" si="56"/>
        <v>June</v>
      </c>
      <c r="L1812">
        <f t="shared" si="57"/>
        <v>2026</v>
      </c>
    </row>
    <row r="1813" spans="1:12" x14ac:dyDescent="0.3">
      <c r="A1813" s="6">
        <v>46185</v>
      </c>
      <c r="B1813" t="s">
        <v>73</v>
      </c>
      <c r="C1813" t="s">
        <v>61</v>
      </c>
      <c r="D1813" t="s">
        <v>156</v>
      </c>
      <c r="E1813" t="s">
        <v>13</v>
      </c>
      <c r="F1813" t="s">
        <v>14</v>
      </c>
      <c r="G1813" t="s">
        <v>15</v>
      </c>
      <c r="H1813">
        <v>4164.75</v>
      </c>
      <c r="I1813">
        <v>2</v>
      </c>
      <c r="J1813">
        <v>829.22</v>
      </c>
      <c r="K1813" t="str">
        <f t="shared" si="56"/>
        <v>June</v>
      </c>
      <c r="L1813">
        <f t="shared" si="57"/>
        <v>2026</v>
      </c>
    </row>
    <row r="1814" spans="1:12" x14ac:dyDescent="0.3">
      <c r="A1814" s="6">
        <v>46185</v>
      </c>
      <c r="B1814" t="s">
        <v>55</v>
      </c>
      <c r="C1814" t="s">
        <v>49</v>
      </c>
      <c r="D1814" t="s">
        <v>156</v>
      </c>
      <c r="E1814" t="s">
        <v>13</v>
      </c>
      <c r="F1814" t="s">
        <v>14</v>
      </c>
      <c r="G1814" t="s">
        <v>111</v>
      </c>
      <c r="H1814">
        <v>5533.1</v>
      </c>
      <c r="I1814">
        <v>3</v>
      </c>
      <c r="J1814">
        <v>611.19000000000005</v>
      </c>
      <c r="K1814" t="str">
        <f t="shared" si="56"/>
        <v>June</v>
      </c>
      <c r="L1814">
        <f t="shared" si="57"/>
        <v>2026</v>
      </c>
    </row>
    <row r="1815" spans="1:12" x14ac:dyDescent="0.3">
      <c r="A1815" s="6">
        <v>46185</v>
      </c>
      <c r="B1815" t="s">
        <v>80</v>
      </c>
      <c r="C1815" t="s">
        <v>58</v>
      </c>
      <c r="D1815" t="s">
        <v>156</v>
      </c>
      <c r="E1815" t="s">
        <v>26</v>
      </c>
      <c r="F1815" t="s">
        <v>27</v>
      </c>
      <c r="G1815" t="s">
        <v>31</v>
      </c>
      <c r="H1815">
        <v>8548.7999999999993</v>
      </c>
      <c r="I1815">
        <v>1</v>
      </c>
      <c r="J1815">
        <v>1492</v>
      </c>
      <c r="K1815" t="str">
        <f t="shared" si="56"/>
        <v>June</v>
      </c>
      <c r="L1815">
        <f t="shared" si="57"/>
        <v>2026</v>
      </c>
    </row>
    <row r="1816" spans="1:12" x14ac:dyDescent="0.3">
      <c r="A1816" s="6">
        <v>46185</v>
      </c>
      <c r="B1816" t="s">
        <v>16</v>
      </c>
      <c r="C1816" t="s">
        <v>17</v>
      </c>
      <c r="D1816" t="s">
        <v>156</v>
      </c>
      <c r="E1816" t="s">
        <v>18</v>
      </c>
      <c r="F1816" t="s">
        <v>19</v>
      </c>
      <c r="G1816" t="s">
        <v>106</v>
      </c>
      <c r="H1816">
        <v>384839.67</v>
      </c>
      <c r="I1816">
        <v>4</v>
      </c>
      <c r="J1816">
        <v>65944.070000000007</v>
      </c>
      <c r="K1816" t="str">
        <f t="shared" si="56"/>
        <v>June</v>
      </c>
      <c r="L1816">
        <f t="shared" si="57"/>
        <v>2026</v>
      </c>
    </row>
    <row r="1817" spans="1:12" x14ac:dyDescent="0.3">
      <c r="A1817" s="6">
        <v>46186</v>
      </c>
      <c r="B1817" t="s">
        <v>67</v>
      </c>
      <c r="C1817" t="s">
        <v>17</v>
      </c>
      <c r="D1817" t="s">
        <v>156</v>
      </c>
      <c r="E1817" t="s">
        <v>35</v>
      </c>
      <c r="F1817" t="s">
        <v>75</v>
      </c>
      <c r="G1817" t="s">
        <v>76</v>
      </c>
      <c r="H1817">
        <v>41665.379999999997</v>
      </c>
      <c r="I1817">
        <v>1</v>
      </c>
      <c r="J1817">
        <v>-1155.03</v>
      </c>
      <c r="K1817" t="str">
        <f t="shared" si="56"/>
        <v>June</v>
      </c>
      <c r="L1817">
        <f t="shared" si="57"/>
        <v>2026</v>
      </c>
    </row>
    <row r="1818" spans="1:12" x14ac:dyDescent="0.3">
      <c r="A1818" s="6">
        <v>46186</v>
      </c>
      <c r="B1818" t="s">
        <v>109</v>
      </c>
      <c r="C1818" t="s">
        <v>58</v>
      </c>
      <c r="D1818" t="s">
        <v>156</v>
      </c>
      <c r="E1818" t="s">
        <v>13</v>
      </c>
      <c r="F1818" t="s">
        <v>14</v>
      </c>
      <c r="G1818" t="s">
        <v>15</v>
      </c>
      <c r="H1818">
        <v>2467.6799999999998</v>
      </c>
      <c r="I1818">
        <v>1</v>
      </c>
      <c r="J1818">
        <v>503.16</v>
      </c>
      <c r="K1818" t="str">
        <f t="shared" si="56"/>
        <v>June</v>
      </c>
      <c r="L1818">
        <f t="shared" si="57"/>
        <v>2026</v>
      </c>
    </row>
    <row r="1819" spans="1:12" x14ac:dyDescent="0.3">
      <c r="A1819" s="6">
        <v>46186</v>
      </c>
      <c r="B1819" t="s">
        <v>60</v>
      </c>
      <c r="C1819" t="s">
        <v>39</v>
      </c>
      <c r="D1819" t="s">
        <v>156</v>
      </c>
      <c r="E1819" t="s">
        <v>18</v>
      </c>
      <c r="F1819" t="s">
        <v>40</v>
      </c>
      <c r="G1819" t="s">
        <v>102</v>
      </c>
      <c r="H1819">
        <v>1468.07</v>
      </c>
      <c r="I1819">
        <v>1</v>
      </c>
      <c r="J1819">
        <v>137.83000000000001</v>
      </c>
      <c r="K1819" t="str">
        <f t="shared" si="56"/>
        <v>June</v>
      </c>
      <c r="L1819">
        <f t="shared" si="57"/>
        <v>2026</v>
      </c>
    </row>
    <row r="1820" spans="1:12" x14ac:dyDescent="0.3">
      <c r="A1820" s="6">
        <v>46186</v>
      </c>
      <c r="B1820" t="s">
        <v>60</v>
      </c>
      <c r="C1820" t="s">
        <v>46</v>
      </c>
      <c r="D1820" t="s">
        <v>156</v>
      </c>
      <c r="E1820" t="s">
        <v>18</v>
      </c>
      <c r="F1820" t="s">
        <v>19</v>
      </c>
      <c r="G1820" t="s">
        <v>33</v>
      </c>
      <c r="H1820">
        <v>117728.52</v>
      </c>
      <c r="I1820">
        <v>2</v>
      </c>
      <c r="J1820">
        <v>24912.41</v>
      </c>
      <c r="K1820" t="str">
        <f t="shared" si="56"/>
        <v>June</v>
      </c>
      <c r="L1820">
        <f t="shared" si="57"/>
        <v>2026</v>
      </c>
    </row>
    <row r="1821" spans="1:12" x14ac:dyDescent="0.3">
      <c r="A1821" s="6">
        <v>46187</v>
      </c>
      <c r="B1821" t="s">
        <v>34</v>
      </c>
      <c r="C1821" t="s">
        <v>58</v>
      </c>
      <c r="D1821" t="s">
        <v>156</v>
      </c>
      <c r="E1821" t="s">
        <v>42</v>
      </c>
      <c r="F1821" t="s">
        <v>90</v>
      </c>
      <c r="G1821" t="s">
        <v>97</v>
      </c>
      <c r="H1821">
        <v>2335.19</v>
      </c>
      <c r="I1821">
        <v>1</v>
      </c>
      <c r="J1821">
        <v>353.58</v>
      </c>
      <c r="K1821" t="str">
        <f t="shared" si="56"/>
        <v>June</v>
      </c>
      <c r="L1821">
        <f t="shared" si="57"/>
        <v>2026</v>
      </c>
    </row>
    <row r="1822" spans="1:12" x14ac:dyDescent="0.3">
      <c r="A1822" s="6">
        <v>46187</v>
      </c>
      <c r="B1822" t="s">
        <v>48</v>
      </c>
      <c r="C1822" t="s">
        <v>39</v>
      </c>
      <c r="D1822" t="s">
        <v>156</v>
      </c>
      <c r="E1822" t="s">
        <v>42</v>
      </c>
      <c r="F1822" t="s">
        <v>90</v>
      </c>
      <c r="G1822" t="s">
        <v>120</v>
      </c>
      <c r="H1822">
        <v>5198.71</v>
      </c>
      <c r="I1822">
        <v>1</v>
      </c>
      <c r="J1822">
        <v>1033.8</v>
      </c>
      <c r="K1822" t="str">
        <f t="shared" si="56"/>
        <v>June</v>
      </c>
      <c r="L1822">
        <f t="shared" si="57"/>
        <v>2026</v>
      </c>
    </row>
    <row r="1823" spans="1:12" x14ac:dyDescent="0.3">
      <c r="A1823" s="6">
        <v>46187</v>
      </c>
      <c r="B1823" t="s">
        <v>34</v>
      </c>
      <c r="C1823" t="s">
        <v>66</v>
      </c>
      <c r="D1823" t="s">
        <v>156</v>
      </c>
      <c r="E1823" t="s">
        <v>13</v>
      </c>
      <c r="F1823" t="s">
        <v>14</v>
      </c>
      <c r="G1823" t="s">
        <v>57</v>
      </c>
      <c r="H1823">
        <v>1546.28</v>
      </c>
      <c r="I1823">
        <v>1</v>
      </c>
      <c r="J1823">
        <v>180.32</v>
      </c>
      <c r="K1823" t="str">
        <f t="shared" si="56"/>
        <v>June</v>
      </c>
      <c r="L1823">
        <f t="shared" si="57"/>
        <v>2026</v>
      </c>
    </row>
    <row r="1824" spans="1:12" x14ac:dyDescent="0.3">
      <c r="A1824" s="6">
        <v>46188</v>
      </c>
      <c r="B1824" t="s">
        <v>52</v>
      </c>
      <c r="C1824" t="s">
        <v>49</v>
      </c>
      <c r="D1824" t="s">
        <v>156</v>
      </c>
      <c r="E1824" t="s">
        <v>18</v>
      </c>
      <c r="F1824" t="s">
        <v>40</v>
      </c>
      <c r="G1824" t="s">
        <v>115</v>
      </c>
      <c r="H1824">
        <v>10961.46</v>
      </c>
      <c r="I1824">
        <v>1</v>
      </c>
      <c r="J1824">
        <v>1523.98</v>
      </c>
      <c r="K1824" t="str">
        <f t="shared" si="56"/>
        <v>June</v>
      </c>
      <c r="L1824">
        <f t="shared" si="57"/>
        <v>2026</v>
      </c>
    </row>
    <row r="1825" spans="1:12" x14ac:dyDescent="0.3">
      <c r="A1825" s="6">
        <v>46188</v>
      </c>
      <c r="B1825" t="s">
        <v>95</v>
      </c>
      <c r="C1825" t="s">
        <v>49</v>
      </c>
      <c r="D1825" t="s">
        <v>156</v>
      </c>
      <c r="E1825" t="s">
        <v>35</v>
      </c>
      <c r="F1825" t="s">
        <v>75</v>
      </c>
      <c r="G1825" t="s">
        <v>76</v>
      </c>
      <c r="H1825">
        <v>42346.18</v>
      </c>
      <c r="I1825">
        <v>1</v>
      </c>
      <c r="J1825">
        <v>8973.24</v>
      </c>
      <c r="K1825" t="str">
        <f t="shared" si="56"/>
        <v>June</v>
      </c>
      <c r="L1825">
        <f t="shared" si="57"/>
        <v>2026</v>
      </c>
    </row>
    <row r="1826" spans="1:12" x14ac:dyDescent="0.3">
      <c r="A1826" s="6">
        <v>46188</v>
      </c>
      <c r="B1826" t="s">
        <v>21</v>
      </c>
      <c r="C1826" t="s">
        <v>39</v>
      </c>
      <c r="D1826" t="s">
        <v>156</v>
      </c>
      <c r="E1826" t="s">
        <v>26</v>
      </c>
      <c r="F1826" t="s">
        <v>53</v>
      </c>
      <c r="G1826" t="s">
        <v>96</v>
      </c>
      <c r="H1826">
        <v>58000.71</v>
      </c>
      <c r="I1826">
        <v>1</v>
      </c>
      <c r="J1826">
        <v>4769.63</v>
      </c>
      <c r="K1826" t="str">
        <f t="shared" si="56"/>
        <v>June</v>
      </c>
      <c r="L1826">
        <f t="shared" si="57"/>
        <v>2026</v>
      </c>
    </row>
    <row r="1827" spans="1:12" x14ac:dyDescent="0.3">
      <c r="A1827" s="6">
        <v>46189</v>
      </c>
      <c r="B1827" t="s">
        <v>45</v>
      </c>
      <c r="C1827" t="s">
        <v>22</v>
      </c>
      <c r="D1827" t="s">
        <v>156</v>
      </c>
      <c r="E1827" t="s">
        <v>26</v>
      </c>
      <c r="F1827" t="s">
        <v>53</v>
      </c>
      <c r="G1827" t="s">
        <v>100</v>
      </c>
      <c r="H1827">
        <v>83348.02</v>
      </c>
      <c r="I1827">
        <v>1</v>
      </c>
      <c r="J1827">
        <v>9214.5</v>
      </c>
      <c r="K1827" t="str">
        <f t="shared" si="56"/>
        <v>June</v>
      </c>
      <c r="L1827">
        <f t="shared" si="57"/>
        <v>2026</v>
      </c>
    </row>
    <row r="1828" spans="1:12" x14ac:dyDescent="0.3">
      <c r="A1828" s="6">
        <v>46190</v>
      </c>
      <c r="B1828" t="s">
        <v>21</v>
      </c>
      <c r="C1828" t="s">
        <v>66</v>
      </c>
      <c r="D1828" t="s">
        <v>156</v>
      </c>
      <c r="E1828" t="s">
        <v>35</v>
      </c>
      <c r="F1828" t="s">
        <v>36</v>
      </c>
      <c r="G1828" t="s">
        <v>99</v>
      </c>
      <c r="H1828">
        <v>37274.97</v>
      </c>
      <c r="I1828">
        <v>1</v>
      </c>
      <c r="J1828">
        <v>6951.41</v>
      </c>
      <c r="K1828" t="str">
        <f t="shared" si="56"/>
        <v>June</v>
      </c>
      <c r="L1828">
        <f t="shared" si="57"/>
        <v>2026</v>
      </c>
    </row>
    <row r="1829" spans="1:12" x14ac:dyDescent="0.3">
      <c r="A1829" s="6">
        <v>46190</v>
      </c>
      <c r="B1829" t="s">
        <v>86</v>
      </c>
      <c r="C1829" t="s">
        <v>56</v>
      </c>
      <c r="D1829" t="s">
        <v>156</v>
      </c>
      <c r="E1829" t="s">
        <v>26</v>
      </c>
      <c r="F1829" t="s">
        <v>53</v>
      </c>
      <c r="G1829" t="s">
        <v>98</v>
      </c>
      <c r="H1829">
        <v>26066.26</v>
      </c>
      <c r="I1829">
        <v>1</v>
      </c>
      <c r="J1829">
        <v>1965.8</v>
      </c>
      <c r="K1829" t="str">
        <f t="shared" si="56"/>
        <v>June</v>
      </c>
      <c r="L1829">
        <f t="shared" si="57"/>
        <v>2026</v>
      </c>
    </row>
    <row r="1830" spans="1:12" x14ac:dyDescent="0.3">
      <c r="A1830" s="6">
        <v>46191</v>
      </c>
      <c r="B1830" t="s">
        <v>55</v>
      </c>
      <c r="C1830" t="s">
        <v>58</v>
      </c>
      <c r="D1830" t="s">
        <v>156</v>
      </c>
      <c r="E1830" t="s">
        <v>35</v>
      </c>
      <c r="F1830" t="s">
        <v>63</v>
      </c>
      <c r="G1830" t="s">
        <v>114</v>
      </c>
      <c r="H1830">
        <v>25572.26</v>
      </c>
      <c r="I1830">
        <v>1</v>
      </c>
      <c r="J1830">
        <v>5143.2700000000004</v>
      </c>
      <c r="K1830" t="str">
        <f t="shared" si="56"/>
        <v>June</v>
      </c>
      <c r="L1830">
        <f t="shared" si="57"/>
        <v>2026</v>
      </c>
    </row>
    <row r="1831" spans="1:12" x14ac:dyDescent="0.3">
      <c r="A1831" s="6">
        <v>46191</v>
      </c>
      <c r="B1831" t="s">
        <v>60</v>
      </c>
      <c r="C1831" t="s">
        <v>68</v>
      </c>
      <c r="D1831" t="s">
        <v>156</v>
      </c>
      <c r="E1831" t="s">
        <v>13</v>
      </c>
      <c r="F1831" t="s">
        <v>14</v>
      </c>
      <c r="G1831" t="s">
        <v>111</v>
      </c>
      <c r="H1831">
        <v>1911.58</v>
      </c>
      <c r="I1831">
        <v>1</v>
      </c>
      <c r="J1831">
        <v>198.49</v>
      </c>
      <c r="K1831" t="str">
        <f t="shared" si="56"/>
        <v>June</v>
      </c>
      <c r="L1831">
        <f t="shared" si="57"/>
        <v>2026</v>
      </c>
    </row>
    <row r="1832" spans="1:12" x14ac:dyDescent="0.3">
      <c r="A1832" s="6">
        <v>46191</v>
      </c>
      <c r="B1832" t="s">
        <v>109</v>
      </c>
      <c r="C1832" t="s">
        <v>68</v>
      </c>
      <c r="D1832" t="s">
        <v>156</v>
      </c>
      <c r="E1832" t="s">
        <v>35</v>
      </c>
      <c r="F1832" t="s">
        <v>50</v>
      </c>
      <c r="G1832" t="s">
        <v>51</v>
      </c>
      <c r="H1832">
        <v>32150.43</v>
      </c>
      <c r="I1832">
        <v>4</v>
      </c>
      <c r="J1832">
        <v>4581.8599999999997</v>
      </c>
      <c r="K1832" t="str">
        <f t="shared" si="56"/>
        <v>June</v>
      </c>
      <c r="L1832">
        <f t="shared" si="57"/>
        <v>2026</v>
      </c>
    </row>
    <row r="1833" spans="1:12" x14ac:dyDescent="0.3">
      <c r="A1833" s="6">
        <v>46192</v>
      </c>
      <c r="B1833" t="s">
        <v>45</v>
      </c>
      <c r="C1833" t="s">
        <v>49</v>
      </c>
      <c r="D1833" t="s">
        <v>156</v>
      </c>
      <c r="E1833" t="s">
        <v>35</v>
      </c>
      <c r="F1833" t="s">
        <v>75</v>
      </c>
      <c r="G1833" t="s">
        <v>76</v>
      </c>
      <c r="H1833">
        <v>37064.400000000001</v>
      </c>
      <c r="I1833">
        <v>1</v>
      </c>
      <c r="J1833">
        <v>6753.01</v>
      </c>
      <c r="K1833" t="str">
        <f t="shared" si="56"/>
        <v>June</v>
      </c>
      <c r="L1833">
        <f t="shared" si="57"/>
        <v>2026</v>
      </c>
    </row>
    <row r="1834" spans="1:12" x14ac:dyDescent="0.3">
      <c r="A1834" s="6">
        <v>46193</v>
      </c>
      <c r="B1834" t="s">
        <v>16</v>
      </c>
      <c r="C1834" t="s">
        <v>39</v>
      </c>
      <c r="D1834" t="s">
        <v>156</v>
      </c>
      <c r="E1834" t="s">
        <v>13</v>
      </c>
      <c r="F1834" t="s">
        <v>14</v>
      </c>
      <c r="G1834" t="s">
        <v>111</v>
      </c>
      <c r="H1834">
        <v>1921.21</v>
      </c>
      <c r="I1834">
        <v>1</v>
      </c>
      <c r="J1834">
        <v>178.93</v>
      </c>
      <c r="K1834" t="str">
        <f t="shared" si="56"/>
        <v>June</v>
      </c>
      <c r="L1834">
        <f t="shared" si="57"/>
        <v>2026</v>
      </c>
    </row>
    <row r="1835" spans="1:12" x14ac:dyDescent="0.3">
      <c r="A1835" s="6">
        <v>46193</v>
      </c>
      <c r="B1835" t="s">
        <v>38</v>
      </c>
      <c r="C1835" t="s">
        <v>61</v>
      </c>
      <c r="D1835" t="s">
        <v>156</v>
      </c>
      <c r="E1835" t="s">
        <v>35</v>
      </c>
      <c r="F1835" t="s">
        <v>36</v>
      </c>
      <c r="G1835" t="s">
        <v>84</v>
      </c>
      <c r="H1835">
        <v>59289.13</v>
      </c>
      <c r="I1835">
        <v>2</v>
      </c>
      <c r="J1835">
        <v>10918.89</v>
      </c>
      <c r="K1835" t="str">
        <f t="shared" si="56"/>
        <v>June</v>
      </c>
      <c r="L1835">
        <f t="shared" si="57"/>
        <v>2026</v>
      </c>
    </row>
    <row r="1836" spans="1:12" x14ac:dyDescent="0.3">
      <c r="A1836" s="6">
        <v>46194</v>
      </c>
      <c r="B1836" t="s">
        <v>32</v>
      </c>
      <c r="C1836" t="s">
        <v>22</v>
      </c>
      <c r="D1836" t="s">
        <v>156</v>
      </c>
      <c r="E1836" t="s">
        <v>26</v>
      </c>
      <c r="F1836" t="s">
        <v>27</v>
      </c>
      <c r="G1836" t="s">
        <v>31</v>
      </c>
      <c r="H1836">
        <v>9722.9</v>
      </c>
      <c r="I1836">
        <v>1</v>
      </c>
      <c r="J1836">
        <v>1857.43</v>
      </c>
      <c r="K1836" t="str">
        <f t="shared" si="56"/>
        <v>June</v>
      </c>
      <c r="L1836">
        <f t="shared" si="57"/>
        <v>2026</v>
      </c>
    </row>
    <row r="1837" spans="1:12" x14ac:dyDescent="0.3">
      <c r="A1837" s="6">
        <v>46194</v>
      </c>
      <c r="B1837" t="s">
        <v>48</v>
      </c>
      <c r="C1837" t="s">
        <v>39</v>
      </c>
      <c r="D1837" t="s">
        <v>156</v>
      </c>
      <c r="E1837" t="s">
        <v>26</v>
      </c>
      <c r="F1837" t="s">
        <v>53</v>
      </c>
      <c r="G1837" t="s">
        <v>104</v>
      </c>
      <c r="H1837">
        <v>83539.45</v>
      </c>
      <c r="I1837">
        <v>1</v>
      </c>
      <c r="J1837">
        <v>17482.939999999999</v>
      </c>
      <c r="K1837" t="str">
        <f t="shared" si="56"/>
        <v>June</v>
      </c>
      <c r="L1837">
        <f t="shared" si="57"/>
        <v>2026</v>
      </c>
    </row>
    <row r="1838" spans="1:12" x14ac:dyDescent="0.3">
      <c r="A1838" s="6">
        <v>46195</v>
      </c>
      <c r="B1838" t="s">
        <v>60</v>
      </c>
      <c r="C1838" t="s">
        <v>69</v>
      </c>
      <c r="D1838" t="s">
        <v>156</v>
      </c>
      <c r="E1838" t="s">
        <v>42</v>
      </c>
      <c r="F1838" t="s">
        <v>43</v>
      </c>
      <c r="G1838" t="s">
        <v>44</v>
      </c>
      <c r="H1838">
        <v>12296.61</v>
      </c>
      <c r="I1838">
        <v>1</v>
      </c>
      <c r="J1838">
        <v>1871.82</v>
      </c>
      <c r="K1838" t="str">
        <f t="shared" si="56"/>
        <v>June</v>
      </c>
      <c r="L1838">
        <f t="shared" si="57"/>
        <v>2026</v>
      </c>
    </row>
    <row r="1839" spans="1:12" x14ac:dyDescent="0.3">
      <c r="A1839" s="6">
        <v>46195</v>
      </c>
      <c r="B1839" t="s">
        <v>109</v>
      </c>
      <c r="C1839" t="s">
        <v>62</v>
      </c>
      <c r="D1839" t="s">
        <v>156</v>
      </c>
      <c r="E1839" t="s">
        <v>13</v>
      </c>
      <c r="F1839" t="s">
        <v>14</v>
      </c>
      <c r="G1839" t="s">
        <v>15</v>
      </c>
      <c r="H1839">
        <v>4616.16</v>
      </c>
      <c r="I1839">
        <v>2</v>
      </c>
      <c r="J1839">
        <v>771.98</v>
      </c>
      <c r="K1839" t="str">
        <f t="shared" si="56"/>
        <v>June</v>
      </c>
      <c r="L1839">
        <f t="shared" si="57"/>
        <v>2026</v>
      </c>
    </row>
    <row r="1840" spans="1:12" x14ac:dyDescent="0.3">
      <c r="A1840" s="6">
        <v>46195</v>
      </c>
      <c r="B1840" t="s">
        <v>71</v>
      </c>
      <c r="C1840" t="s">
        <v>66</v>
      </c>
      <c r="D1840" t="s">
        <v>156</v>
      </c>
      <c r="E1840" t="s">
        <v>18</v>
      </c>
      <c r="F1840" t="s">
        <v>19</v>
      </c>
      <c r="G1840" t="s">
        <v>106</v>
      </c>
      <c r="H1840">
        <v>344077.78</v>
      </c>
      <c r="I1840">
        <v>4</v>
      </c>
      <c r="J1840">
        <v>38456.29</v>
      </c>
      <c r="K1840" t="str">
        <f t="shared" si="56"/>
        <v>June</v>
      </c>
      <c r="L1840">
        <f t="shared" si="57"/>
        <v>2026</v>
      </c>
    </row>
    <row r="1841" spans="1:12" x14ac:dyDescent="0.3">
      <c r="A1841" s="6">
        <v>46196</v>
      </c>
      <c r="B1841" t="s">
        <v>45</v>
      </c>
      <c r="C1841" t="s">
        <v>49</v>
      </c>
      <c r="D1841" t="s">
        <v>156</v>
      </c>
      <c r="E1841" t="s">
        <v>35</v>
      </c>
      <c r="F1841" t="s">
        <v>36</v>
      </c>
      <c r="G1841" t="s">
        <v>99</v>
      </c>
      <c r="H1841">
        <v>106492.19</v>
      </c>
      <c r="I1841">
        <v>3</v>
      </c>
      <c r="J1841">
        <v>23414.799999999999</v>
      </c>
      <c r="K1841" t="str">
        <f t="shared" si="56"/>
        <v>June</v>
      </c>
      <c r="L1841">
        <f t="shared" si="57"/>
        <v>2026</v>
      </c>
    </row>
    <row r="1842" spans="1:12" x14ac:dyDescent="0.3">
      <c r="A1842" s="6">
        <v>46196</v>
      </c>
      <c r="B1842" t="s">
        <v>109</v>
      </c>
      <c r="C1842" t="s">
        <v>62</v>
      </c>
      <c r="D1842" t="s">
        <v>156</v>
      </c>
      <c r="E1842" t="s">
        <v>13</v>
      </c>
      <c r="F1842" t="s">
        <v>14</v>
      </c>
      <c r="G1842" t="s">
        <v>70</v>
      </c>
      <c r="H1842">
        <v>5859.01</v>
      </c>
      <c r="I1842">
        <v>2</v>
      </c>
      <c r="J1842">
        <v>-335.45</v>
      </c>
      <c r="K1842" t="str">
        <f t="shared" si="56"/>
        <v>June</v>
      </c>
      <c r="L1842">
        <f t="shared" si="57"/>
        <v>2026</v>
      </c>
    </row>
    <row r="1843" spans="1:12" x14ac:dyDescent="0.3">
      <c r="A1843" s="6">
        <v>46196</v>
      </c>
      <c r="B1843" t="s">
        <v>73</v>
      </c>
      <c r="C1843" t="s">
        <v>61</v>
      </c>
      <c r="D1843" t="s">
        <v>156</v>
      </c>
      <c r="E1843" t="s">
        <v>18</v>
      </c>
      <c r="F1843" t="s">
        <v>19</v>
      </c>
      <c r="G1843" t="s">
        <v>59</v>
      </c>
      <c r="H1843">
        <v>48484.29</v>
      </c>
      <c r="I1843">
        <v>1</v>
      </c>
      <c r="J1843">
        <v>5356.65</v>
      </c>
      <c r="K1843" t="str">
        <f t="shared" si="56"/>
        <v>June</v>
      </c>
      <c r="L1843">
        <f t="shared" si="57"/>
        <v>2026</v>
      </c>
    </row>
    <row r="1844" spans="1:12" x14ac:dyDescent="0.3">
      <c r="A1844" s="6">
        <v>46197</v>
      </c>
      <c r="B1844" t="s">
        <v>21</v>
      </c>
      <c r="C1844" t="s">
        <v>58</v>
      </c>
      <c r="D1844" t="s">
        <v>156</v>
      </c>
      <c r="E1844" t="s">
        <v>18</v>
      </c>
      <c r="F1844" t="s">
        <v>19</v>
      </c>
      <c r="G1844" t="s">
        <v>59</v>
      </c>
      <c r="H1844">
        <v>197328.03</v>
      </c>
      <c r="I1844">
        <v>4</v>
      </c>
      <c r="J1844">
        <v>37638.5</v>
      </c>
      <c r="K1844" t="str">
        <f t="shared" si="56"/>
        <v>June</v>
      </c>
      <c r="L1844">
        <f t="shared" si="57"/>
        <v>2026</v>
      </c>
    </row>
    <row r="1845" spans="1:12" x14ac:dyDescent="0.3">
      <c r="A1845" s="6">
        <v>46197</v>
      </c>
      <c r="B1845" t="s">
        <v>92</v>
      </c>
      <c r="C1845" t="s">
        <v>69</v>
      </c>
      <c r="D1845" t="s">
        <v>156</v>
      </c>
      <c r="E1845" t="s">
        <v>13</v>
      </c>
      <c r="F1845" t="s">
        <v>23</v>
      </c>
      <c r="G1845" t="s">
        <v>79</v>
      </c>
      <c r="H1845">
        <v>348266.52</v>
      </c>
      <c r="I1845">
        <v>5</v>
      </c>
      <c r="J1845">
        <v>69092.960000000006</v>
      </c>
      <c r="K1845" t="str">
        <f t="shared" si="56"/>
        <v>June</v>
      </c>
      <c r="L1845">
        <f t="shared" si="57"/>
        <v>2026</v>
      </c>
    </row>
    <row r="1846" spans="1:12" x14ac:dyDescent="0.3">
      <c r="A1846" s="6">
        <v>46198</v>
      </c>
      <c r="B1846" t="s">
        <v>65</v>
      </c>
      <c r="C1846" t="s">
        <v>69</v>
      </c>
      <c r="D1846" t="s">
        <v>156</v>
      </c>
      <c r="E1846" t="s">
        <v>18</v>
      </c>
      <c r="F1846" t="s">
        <v>40</v>
      </c>
      <c r="G1846" t="s">
        <v>41</v>
      </c>
      <c r="H1846">
        <v>48810.1</v>
      </c>
      <c r="I1846">
        <v>3</v>
      </c>
      <c r="J1846">
        <v>5037.59</v>
      </c>
      <c r="K1846" t="str">
        <f t="shared" si="56"/>
        <v>June</v>
      </c>
      <c r="L1846">
        <f t="shared" si="57"/>
        <v>2026</v>
      </c>
    </row>
    <row r="1847" spans="1:12" x14ac:dyDescent="0.3">
      <c r="A1847" s="6">
        <v>46199</v>
      </c>
      <c r="B1847" t="s">
        <v>32</v>
      </c>
      <c r="C1847" t="s">
        <v>30</v>
      </c>
      <c r="D1847" t="s">
        <v>156</v>
      </c>
      <c r="E1847" t="s">
        <v>26</v>
      </c>
      <c r="F1847" t="s">
        <v>53</v>
      </c>
      <c r="G1847" t="s">
        <v>54</v>
      </c>
      <c r="H1847">
        <v>35654.160000000003</v>
      </c>
      <c r="I1847">
        <v>1</v>
      </c>
      <c r="J1847">
        <v>-2087.54</v>
      </c>
      <c r="K1847" t="str">
        <f t="shared" si="56"/>
        <v>June</v>
      </c>
      <c r="L1847">
        <f t="shared" si="57"/>
        <v>2026</v>
      </c>
    </row>
    <row r="1848" spans="1:12" x14ac:dyDescent="0.3">
      <c r="A1848" s="6">
        <v>46199</v>
      </c>
      <c r="B1848" t="s">
        <v>109</v>
      </c>
      <c r="C1848" t="s">
        <v>66</v>
      </c>
      <c r="D1848" t="s">
        <v>156</v>
      </c>
      <c r="E1848" t="s">
        <v>18</v>
      </c>
      <c r="F1848" t="s">
        <v>40</v>
      </c>
      <c r="G1848" t="s">
        <v>102</v>
      </c>
      <c r="H1848">
        <v>2860.93</v>
      </c>
      <c r="I1848">
        <v>2</v>
      </c>
      <c r="J1848">
        <v>472.33</v>
      </c>
      <c r="K1848" t="str">
        <f t="shared" si="56"/>
        <v>June</v>
      </c>
      <c r="L1848">
        <f t="shared" si="57"/>
        <v>2026</v>
      </c>
    </row>
    <row r="1849" spans="1:12" x14ac:dyDescent="0.3">
      <c r="A1849" s="6">
        <v>46200</v>
      </c>
      <c r="B1849" t="s">
        <v>71</v>
      </c>
      <c r="C1849" t="s">
        <v>62</v>
      </c>
      <c r="D1849" t="s">
        <v>156</v>
      </c>
      <c r="E1849" t="s">
        <v>35</v>
      </c>
      <c r="F1849" t="s">
        <v>36</v>
      </c>
      <c r="G1849" t="s">
        <v>37</v>
      </c>
      <c r="H1849">
        <v>57589.18</v>
      </c>
      <c r="I1849">
        <v>2</v>
      </c>
      <c r="J1849">
        <v>9397.34</v>
      </c>
      <c r="K1849" t="str">
        <f t="shared" si="56"/>
        <v>June</v>
      </c>
      <c r="L1849">
        <f t="shared" si="57"/>
        <v>2026</v>
      </c>
    </row>
    <row r="1850" spans="1:12" x14ac:dyDescent="0.3">
      <c r="A1850" s="6">
        <v>46200</v>
      </c>
      <c r="B1850" t="s">
        <v>86</v>
      </c>
      <c r="C1850" t="s">
        <v>58</v>
      </c>
      <c r="D1850" t="s">
        <v>156</v>
      </c>
      <c r="E1850" t="s">
        <v>18</v>
      </c>
      <c r="F1850" t="s">
        <v>40</v>
      </c>
      <c r="G1850" t="s">
        <v>41</v>
      </c>
      <c r="H1850">
        <v>18325.189999999999</v>
      </c>
      <c r="I1850">
        <v>1</v>
      </c>
      <c r="J1850">
        <v>3724.91</v>
      </c>
      <c r="K1850" t="str">
        <f t="shared" si="56"/>
        <v>June</v>
      </c>
      <c r="L1850">
        <f t="shared" si="57"/>
        <v>2026</v>
      </c>
    </row>
    <row r="1851" spans="1:12" x14ac:dyDescent="0.3">
      <c r="A1851" s="6">
        <v>46200</v>
      </c>
      <c r="B1851" t="s">
        <v>113</v>
      </c>
      <c r="C1851" t="s">
        <v>66</v>
      </c>
      <c r="D1851" t="s">
        <v>156</v>
      </c>
      <c r="E1851" t="s">
        <v>42</v>
      </c>
      <c r="F1851" t="s">
        <v>90</v>
      </c>
      <c r="G1851" t="s">
        <v>91</v>
      </c>
      <c r="H1851">
        <v>1927.19</v>
      </c>
      <c r="I1851">
        <v>1</v>
      </c>
      <c r="J1851">
        <v>144.04</v>
      </c>
      <c r="K1851" t="str">
        <f t="shared" si="56"/>
        <v>June</v>
      </c>
      <c r="L1851">
        <f t="shared" si="57"/>
        <v>2026</v>
      </c>
    </row>
    <row r="1852" spans="1:12" x14ac:dyDescent="0.3">
      <c r="A1852" s="6">
        <v>46200</v>
      </c>
      <c r="B1852" t="s">
        <v>38</v>
      </c>
      <c r="C1852" t="s">
        <v>12</v>
      </c>
      <c r="D1852" t="s">
        <v>156</v>
      </c>
      <c r="E1852" t="s">
        <v>18</v>
      </c>
      <c r="F1852" t="s">
        <v>19</v>
      </c>
      <c r="G1852" t="s">
        <v>72</v>
      </c>
      <c r="H1852">
        <v>61442.34</v>
      </c>
      <c r="I1852">
        <v>1</v>
      </c>
      <c r="J1852">
        <v>5049.43</v>
      </c>
      <c r="K1852" t="str">
        <f t="shared" si="56"/>
        <v>June</v>
      </c>
      <c r="L1852">
        <f t="shared" si="57"/>
        <v>2026</v>
      </c>
    </row>
    <row r="1853" spans="1:12" x14ac:dyDescent="0.3">
      <c r="A1853" s="6">
        <v>46201</v>
      </c>
      <c r="B1853" t="s">
        <v>60</v>
      </c>
      <c r="C1853" t="s">
        <v>49</v>
      </c>
      <c r="D1853" t="s">
        <v>156</v>
      </c>
      <c r="E1853" t="s">
        <v>35</v>
      </c>
      <c r="F1853" t="s">
        <v>50</v>
      </c>
      <c r="G1853" t="s">
        <v>121</v>
      </c>
      <c r="H1853">
        <v>4756.92</v>
      </c>
      <c r="I1853">
        <v>1</v>
      </c>
      <c r="J1853">
        <v>356.61</v>
      </c>
      <c r="K1853" t="str">
        <f t="shared" si="56"/>
        <v>June</v>
      </c>
      <c r="L1853">
        <f t="shared" si="57"/>
        <v>2026</v>
      </c>
    </row>
    <row r="1854" spans="1:12" x14ac:dyDescent="0.3">
      <c r="A1854" s="6">
        <v>46201</v>
      </c>
      <c r="B1854" t="s">
        <v>71</v>
      </c>
      <c r="C1854" t="s">
        <v>39</v>
      </c>
      <c r="D1854" t="s">
        <v>156</v>
      </c>
      <c r="E1854" t="s">
        <v>13</v>
      </c>
      <c r="F1854" t="s">
        <v>14</v>
      </c>
      <c r="G1854" t="s">
        <v>57</v>
      </c>
      <c r="H1854">
        <v>1547.52</v>
      </c>
      <c r="I1854">
        <v>1</v>
      </c>
      <c r="J1854">
        <v>-56.92</v>
      </c>
      <c r="K1854" t="str">
        <f t="shared" si="56"/>
        <v>June</v>
      </c>
      <c r="L1854">
        <f t="shared" si="57"/>
        <v>2026</v>
      </c>
    </row>
    <row r="1855" spans="1:12" x14ac:dyDescent="0.3">
      <c r="A1855" s="6">
        <v>46202</v>
      </c>
      <c r="B1855" t="s">
        <v>55</v>
      </c>
      <c r="C1855" t="s">
        <v>12</v>
      </c>
      <c r="D1855" t="s">
        <v>156</v>
      </c>
      <c r="E1855" t="s">
        <v>42</v>
      </c>
      <c r="F1855" t="s">
        <v>90</v>
      </c>
      <c r="G1855" t="s">
        <v>91</v>
      </c>
      <c r="H1855">
        <v>3600.48</v>
      </c>
      <c r="I1855">
        <v>2</v>
      </c>
      <c r="J1855">
        <v>317.93</v>
      </c>
      <c r="K1855" t="str">
        <f t="shared" si="56"/>
        <v>June</v>
      </c>
      <c r="L1855">
        <f t="shared" si="57"/>
        <v>2026</v>
      </c>
    </row>
    <row r="1856" spans="1:12" x14ac:dyDescent="0.3">
      <c r="A1856" s="6">
        <v>46203</v>
      </c>
      <c r="B1856" t="s">
        <v>16</v>
      </c>
      <c r="C1856" t="s">
        <v>46</v>
      </c>
      <c r="D1856" t="s">
        <v>156</v>
      </c>
      <c r="E1856" t="s">
        <v>18</v>
      </c>
      <c r="F1856" t="s">
        <v>19</v>
      </c>
      <c r="G1856" t="s">
        <v>20</v>
      </c>
      <c r="H1856">
        <v>62822.82</v>
      </c>
      <c r="I1856">
        <v>1</v>
      </c>
      <c r="J1856">
        <v>8155.41</v>
      </c>
      <c r="K1856" t="str">
        <f t="shared" si="56"/>
        <v>June</v>
      </c>
      <c r="L1856">
        <f t="shared" si="57"/>
        <v>2026</v>
      </c>
    </row>
    <row r="1857" spans="1:12" x14ac:dyDescent="0.3">
      <c r="A1857" s="6">
        <v>46203</v>
      </c>
      <c r="B1857" t="s">
        <v>16</v>
      </c>
      <c r="C1857" t="s">
        <v>56</v>
      </c>
      <c r="D1857" t="s">
        <v>156</v>
      </c>
      <c r="E1857" t="s">
        <v>18</v>
      </c>
      <c r="F1857" t="s">
        <v>40</v>
      </c>
      <c r="G1857" t="s">
        <v>105</v>
      </c>
      <c r="H1857">
        <v>2412.94</v>
      </c>
      <c r="I1857">
        <v>1</v>
      </c>
      <c r="J1857">
        <v>464.41</v>
      </c>
      <c r="K1857" t="str">
        <f t="shared" si="56"/>
        <v>June</v>
      </c>
      <c r="L1857">
        <f t="shared" si="57"/>
        <v>2026</v>
      </c>
    </row>
    <row r="1858" spans="1:12" x14ac:dyDescent="0.3">
      <c r="A1858" s="6">
        <v>46203</v>
      </c>
      <c r="B1858" t="s">
        <v>60</v>
      </c>
      <c r="C1858" t="s">
        <v>12</v>
      </c>
      <c r="D1858" t="s">
        <v>156</v>
      </c>
      <c r="E1858" t="s">
        <v>18</v>
      </c>
      <c r="F1858" t="s">
        <v>19</v>
      </c>
      <c r="G1858" t="s">
        <v>20</v>
      </c>
      <c r="H1858">
        <v>115033.37</v>
      </c>
      <c r="I1858">
        <v>2</v>
      </c>
      <c r="J1858">
        <v>20815.59</v>
      </c>
      <c r="K1858" t="str">
        <f t="shared" si="56"/>
        <v>June</v>
      </c>
      <c r="L1858">
        <f t="shared" si="57"/>
        <v>2026</v>
      </c>
    </row>
    <row r="1859" spans="1:12" x14ac:dyDescent="0.3">
      <c r="A1859" s="6">
        <v>46203</v>
      </c>
      <c r="B1859" t="s">
        <v>25</v>
      </c>
      <c r="C1859" t="s">
        <v>17</v>
      </c>
      <c r="D1859" t="s">
        <v>156</v>
      </c>
      <c r="E1859" t="s">
        <v>26</v>
      </c>
      <c r="F1859" t="s">
        <v>53</v>
      </c>
      <c r="G1859" t="s">
        <v>104</v>
      </c>
      <c r="H1859">
        <v>213023.16</v>
      </c>
      <c r="I1859">
        <v>3</v>
      </c>
      <c r="J1859">
        <v>45241.120000000003</v>
      </c>
      <c r="K1859" t="str">
        <f t="shared" ref="K1859:K1922" si="58">TEXT(A1859,"mmmm")</f>
        <v>June</v>
      </c>
      <c r="L1859">
        <f t="shared" ref="L1859:L1922" si="59">YEAR(A1859)</f>
        <v>2026</v>
      </c>
    </row>
    <row r="1860" spans="1:12" x14ac:dyDescent="0.3">
      <c r="A1860" s="6">
        <v>46203</v>
      </c>
      <c r="B1860" t="s">
        <v>48</v>
      </c>
      <c r="C1860" t="s">
        <v>39</v>
      </c>
      <c r="D1860" t="s">
        <v>156</v>
      </c>
      <c r="E1860" t="s">
        <v>26</v>
      </c>
      <c r="F1860" t="s">
        <v>53</v>
      </c>
      <c r="G1860" t="s">
        <v>100</v>
      </c>
      <c r="H1860">
        <v>83454.89</v>
      </c>
      <c r="I1860">
        <v>1</v>
      </c>
      <c r="J1860">
        <v>15451.62</v>
      </c>
      <c r="K1860" t="str">
        <f t="shared" si="58"/>
        <v>June</v>
      </c>
      <c r="L1860">
        <f t="shared" si="59"/>
        <v>2026</v>
      </c>
    </row>
    <row r="1861" spans="1:12" x14ac:dyDescent="0.3">
      <c r="A1861" s="6">
        <v>46203</v>
      </c>
      <c r="B1861" t="s">
        <v>60</v>
      </c>
      <c r="C1861" t="s">
        <v>81</v>
      </c>
      <c r="D1861" t="s">
        <v>156</v>
      </c>
      <c r="E1861" t="s">
        <v>18</v>
      </c>
      <c r="F1861" t="s">
        <v>19</v>
      </c>
      <c r="G1861" t="s">
        <v>72</v>
      </c>
      <c r="H1861">
        <v>168629</v>
      </c>
      <c r="I1861">
        <v>3</v>
      </c>
      <c r="J1861">
        <v>30798.16</v>
      </c>
      <c r="K1861" t="str">
        <f t="shared" si="58"/>
        <v>June</v>
      </c>
      <c r="L1861">
        <f t="shared" si="59"/>
        <v>2026</v>
      </c>
    </row>
    <row r="1862" spans="1:12" x14ac:dyDescent="0.3">
      <c r="A1862" s="6">
        <v>46203</v>
      </c>
      <c r="B1862" t="s">
        <v>80</v>
      </c>
      <c r="C1862" t="s">
        <v>39</v>
      </c>
      <c r="D1862" t="s">
        <v>156</v>
      </c>
      <c r="E1862" t="s">
        <v>18</v>
      </c>
      <c r="F1862" t="s">
        <v>19</v>
      </c>
      <c r="G1862" t="s">
        <v>72</v>
      </c>
      <c r="H1862">
        <v>63013.15</v>
      </c>
      <c r="I1862">
        <v>1</v>
      </c>
      <c r="J1862">
        <v>-2631.79</v>
      </c>
      <c r="K1862" t="str">
        <f t="shared" si="58"/>
        <v>June</v>
      </c>
      <c r="L1862">
        <f t="shared" si="59"/>
        <v>2026</v>
      </c>
    </row>
    <row r="1863" spans="1:12" x14ac:dyDescent="0.3">
      <c r="A1863" s="6">
        <v>46204</v>
      </c>
      <c r="B1863" t="s">
        <v>78</v>
      </c>
      <c r="C1863" t="s">
        <v>56</v>
      </c>
      <c r="D1863" t="s">
        <v>156</v>
      </c>
      <c r="E1863" t="s">
        <v>13</v>
      </c>
      <c r="F1863" t="s">
        <v>23</v>
      </c>
      <c r="G1863" t="s">
        <v>108</v>
      </c>
      <c r="H1863">
        <v>54980.38</v>
      </c>
      <c r="I1863">
        <v>1</v>
      </c>
      <c r="J1863">
        <v>9154.34</v>
      </c>
      <c r="K1863" t="str">
        <f t="shared" si="58"/>
        <v>July</v>
      </c>
      <c r="L1863">
        <f t="shared" si="59"/>
        <v>2026</v>
      </c>
    </row>
    <row r="1864" spans="1:12" x14ac:dyDescent="0.3">
      <c r="A1864" s="6">
        <v>46205</v>
      </c>
      <c r="B1864" t="s">
        <v>65</v>
      </c>
      <c r="C1864" t="s">
        <v>30</v>
      </c>
      <c r="D1864" t="s">
        <v>156</v>
      </c>
      <c r="E1864" t="s">
        <v>13</v>
      </c>
      <c r="F1864" t="s">
        <v>23</v>
      </c>
      <c r="G1864" t="s">
        <v>85</v>
      </c>
      <c r="H1864">
        <v>80721.61</v>
      </c>
      <c r="I1864">
        <v>2</v>
      </c>
      <c r="J1864">
        <v>17220.45</v>
      </c>
      <c r="K1864" t="str">
        <f t="shared" si="58"/>
        <v>July</v>
      </c>
      <c r="L1864">
        <f t="shared" si="59"/>
        <v>2026</v>
      </c>
    </row>
    <row r="1865" spans="1:12" x14ac:dyDescent="0.3">
      <c r="A1865" s="6">
        <v>46205</v>
      </c>
      <c r="B1865" t="s">
        <v>67</v>
      </c>
      <c r="C1865" t="s">
        <v>61</v>
      </c>
      <c r="D1865" t="s">
        <v>156</v>
      </c>
      <c r="E1865" t="s">
        <v>13</v>
      </c>
      <c r="F1865" t="s">
        <v>14</v>
      </c>
      <c r="G1865" t="s">
        <v>15</v>
      </c>
      <c r="H1865">
        <v>4549.37</v>
      </c>
      <c r="I1865">
        <v>2</v>
      </c>
      <c r="J1865">
        <v>333.64</v>
      </c>
      <c r="K1865" t="str">
        <f t="shared" si="58"/>
        <v>July</v>
      </c>
      <c r="L1865">
        <f t="shared" si="59"/>
        <v>2026</v>
      </c>
    </row>
    <row r="1866" spans="1:12" x14ac:dyDescent="0.3">
      <c r="A1866" s="6">
        <v>46206</v>
      </c>
      <c r="B1866" t="s">
        <v>34</v>
      </c>
      <c r="C1866" t="s">
        <v>68</v>
      </c>
      <c r="D1866" t="s">
        <v>156</v>
      </c>
      <c r="E1866" t="s">
        <v>35</v>
      </c>
      <c r="F1866" t="s">
        <v>36</v>
      </c>
      <c r="G1866" t="s">
        <v>99</v>
      </c>
      <c r="H1866">
        <v>101622.61</v>
      </c>
      <c r="I1866">
        <v>3</v>
      </c>
      <c r="J1866">
        <v>8973.48</v>
      </c>
      <c r="K1866" t="str">
        <f t="shared" si="58"/>
        <v>July</v>
      </c>
      <c r="L1866">
        <f t="shared" si="59"/>
        <v>2026</v>
      </c>
    </row>
    <row r="1867" spans="1:12" x14ac:dyDescent="0.3">
      <c r="A1867" s="6">
        <v>46206</v>
      </c>
      <c r="B1867" t="s">
        <v>109</v>
      </c>
      <c r="C1867" t="s">
        <v>17</v>
      </c>
      <c r="D1867" t="s">
        <v>156</v>
      </c>
      <c r="E1867" t="s">
        <v>18</v>
      </c>
      <c r="F1867" t="s">
        <v>19</v>
      </c>
      <c r="G1867" t="s">
        <v>59</v>
      </c>
      <c r="H1867">
        <v>136495.5</v>
      </c>
      <c r="I1867">
        <v>3</v>
      </c>
      <c r="J1867">
        <v>17203.73</v>
      </c>
      <c r="K1867" t="str">
        <f t="shared" si="58"/>
        <v>July</v>
      </c>
      <c r="L1867">
        <f t="shared" si="59"/>
        <v>2026</v>
      </c>
    </row>
    <row r="1868" spans="1:12" x14ac:dyDescent="0.3">
      <c r="A1868" s="6">
        <v>46207</v>
      </c>
      <c r="B1868" t="s">
        <v>21</v>
      </c>
      <c r="C1868" t="s">
        <v>69</v>
      </c>
      <c r="D1868" t="s">
        <v>156</v>
      </c>
      <c r="E1868" t="s">
        <v>13</v>
      </c>
      <c r="F1868" t="s">
        <v>23</v>
      </c>
      <c r="G1868" t="s">
        <v>24</v>
      </c>
      <c r="H1868">
        <v>167694.79</v>
      </c>
      <c r="I1868">
        <v>3</v>
      </c>
      <c r="J1868">
        <v>20193.939999999999</v>
      </c>
      <c r="K1868" t="str">
        <f t="shared" si="58"/>
        <v>July</v>
      </c>
      <c r="L1868">
        <f t="shared" si="59"/>
        <v>2026</v>
      </c>
    </row>
    <row r="1869" spans="1:12" x14ac:dyDescent="0.3">
      <c r="A1869" s="6">
        <v>46207</v>
      </c>
      <c r="B1869" t="s">
        <v>55</v>
      </c>
      <c r="C1869" t="s">
        <v>61</v>
      </c>
      <c r="D1869" t="s">
        <v>156</v>
      </c>
      <c r="E1869" t="s">
        <v>26</v>
      </c>
      <c r="F1869" t="s">
        <v>53</v>
      </c>
      <c r="G1869" t="s">
        <v>98</v>
      </c>
      <c r="H1869">
        <v>78786.27</v>
      </c>
      <c r="I1869">
        <v>3</v>
      </c>
      <c r="J1869">
        <v>7934.84</v>
      </c>
      <c r="K1869" t="str">
        <f t="shared" si="58"/>
        <v>July</v>
      </c>
      <c r="L1869">
        <f t="shared" si="59"/>
        <v>2026</v>
      </c>
    </row>
    <row r="1870" spans="1:12" x14ac:dyDescent="0.3">
      <c r="A1870" s="6">
        <v>46208</v>
      </c>
      <c r="B1870" t="s">
        <v>48</v>
      </c>
      <c r="C1870" t="s">
        <v>22</v>
      </c>
      <c r="D1870" t="s">
        <v>156</v>
      </c>
      <c r="E1870" t="s">
        <v>18</v>
      </c>
      <c r="F1870" t="s">
        <v>40</v>
      </c>
      <c r="G1870" t="s">
        <v>105</v>
      </c>
      <c r="H1870">
        <v>8358.19</v>
      </c>
      <c r="I1870">
        <v>4</v>
      </c>
      <c r="J1870">
        <v>1545.55</v>
      </c>
      <c r="K1870" t="str">
        <f t="shared" si="58"/>
        <v>July</v>
      </c>
      <c r="L1870">
        <f t="shared" si="59"/>
        <v>2026</v>
      </c>
    </row>
    <row r="1871" spans="1:12" x14ac:dyDescent="0.3">
      <c r="A1871" s="6">
        <v>46208</v>
      </c>
      <c r="B1871" t="s">
        <v>65</v>
      </c>
      <c r="C1871" t="s">
        <v>30</v>
      </c>
      <c r="D1871" t="s">
        <v>156</v>
      </c>
      <c r="E1871" t="s">
        <v>42</v>
      </c>
      <c r="F1871" t="s">
        <v>90</v>
      </c>
      <c r="G1871" t="s">
        <v>120</v>
      </c>
      <c r="H1871">
        <v>26200.49</v>
      </c>
      <c r="I1871">
        <v>5</v>
      </c>
      <c r="J1871">
        <v>3664.72</v>
      </c>
      <c r="K1871" t="str">
        <f t="shared" si="58"/>
        <v>July</v>
      </c>
      <c r="L1871">
        <f t="shared" si="59"/>
        <v>2026</v>
      </c>
    </row>
    <row r="1872" spans="1:12" x14ac:dyDescent="0.3">
      <c r="A1872" s="6">
        <v>46209</v>
      </c>
      <c r="B1872" t="s">
        <v>78</v>
      </c>
      <c r="C1872" t="s">
        <v>61</v>
      </c>
      <c r="D1872" t="s">
        <v>156</v>
      </c>
      <c r="E1872" t="s">
        <v>42</v>
      </c>
      <c r="F1872" t="s">
        <v>90</v>
      </c>
      <c r="G1872" t="s">
        <v>97</v>
      </c>
      <c r="H1872">
        <v>6766.04</v>
      </c>
      <c r="I1872">
        <v>3</v>
      </c>
      <c r="J1872">
        <v>705.32</v>
      </c>
      <c r="K1872" t="str">
        <f t="shared" si="58"/>
        <v>July</v>
      </c>
      <c r="L1872">
        <f t="shared" si="59"/>
        <v>2026</v>
      </c>
    </row>
    <row r="1873" spans="1:12" x14ac:dyDescent="0.3">
      <c r="A1873" s="6">
        <v>46209</v>
      </c>
      <c r="B1873" t="s">
        <v>103</v>
      </c>
      <c r="C1873" t="s">
        <v>39</v>
      </c>
      <c r="D1873" t="s">
        <v>156</v>
      </c>
      <c r="E1873" t="s">
        <v>35</v>
      </c>
      <c r="F1873" t="s">
        <v>36</v>
      </c>
      <c r="G1873" t="s">
        <v>99</v>
      </c>
      <c r="H1873">
        <v>39753.56</v>
      </c>
      <c r="I1873">
        <v>1</v>
      </c>
      <c r="J1873">
        <v>5832</v>
      </c>
      <c r="K1873" t="str">
        <f t="shared" si="58"/>
        <v>July</v>
      </c>
      <c r="L1873">
        <f t="shared" si="59"/>
        <v>2026</v>
      </c>
    </row>
    <row r="1874" spans="1:12" x14ac:dyDescent="0.3">
      <c r="A1874" s="6">
        <v>46210</v>
      </c>
      <c r="B1874" t="s">
        <v>16</v>
      </c>
      <c r="C1874" t="s">
        <v>49</v>
      </c>
      <c r="D1874" t="s">
        <v>156</v>
      </c>
      <c r="E1874" t="s">
        <v>13</v>
      </c>
      <c r="F1874" t="s">
        <v>14</v>
      </c>
      <c r="G1874" t="s">
        <v>88</v>
      </c>
      <c r="H1874">
        <v>3914.78</v>
      </c>
      <c r="I1874">
        <v>3</v>
      </c>
      <c r="J1874">
        <v>841.36</v>
      </c>
      <c r="K1874" t="str">
        <f t="shared" si="58"/>
        <v>July</v>
      </c>
      <c r="L1874">
        <f t="shared" si="59"/>
        <v>2026</v>
      </c>
    </row>
    <row r="1875" spans="1:12" x14ac:dyDescent="0.3">
      <c r="A1875" s="6">
        <v>46211</v>
      </c>
      <c r="B1875" t="s">
        <v>95</v>
      </c>
      <c r="C1875" t="s">
        <v>39</v>
      </c>
      <c r="D1875" t="s">
        <v>156</v>
      </c>
      <c r="E1875" t="s">
        <v>26</v>
      </c>
      <c r="F1875" t="s">
        <v>53</v>
      </c>
      <c r="G1875" t="s">
        <v>104</v>
      </c>
      <c r="H1875">
        <v>80621.16</v>
      </c>
      <c r="I1875">
        <v>1</v>
      </c>
      <c r="J1875">
        <v>7264.02</v>
      </c>
      <c r="K1875" t="str">
        <f t="shared" si="58"/>
        <v>July</v>
      </c>
      <c r="L1875">
        <f t="shared" si="59"/>
        <v>2026</v>
      </c>
    </row>
    <row r="1876" spans="1:12" x14ac:dyDescent="0.3">
      <c r="A1876" s="6">
        <v>46211</v>
      </c>
      <c r="B1876" t="s">
        <v>25</v>
      </c>
      <c r="C1876" t="s">
        <v>49</v>
      </c>
      <c r="D1876" t="s">
        <v>156</v>
      </c>
      <c r="E1876" t="s">
        <v>42</v>
      </c>
      <c r="F1876" t="s">
        <v>43</v>
      </c>
      <c r="G1876" t="s">
        <v>44</v>
      </c>
      <c r="H1876">
        <v>13872.88</v>
      </c>
      <c r="I1876">
        <v>1</v>
      </c>
      <c r="J1876">
        <v>3018.79</v>
      </c>
      <c r="K1876" t="str">
        <f t="shared" si="58"/>
        <v>July</v>
      </c>
      <c r="L1876">
        <f t="shared" si="59"/>
        <v>2026</v>
      </c>
    </row>
    <row r="1877" spans="1:12" x14ac:dyDescent="0.3">
      <c r="A1877" s="6">
        <v>46211</v>
      </c>
      <c r="B1877" t="s">
        <v>74</v>
      </c>
      <c r="C1877" t="s">
        <v>56</v>
      </c>
      <c r="D1877" t="s">
        <v>156</v>
      </c>
      <c r="E1877" t="s">
        <v>42</v>
      </c>
      <c r="F1877" t="s">
        <v>43</v>
      </c>
      <c r="G1877" t="s">
        <v>44</v>
      </c>
      <c r="H1877">
        <v>44514.81</v>
      </c>
      <c r="I1877">
        <v>3</v>
      </c>
      <c r="J1877">
        <v>5613.89</v>
      </c>
      <c r="K1877" t="str">
        <f t="shared" si="58"/>
        <v>July</v>
      </c>
      <c r="L1877">
        <f t="shared" si="59"/>
        <v>2026</v>
      </c>
    </row>
    <row r="1878" spans="1:12" x14ac:dyDescent="0.3">
      <c r="A1878" s="6">
        <v>46212</v>
      </c>
      <c r="B1878" t="s">
        <v>71</v>
      </c>
      <c r="C1878" t="s">
        <v>81</v>
      </c>
      <c r="D1878" t="s">
        <v>156</v>
      </c>
      <c r="E1878" t="s">
        <v>42</v>
      </c>
      <c r="F1878" t="s">
        <v>43</v>
      </c>
      <c r="G1878" t="s">
        <v>87</v>
      </c>
      <c r="H1878">
        <v>10881.92</v>
      </c>
      <c r="I1878">
        <v>1</v>
      </c>
      <c r="J1878">
        <v>2316.77</v>
      </c>
      <c r="K1878" t="str">
        <f t="shared" si="58"/>
        <v>July</v>
      </c>
      <c r="L1878">
        <f t="shared" si="59"/>
        <v>2026</v>
      </c>
    </row>
    <row r="1879" spans="1:12" x14ac:dyDescent="0.3">
      <c r="A1879" s="6">
        <v>46212</v>
      </c>
      <c r="B1879" t="s">
        <v>71</v>
      </c>
      <c r="C1879" t="s">
        <v>46</v>
      </c>
      <c r="D1879" t="s">
        <v>156</v>
      </c>
      <c r="E1879" t="s">
        <v>26</v>
      </c>
      <c r="F1879" t="s">
        <v>27</v>
      </c>
      <c r="G1879" t="s">
        <v>94</v>
      </c>
      <c r="H1879">
        <v>12613.92</v>
      </c>
      <c r="I1879">
        <v>1</v>
      </c>
      <c r="J1879">
        <v>2105.14</v>
      </c>
      <c r="K1879" t="str">
        <f t="shared" si="58"/>
        <v>July</v>
      </c>
      <c r="L1879">
        <f t="shared" si="59"/>
        <v>2026</v>
      </c>
    </row>
    <row r="1880" spans="1:12" x14ac:dyDescent="0.3">
      <c r="A1880" s="6">
        <v>46212</v>
      </c>
      <c r="B1880" t="s">
        <v>16</v>
      </c>
      <c r="C1880" t="s">
        <v>66</v>
      </c>
      <c r="D1880" t="s">
        <v>156</v>
      </c>
      <c r="E1880" t="s">
        <v>26</v>
      </c>
      <c r="F1880" t="s">
        <v>53</v>
      </c>
      <c r="G1880" t="s">
        <v>54</v>
      </c>
      <c r="H1880">
        <v>38156.65</v>
      </c>
      <c r="I1880">
        <v>1</v>
      </c>
      <c r="J1880">
        <v>3159.6</v>
      </c>
      <c r="K1880" t="str">
        <f t="shared" si="58"/>
        <v>July</v>
      </c>
      <c r="L1880">
        <f t="shared" si="59"/>
        <v>2026</v>
      </c>
    </row>
    <row r="1881" spans="1:12" x14ac:dyDescent="0.3">
      <c r="A1881" s="6">
        <v>46213</v>
      </c>
      <c r="B1881" t="s">
        <v>80</v>
      </c>
      <c r="C1881" t="s">
        <v>39</v>
      </c>
      <c r="D1881" t="s">
        <v>156</v>
      </c>
      <c r="E1881" t="s">
        <v>13</v>
      </c>
      <c r="F1881" t="s">
        <v>14</v>
      </c>
      <c r="G1881" t="s">
        <v>111</v>
      </c>
      <c r="H1881">
        <v>3787.78</v>
      </c>
      <c r="I1881">
        <v>2</v>
      </c>
      <c r="J1881">
        <v>525.04999999999995</v>
      </c>
      <c r="K1881" t="str">
        <f t="shared" si="58"/>
        <v>July</v>
      </c>
      <c r="L1881">
        <f t="shared" si="59"/>
        <v>2026</v>
      </c>
    </row>
    <row r="1882" spans="1:12" x14ac:dyDescent="0.3">
      <c r="A1882" s="6">
        <v>46213</v>
      </c>
      <c r="B1882" t="s">
        <v>48</v>
      </c>
      <c r="C1882" t="s">
        <v>69</v>
      </c>
      <c r="D1882" t="s">
        <v>156</v>
      </c>
      <c r="E1882" t="s">
        <v>18</v>
      </c>
      <c r="F1882" t="s">
        <v>19</v>
      </c>
      <c r="G1882" t="s">
        <v>106</v>
      </c>
      <c r="H1882">
        <v>281412.71000000002</v>
      </c>
      <c r="I1882">
        <v>3</v>
      </c>
      <c r="J1882">
        <v>28182.61</v>
      </c>
      <c r="K1882" t="str">
        <f t="shared" si="58"/>
        <v>July</v>
      </c>
      <c r="L1882">
        <f t="shared" si="59"/>
        <v>2026</v>
      </c>
    </row>
    <row r="1883" spans="1:12" x14ac:dyDescent="0.3">
      <c r="A1883" s="6">
        <v>46213</v>
      </c>
      <c r="B1883" t="s">
        <v>78</v>
      </c>
      <c r="C1883" t="s">
        <v>81</v>
      </c>
      <c r="D1883" t="s">
        <v>156</v>
      </c>
      <c r="E1883" t="s">
        <v>42</v>
      </c>
      <c r="F1883" t="s">
        <v>43</v>
      </c>
      <c r="G1883" t="s">
        <v>89</v>
      </c>
      <c r="H1883">
        <v>59420.78</v>
      </c>
      <c r="I1883">
        <v>2</v>
      </c>
      <c r="J1883">
        <v>9009.33</v>
      </c>
      <c r="K1883" t="str">
        <f t="shared" si="58"/>
        <v>July</v>
      </c>
      <c r="L1883">
        <f t="shared" si="59"/>
        <v>2026</v>
      </c>
    </row>
    <row r="1884" spans="1:12" x14ac:dyDescent="0.3">
      <c r="A1884" s="6">
        <v>46214</v>
      </c>
      <c r="B1884" t="s">
        <v>52</v>
      </c>
      <c r="C1884" t="s">
        <v>66</v>
      </c>
      <c r="D1884" t="s">
        <v>156</v>
      </c>
      <c r="E1884" t="s">
        <v>42</v>
      </c>
      <c r="F1884" t="s">
        <v>43</v>
      </c>
      <c r="G1884" t="s">
        <v>89</v>
      </c>
      <c r="H1884">
        <v>30125.46</v>
      </c>
      <c r="I1884">
        <v>1</v>
      </c>
      <c r="J1884">
        <v>5617.53</v>
      </c>
      <c r="K1884" t="str">
        <f t="shared" si="58"/>
        <v>July</v>
      </c>
      <c r="L1884">
        <f t="shared" si="59"/>
        <v>2026</v>
      </c>
    </row>
    <row r="1885" spans="1:12" x14ac:dyDescent="0.3">
      <c r="A1885" s="6">
        <v>46214</v>
      </c>
      <c r="B1885" t="s">
        <v>109</v>
      </c>
      <c r="C1885" t="s">
        <v>61</v>
      </c>
      <c r="D1885" t="s">
        <v>156</v>
      </c>
      <c r="E1885" t="s">
        <v>18</v>
      </c>
      <c r="F1885" t="s">
        <v>19</v>
      </c>
      <c r="G1885" t="s">
        <v>106</v>
      </c>
      <c r="H1885">
        <v>99853.85</v>
      </c>
      <c r="I1885">
        <v>1</v>
      </c>
      <c r="J1885">
        <v>8407.5400000000009</v>
      </c>
      <c r="K1885" t="str">
        <f t="shared" si="58"/>
        <v>July</v>
      </c>
      <c r="L1885">
        <f t="shared" si="59"/>
        <v>2026</v>
      </c>
    </row>
    <row r="1886" spans="1:12" x14ac:dyDescent="0.3">
      <c r="A1886" s="6">
        <v>46214</v>
      </c>
      <c r="B1886" t="s">
        <v>95</v>
      </c>
      <c r="C1886" t="s">
        <v>56</v>
      </c>
      <c r="D1886" t="s">
        <v>156</v>
      </c>
      <c r="E1886" t="s">
        <v>18</v>
      </c>
      <c r="F1886" t="s">
        <v>19</v>
      </c>
      <c r="G1886" t="s">
        <v>106</v>
      </c>
      <c r="H1886">
        <v>88771.06</v>
      </c>
      <c r="I1886">
        <v>1</v>
      </c>
      <c r="J1886">
        <v>17566.48</v>
      </c>
      <c r="K1886" t="str">
        <f t="shared" si="58"/>
        <v>July</v>
      </c>
      <c r="L1886">
        <f t="shared" si="59"/>
        <v>2026</v>
      </c>
    </row>
    <row r="1887" spans="1:12" x14ac:dyDescent="0.3">
      <c r="A1887" s="6">
        <v>46214</v>
      </c>
      <c r="B1887" t="s">
        <v>67</v>
      </c>
      <c r="C1887" t="s">
        <v>66</v>
      </c>
      <c r="D1887" t="s">
        <v>156</v>
      </c>
      <c r="E1887" t="s">
        <v>26</v>
      </c>
      <c r="F1887" t="s">
        <v>53</v>
      </c>
      <c r="G1887" t="s">
        <v>54</v>
      </c>
      <c r="H1887">
        <v>76690.52</v>
      </c>
      <c r="I1887">
        <v>2</v>
      </c>
      <c r="J1887">
        <v>9880.51</v>
      </c>
      <c r="K1887" t="str">
        <f t="shared" si="58"/>
        <v>July</v>
      </c>
      <c r="L1887">
        <f t="shared" si="59"/>
        <v>2026</v>
      </c>
    </row>
    <row r="1888" spans="1:12" x14ac:dyDescent="0.3">
      <c r="A1888" s="6">
        <v>46215</v>
      </c>
      <c r="B1888" t="s">
        <v>16</v>
      </c>
      <c r="C1888" t="s">
        <v>69</v>
      </c>
      <c r="D1888" t="s">
        <v>156</v>
      </c>
      <c r="E1888" t="s">
        <v>13</v>
      </c>
      <c r="F1888" t="s">
        <v>23</v>
      </c>
      <c r="G1888" t="s">
        <v>24</v>
      </c>
      <c r="H1888">
        <v>181039.94</v>
      </c>
      <c r="I1888">
        <v>3</v>
      </c>
      <c r="J1888">
        <v>17543.62</v>
      </c>
      <c r="K1888" t="str">
        <f t="shared" si="58"/>
        <v>July</v>
      </c>
      <c r="L1888">
        <f t="shared" si="59"/>
        <v>2026</v>
      </c>
    </row>
    <row r="1889" spans="1:12" x14ac:dyDescent="0.3">
      <c r="A1889" s="6">
        <v>46215</v>
      </c>
      <c r="B1889" t="s">
        <v>78</v>
      </c>
      <c r="C1889" t="s">
        <v>81</v>
      </c>
      <c r="D1889" t="s">
        <v>156</v>
      </c>
      <c r="E1889" t="s">
        <v>26</v>
      </c>
      <c r="F1889" t="s">
        <v>27</v>
      </c>
      <c r="G1889" t="s">
        <v>28</v>
      </c>
      <c r="H1889">
        <v>21432.9</v>
      </c>
      <c r="I1889">
        <v>1</v>
      </c>
      <c r="J1889">
        <v>4153.92</v>
      </c>
      <c r="K1889" t="str">
        <f t="shared" si="58"/>
        <v>July</v>
      </c>
      <c r="L1889">
        <f t="shared" si="59"/>
        <v>2026</v>
      </c>
    </row>
    <row r="1890" spans="1:12" x14ac:dyDescent="0.3">
      <c r="A1890" s="6">
        <v>46216</v>
      </c>
      <c r="B1890" t="s">
        <v>21</v>
      </c>
      <c r="C1890" t="s">
        <v>68</v>
      </c>
      <c r="D1890" t="s">
        <v>156</v>
      </c>
      <c r="E1890" t="s">
        <v>13</v>
      </c>
      <c r="F1890" t="s">
        <v>14</v>
      </c>
      <c r="G1890" t="s">
        <v>70</v>
      </c>
      <c r="H1890">
        <v>8133.57</v>
      </c>
      <c r="I1890">
        <v>3</v>
      </c>
      <c r="J1890">
        <v>970.87</v>
      </c>
      <c r="K1890" t="str">
        <f t="shared" si="58"/>
        <v>July</v>
      </c>
      <c r="L1890">
        <f t="shared" si="59"/>
        <v>2026</v>
      </c>
    </row>
    <row r="1891" spans="1:12" x14ac:dyDescent="0.3">
      <c r="A1891" s="6">
        <v>46216</v>
      </c>
      <c r="B1891" t="s">
        <v>60</v>
      </c>
      <c r="C1891" t="s">
        <v>62</v>
      </c>
      <c r="D1891" t="s">
        <v>156</v>
      </c>
      <c r="E1891" t="s">
        <v>13</v>
      </c>
      <c r="F1891" t="s">
        <v>23</v>
      </c>
      <c r="G1891" t="s">
        <v>108</v>
      </c>
      <c r="H1891">
        <v>111921.34</v>
      </c>
      <c r="I1891">
        <v>2</v>
      </c>
      <c r="J1891">
        <v>18393</v>
      </c>
      <c r="K1891" t="str">
        <f t="shared" si="58"/>
        <v>July</v>
      </c>
      <c r="L1891">
        <f t="shared" si="59"/>
        <v>2026</v>
      </c>
    </row>
    <row r="1892" spans="1:12" x14ac:dyDescent="0.3">
      <c r="A1892" s="6">
        <v>46216</v>
      </c>
      <c r="B1892" t="s">
        <v>21</v>
      </c>
      <c r="C1892" t="s">
        <v>12</v>
      </c>
      <c r="D1892" t="s">
        <v>156</v>
      </c>
      <c r="E1892" t="s">
        <v>18</v>
      </c>
      <c r="F1892" t="s">
        <v>40</v>
      </c>
      <c r="G1892" t="s">
        <v>105</v>
      </c>
      <c r="H1892">
        <v>2095.63</v>
      </c>
      <c r="I1892">
        <v>1</v>
      </c>
      <c r="J1892">
        <v>453.34</v>
      </c>
      <c r="K1892" t="str">
        <f t="shared" si="58"/>
        <v>July</v>
      </c>
      <c r="L1892">
        <f t="shared" si="59"/>
        <v>2026</v>
      </c>
    </row>
    <row r="1893" spans="1:12" x14ac:dyDescent="0.3">
      <c r="A1893" s="6">
        <v>46216</v>
      </c>
      <c r="B1893" t="s">
        <v>71</v>
      </c>
      <c r="C1893" t="s">
        <v>12</v>
      </c>
      <c r="D1893" t="s">
        <v>156</v>
      </c>
      <c r="E1893" t="s">
        <v>35</v>
      </c>
      <c r="F1893" t="s">
        <v>75</v>
      </c>
      <c r="G1893" t="s">
        <v>76</v>
      </c>
      <c r="H1893">
        <v>43500.21</v>
      </c>
      <c r="I1893">
        <v>1</v>
      </c>
      <c r="J1893">
        <v>4074.18</v>
      </c>
      <c r="K1893" t="str">
        <f t="shared" si="58"/>
        <v>July</v>
      </c>
      <c r="L1893">
        <f t="shared" si="59"/>
        <v>2026</v>
      </c>
    </row>
    <row r="1894" spans="1:12" x14ac:dyDescent="0.3">
      <c r="A1894" s="6">
        <v>46216</v>
      </c>
      <c r="B1894" t="s">
        <v>86</v>
      </c>
      <c r="C1894" t="s">
        <v>66</v>
      </c>
      <c r="D1894" t="s">
        <v>156</v>
      </c>
      <c r="E1894" t="s">
        <v>13</v>
      </c>
      <c r="F1894" t="s">
        <v>14</v>
      </c>
      <c r="G1894" t="s">
        <v>88</v>
      </c>
      <c r="H1894">
        <v>2795.46</v>
      </c>
      <c r="I1894">
        <v>2</v>
      </c>
      <c r="J1894">
        <v>504.97</v>
      </c>
      <c r="K1894" t="str">
        <f t="shared" si="58"/>
        <v>July</v>
      </c>
      <c r="L1894">
        <f t="shared" si="59"/>
        <v>2026</v>
      </c>
    </row>
    <row r="1895" spans="1:12" x14ac:dyDescent="0.3">
      <c r="A1895" s="6">
        <v>46217</v>
      </c>
      <c r="B1895" t="s">
        <v>48</v>
      </c>
      <c r="C1895" t="s">
        <v>22</v>
      </c>
      <c r="D1895" t="s">
        <v>156</v>
      </c>
      <c r="E1895" t="s">
        <v>42</v>
      </c>
      <c r="F1895" t="s">
        <v>43</v>
      </c>
      <c r="G1895" t="s">
        <v>44</v>
      </c>
      <c r="H1895">
        <v>14743.09</v>
      </c>
      <c r="I1895">
        <v>1</v>
      </c>
      <c r="J1895">
        <v>2577.84</v>
      </c>
      <c r="K1895" t="str">
        <f t="shared" si="58"/>
        <v>July</v>
      </c>
      <c r="L1895">
        <f t="shared" si="59"/>
        <v>2026</v>
      </c>
    </row>
    <row r="1896" spans="1:12" x14ac:dyDescent="0.3">
      <c r="A1896" s="6">
        <v>46217</v>
      </c>
      <c r="B1896" t="s">
        <v>38</v>
      </c>
      <c r="C1896" t="s">
        <v>68</v>
      </c>
      <c r="D1896" t="s">
        <v>156</v>
      </c>
      <c r="E1896" t="s">
        <v>35</v>
      </c>
      <c r="F1896" t="s">
        <v>50</v>
      </c>
      <c r="G1896" t="s">
        <v>119</v>
      </c>
      <c r="H1896">
        <v>2616.87</v>
      </c>
      <c r="I1896">
        <v>1</v>
      </c>
      <c r="J1896">
        <v>343.29</v>
      </c>
      <c r="K1896" t="str">
        <f t="shared" si="58"/>
        <v>July</v>
      </c>
      <c r="L1896">
        <f t="shared" si="59"/>
        <v>2026</v>
      </c>
    </row>
    <row r="1897" spans="1:12" x14ac:dyDescent="0.3">
      <c r="A1897" s="6">
        <v>46218</v>
      </c>
      <c r="B1897" t="s">
        <v>21</v>
      </c>
      <c r="C1897" t="s">
        <v>39</v>
      </c>
      <c r="D1897" t="s">
        <v>156</v>
      </c>
      <c r="E1897" t="s">
        <v>42</v>
      </c>
      <c r="F1897" t="s">
        <v>90</v>
      </c>
      <c r="G1897" t="s">
        <v>120</v>
      </c>
      <c r="H1897">
        <v>15726.6</v>
      </c>
      <c r="I1897">
        <v>3</v>
      </c>
      <c r="J1897">
        <v>3246.21</v>
      </c>
      <c r="K1897" t="str">
        <f t="shared" si="58"/>
        <v>July</v>
      </c>
      <c r="L1897">
        <f t="shared" si="59"/>
        <v>2026</v>
      </c>
    </row>
    <row r="1898" spans="1:12" x14ac:dyDescent="0.3">
      <c r="A1898" s="6">
        <v>46218</v>
      </c>
      <c r="B1898" t="s">
        <v>103</v>
      </c>
      <c r="C1898" t="s">
        <v>22</v>
      </c>
      <c r="D1898" t="s">
        <v>156</v>
      </c>
      <c r="E1898" t="s">
        <v>42</v>
      </c>
      <c r="F1898" t="s">
        <v>90</v>
      </c>
      <c r="G1898" t="s">
        <v>120</v>
      </c>
      <c r="H1898">
        <v>5333.23</v>
      </c>
      <c r="I1898">
        <v>1</v>
      </c>
      <c r="J1898">
        <v>640.47</v>
      </c>
      <c r="K1898" t="str">
        <f t="shared" si="58"/>
        <v>July</v>
      </c>
      <c r="L1898">
        <f t="shared" si="59"/>
        <v>2026</v>
      </c>
    </row>
    <row r="1899" spans="1:12" x14ac:dyDescent="0.3">
      <c r="A1899" s="6">
        <v>46218</v>
      </c>
      <c r="B1899" t="s">
        <v>78</v>
      </c>
      <c r="C1899" t="s">
        <v>62</v>
      </c>
      <c r="D1899" t="s">
        <v>156</v>
      </c>
      <c r="E1899" t="s">
        <v>18</v>
      </c>
      <c r="F1899" t="s">
        <v>40</v>
      </c>
      <c r="G1899" t="s">
        <v>41</v>
      </c>
      <c r="H1899">
        <v>32647.5</v>
      </c>
      <c r="I1899">
        <v>2</v>
      </c>
      <c r="J1899">
        <v>3782.61</v>
      </c>
      <c r="K1899" t="str">
        <f t="shared" si="58"/>
        <v>July</v>
      </c>
      <c r="L1899">
        <f t="shared" si="59"/>
        <v>2026</v>
      </c>
    </row>
    <row r="1900" spans="1:12" x14ac:dyDescent="0.3">
      <c r="A1900" s="6">
        <v>46219</v>
      </c>
      <c r="B1900" t="s">
        <v>25</v>
      </c>
      <c r="C1900" t="s">
        <v>81</v>
      </c>
      <c r="D1900" t="s">
        <v>156</v>
      </c>
      <c r="E1900" t="s">
        <v>42</v>
      </c>
      <c r="F1900" t="s">
        <v>90</v>
      </c>
      <c r="G1900" t="s">
        <v>97</v>
      </c>
      <c r="H1900">
        <v>2400.56</v>
      </c>
      <c r="I1900">
        <v>1</v>
      </c>
      <c r="J1900">
        <v>-28.35</v>
      </c>
      <c r="K1900" t="str">
        <f t="shared" si="58"/>
        <v>July</v>
      </c>
      <c r="L1900">
        <f t="shared" si="59"/>
        <v>2026</v>
      </c>
    </row>
    <row r="1901" spans="1:12" x14ac:dyDescent="0.3">
      <c r="A1901" s="6">
        <v>46219</v>
      </c>
      <c r="B1901" t="s">
        <v>34</v>
      </c>
      <c r="C1901" t="s">
        <v>62</v>
      </c>
      <c r="D1901" t="s">
        <v>156</v>
      </c>
      <c r="E1901" t="s">
        <v>26</v>
      </c>
      <c r="F1901" t="s">
        <v>53</v>
      </c>
      <c r="G1901" t="s">
        <v>96</v>
      </c>
      <c r="H1901">
        <v>67834.52</v>
      </c>
      <c r="I1901">
        <v>1</v>
      </c>
      <c r="J1901">
        <v>8668.7000000000007</v>
      </c>
      <c r="K1901" t="str">
        <f t="shared" si="58"/>
        <v>July</v>
      </c>
      <c r="L1901">
        <f t="shared" si="59"/>
        <v>2026</v>
      </c>
    </row>
    <row r="1902" spans="1:12" x14ac:dyDescent="0.3">
      <c r="A1902" s="6">
        <v>46219</v>
      </c>
      <c r="B1902" t="s">
        <v>74</v>
      </c>
      <c r="C1902" t="s">
        <v>58</v>
      </c>
      <c r="D1902" t="s">
        <v>156</v>
      </c>
      <c r="E1902" t="s">
        <v>18</v>
      </c>
      <c r="F1902" t="s">
        <v>19</v>
      </c>
      <c r="G1902" t="s">
        <v>20</v>
      </c>
      <c r="H1902">
        <v>124347.78</v>
      </c>
      <c r="I1902">
        <v>2</v>
      </c>
      <c r="J1902">
        <v>17874.599999999999</v>
      </c>
      <c r="K1902" t="str">
        <f t="shared" si="58"/>
        <v>July</v>
      </c>
      <c r="L1902">
        <f t="shared" si="59"/>
        <v>2026</v>
      </c>
    </row>
    <row r="1903" spans="1:12" x14ac:dyDescent="0.3">
      <c r="A1903" s="6">
        <v>46220</v>
      </c>
      <c r="B1903" t="s">
        <v>38</v>
      </c>
      <c r="C1903" t="s">
        <v>62</v>
      </c>
      <c r="D1903" t="s">
        <v>156</v>
      </c>
      <c r="E1903" t="s">
        <v>18</v>
      </c>
      <c r="F1903" t="s">
        <v>19</v>
      </c>
      <c r="G1903" t="s">
        <v>72</v>
      </c>
      <c r="H1903">
        <v>64501.14</v>
      </c>
      <c r="I1903">
        <v>1</v>
      </c>
      <c r="J1903">
        <v>13398.94</v>
      </c>
      <c r="K1903" t="str">
        <f t="shared" si="58"/>
        <v>July</v>
      </c>
      <c r="L1903">
        <f t="shared" si="59"/>
        <v>2026</v>
      </c>
    </row>
    <row r="1904" spans="1:12" x14ac:dyDescent="0.3">
      <c r="A1904" s="6">
        <v>46220</v>
      </c>
      <c r="B1904" t="s">
        <v>71</v>
      </c>
      <c r="C1904" t="s">
        <v>46</v>
      </c>
      <c r="D1904" t="s">
        <v>156</v>
      </c>
      <c r="E1904" t="s">
        <v>35</v>
      </c>
      <c r="F1904" t="s">
        <v>63</v>
      </c>
      <c r="G1904" t="s">
        <v>112</v>
      </c>
      <c r="H1904">
        <v>27764.92</v>
      </c>
      <c r="I1904">
        <v>1</v>
      </c>
      <c r="J1904">
        <v>4984.3100000000004</v>
      </c>
      <c r="K1904" t="str">
        <f t="shared" si="58"/>
        <v>July</v>
      </c>
      <c r="L1904">
        <f t="shared" si="59"/>
        <v>2026</v>
      </c>
    </row>
    <row r="1905" spans="1:12" x14ac:dyDescent="0.3">
      <c r="A1905" s="6">
        <v>46221</v>
      </c>
      <c r="B1905" t="s">
        <v>55</v>
      </c>
      <c r="C1905" t="s">
        <v>61</v>
      </c>
      <c r="D1905" t="s">
        <v>156</v>
      </c>
      <c r="E1905" t="s">
        <v>42</v>
      </c>
      <c r="F1905" t="s">
        <v>90</v>
      </c>
      <c r="G1905" t="s">
        <v>120</v>
      </c>
      <c r="H1905">
        <v>10828.92</v>
      </c>
      <c r="I1905">
        <v>2</v>
      </c>
      <c r="J1905">
        <v>1659.37</v>
      </c>
      <c r="K1905" t="str">
        <f t="shared" si="58"/>
        <v>July</v>
      </c>
      <c r="L1905">
        <f t="shared" si="59"/>
        <v>2026</v>
      </c>
    </row>
    <row r="1906" spans="1:12" x14ac:dyDescent="0.3">
      <c r="A1906" s="6">
        <v>46222</v>
      </c>
      <c r="B1906" t="s">
        <v>113</v>
      </c>
      <c r="C1906" t="s">
        <v>49</v>
      </c>
      <c r="D1906" t="s">
        <v>156</v>
      </c>
      <c r="E1906" t="s">
        <v>35</v>
      </c>
      <c r="F1906" t="s">
        <v>75</v>
      </c>
      <c r="G1906" t="s">
        <v>110</v>
      </c>
      <c r="H1906">
        <v>95911.95</v>
      </c>
      <c r="I1906">
        <v>2</v>
      </c>
      <c r="J1906">
        <v>11389.57</v>
      </c>
      <c r="K1906" t="str">
        <f t="shared" si="58"/>
        <v>July</v>
      </c>
      <c r="L1906">
        <f t="shared" si="59"/>
        <v>2026</v>
      </c>
    </row>
    <row r="1907" spans="1:12" x14ac:dyDescent="0.3">
      <c r="A1907" s="6">
        <v>46222</v>
      </c>
      <c r="B1907" t="s">
        <v>109</v>
      </c>
      <c r="C1907" t="s">
        <v>61</v>
      </c>
      <c r="D1907" t="s">
        <v>156</v>
      </c>
      <c r="E1907" t="s">
        <v>42</v>
      </c>
      <c r="F1907" t="s">
        <v>43</v>
      </c>
      <c r="G1907" t="s">
        <v>44</v>
      </c>
      <c r="H1907">
        <v>58101.99</v>
      </c>
      <c r="I1907">
        <v>4</v>
      </c>
      <c r="J1907">
        <v>10072.24</v>
      </c>
      <c r="K1907" t="str">
        <f t="shared" si="58"/>
        <v>July</v>
      </c>
      <c r="L1907">
        <f t="shared" si="59"/>
        <v>2026</v>
      </c>
    </row>
    <row r="1908" spans="1:12" x14ac:dyDescent="0.3">
      <c r="A1908" s="6">
        <v>46222</v>
      </c>
      <c r="B1908" t="s">
        <v>86</v>
      </c>
      <c r="C1908" t="s">
        <v>39</v>
      </c>
      <c r="D1908" t="s">
        <v>156</v>
      </c>
      <c r="E1908" t="s">
        <v>18</v>
      </c>
      <c r="F1908" t="s">
        <v>19</v>
      </c>
      <c r="G1908" t="s">
        <v>72</v>
      </c>
      <c r="H1908">
        <v>64118.64</v>
      </c>
      <c r="I1908">
        <v>1</v>
      </c>
      <c r="J1908">
        <v>5459.43</v>
      </c>
      <c r="K1908" t="str">
        <f t="shared" si="58"/>
        <v>July</v>
      </c>
      <c r="L1908">
        <f t="shared" si="59"/>
        <v>2026</v>
      </c>
    </row>
    <row r="1909" spans="1:12" x14ac:dyDescent="0.3">
      <c r="A1909" s="6">
        <v>46222</v>
      </c>
      <c r="B1909" t="s">
        <v>74</v>
      </c>
      <c r="C1909" t="s">
        <v>58</v>
      </c>
      <c r="D1909" t="s">
        <v>156</v>
      </c>
      <c r="E1909" t="s">
        <v>35</v>
      </c>
      <c r="F1909" t="s">
        <v>50</v>
      </c>
      <c r="G1909" t="s">
        <v>121</v>
      </c>
      <c r="H1909">
        <v>9823.0400000000009</v>
      </c>
      <c r="I1909">
        <v>2</v>
      </c>
      <c r="J1909">
        <v>853.46</v>
      </c>
      <c r="K1909" t="str">
        <f t="shared" si="58"/>
        <v>July</v>
      </c>
      <c r="L1909">
        <f t="shared" si="59"/>
        <v>2026</v>
      </c>
    </row>
    <row r="1910" spans="1:12" x14ac:dyDescent="0.3">
      <c r="A1910" s="6">
        <v>46223</v>
      </c>
      <c r="B1910" t="s">
        <v>80</v>
      </c>
      <c r="C1910" t="s">
        <v>12</v>
      </c>
      <c r="D1910" t="s">
        <v>156</v>
      </c>
      <c r="E1910" t="s">
        <v>35</v>
      </c>
      <c r="F1910" t="s">
        <v>36</v>
      </c>
      <c r="G1910" t="s">
        <v>99</v>
      </c>
      <c r="H1910">
        <v>109623.03</v>
      </c>
      <c r="I1910">
        <v>3</v>
      </c>
      <c r="J1910">
        <v>8730.85</v>
      </c>
      <c r="K1910" t="str">
        <f t="shared" si="58"/>
        <v>July</v>
      </c>
      <c r="L1910">
        <f t="shared" si="59"/>
        <v>2026</v>
      </c>
    </row>
    <row r="1911" spans="1:12" x14ac:dyDescent="0.3">
      <c r="A1911" s="6">
        <v>46223</v>
      </c>
      <c r="B1911" t="s">
        <v>55</v>
      </c>
      <c r="C1911" t="s">
        <v>12</v>
      </c>
      <c r="D1911" t="s">
        <v>156</v>
      </c>
      <c r="E1911" t="s">
        <v>26</v>
      </c>
      <c r="F1911" t="s">
        <v>27</v>
      </c>
      <c r="G1911" t="s">
        <v>94</v>
      </c>
      <c r="H1911">
        <v>21956.51</v>
      </c>
      <c r="I1911">
        <v>2</v>
      </c>
      <c r="J1911">
        <v>3448.31</v>
      </c>
      <c r="K1911" t="str">
        <f t="shared" si="58"/>
        <v>July</v>
      </c>
      <c r="L1911">
        <f t="shared" si="59"/>
        <v>2026</v>
      </c>
    </row>
    <row r="1912" spans="1:12" x14ac:dyDescent="0.3">
      <c r="A1912" s="6">
        <v>46223</v>
      </c>
      <c r="B1912" t="s">
        <v>32</v>
      </c>
      <c r="C1912" t="s">
        <v>22</v>
      </c>
      <c r="D1912" t="s">
        <v>156</v>
      </c>
      <c r="E1912" t="s">
        <v>26</v>
      </c>
      <c r="F1912" t="s">
        <v>27</v>
      </c>
      <c r="G1912" t="s">
        <v>82</v>
      </c>
      <c r="H1912">
        <v>59610.44</v>
      </c>
      <c r="I1912">
        <v>2</v>
      </c>
      <c r="J1912">
        <v>11712.16</v>
      </c>
      <c r="K1912" t="str">
        <f t="shared" si="58"/>
        <v>July</v>
      </c>
      <c r="L1912">
        <f t="shared" si="59"/>
        <v>2026</v>
      </c>
    </row>
    <row r="1913" spans="1:12" x14ac:dyDescent="0.3">
      <c r="A1913" s="6">
        <v>46224</v>
      </c>
      <c r="B1913" t="s">
        <v>55</v>
      </c>
      <c r="C1913" t="s">
        <v>81</v>
      </c>
      <c r="D1913" t="s">
        <v>156</v>
      </c>
      <c r="E1913" t="s">
        <v>13</v>
      </c>
      <c r="F1913" t="s">
        <v>23</v>
      </c>
      <c r="G1913" t="s">
        <v>24</v>
      </c>
      <c r="H1913">
        <v>120219.76</v>
      </c>
      <c r="I1913">
        <v>2</v>
      </c>
      <c r="J1913">
        <v>25699.599999999999</v>
      </c>
      <c r="K1913" t="str">
        <f t="shared" si="58"/>
        <v>July</v>
      </c>
      <c r="L1913">
        <f t="shared" si="59"/>
        <v>2026</v>
      </c>
    </row>
    <row r="1914" spans="1:12" x14ac:dyDescent="0.3">
      <c r="A1914" s="6">
        <v>46224</v>
      </c>
      <c r="B1914" t="s">
        <v>25</v>
      </c>
      <c r="C1914" t="s">
        <v>30</v>
      </c>
      <c r="D1914" t="s">
        <v>156</v>
      </c>
      <c r="E1914" t="s">
        <v>18</v>
      </c>
      <c r="F1914" t="s">
        <v>40</v>
      </c>
      <c r="G1914" t="s">
        <v>115</v>
      </c>
      <c r="H1914">
        <v>11851.94</v>
      </c>
      <c r="I1914">
        <v>1</v>
      </c>
      <c r="J1914">
        <v>2534.9899999999998</v>
      </c>
      <c r="K1914" t="str">
        <f t="shared" si="58"/>
        <v>July</v>
      </c>
      <c r="L1914">
        <f t="shared" si="59"/>
        <v>2026</v>
      </c>
    </row>
    <row r="1915" spans="1:12" x14ac:dyDescent="0.3">
      <c r="A1915" s="6">
        <v>46225</v>
      </c>
      <c r="B1915" t="s">
        <v>71</v>
      </c>
      <c r="C1915" t="s">
        <v>49</v>
      </c>
      <c r="D1915" t="s">
        <v>156</v>
      </c>
      <c r="E1915" t="s">
        <v>35</v>
      </c>
      <c r="F1915" t="s">
        <v>63</v>
      </c>
      <c r="G1915" t="s">
        <v>64</v>
      </c>
      <c r="H1915">
        <v>31736.53</v>
      </c>
      <c r="I1915">
        <v>1</v>
      </c>
      <c r="J1915">
        <v>2331.71</v>
      </c>
      <c r="K1915" t="str">
        <f t="shared" si="58"/>
        <v>July</v>
      </c>
      <c r="L1915">
        <f t="shared" si="59"/>
        <v>2026</v>
      </c>
    </row>
    <row r="1916" spans="1:12" x14ac:dyDescent="0.3">
      <c r="A1916" s="6">
        <v>46225</v>
      </c>
      <c r="B1916" t="s">
        <v>34</v>
      </c>
      <c r="C1916" t="s">
        <v>39</v>
      </c>
      <c r="D1916" t="s">
        <v>156</v>
      </c>
      <c r="E1916" t="s">
        <v>35</v>
      </c>
      <c r="F1916" t="s">
        <v>50</v>
      </c>
      <c r="G1916" t="s">
        <v>121</v>
      </c>
      <c r="H1916">
        <v>8446.91</v>
      </c>
      <c r="I1916">
        <v>2</v>
      </c>
      <c r="J1916">
        <v>671.25</v>
      </c>
      <c r="K1916" t="str">
        <f t="shared" si="58"/>
        <v>July</v>
      </c>
      <c r="L1916">
        <f t="shared" si="59"/>
        <v>2026</v>
      </c>
    </row>
    <row r="1917" spans="1:12" x14ac:dyDescent="0.3">
      <c r="A1917" s="6">
        <v>46225</v>
      </c>
      <c r="B1917" t="s">
        <v>73</v>
      </c>
      <c r="C1917" t="s">
        <v>66</v>
      </c>
      <c r="D1917" t="s">
        <v>156</v>
      </c>
      <c r="E1917" t="s">
        <v>35</v>
      </c>
      <c r="F1917" t="s">
        <v>75</v>
      </c>
      <c r="G1917" t="s">
        <v>76</v>
      </c>
      <c r="H1917">
        <v>41865.879999999997</v>
      </c>
      <c r="I1917">
        <v>1</v>
      </c>
      <c r="J1917">
        <v>6832.6</v>
      </c>
      <c r="K1917" t="str">
        <f t="shared" si="58"/>
        <v>July</v>
      </c>
      <c r="L1917">
        <f t="shared" si="59"/>
        <v>2026</v>
      </c>
    </row>
    <row r="1918" spans="1:12" x14ac:dyDescent="0.3">
      <c r="A1918" s="6">
        <v>46226</v>
      </c>
      <c r="B1918" t="s">
        <v>80</v>
      </c>
      <c r="C1918" t="s">
        <v>56</v>
      </c>
      <c r="D1918" t="s">
        <v>156</v>
      </c>
      <c r="E1918" t="s">
        <v>42</v>
      </c>
      <c r="F1918" t="s">
        <v>90</v>
      </c>
      <c r="G1918" t="s">
        <v>97</v>
      </c>
      <c r="H1918">
        <v>2462.77</v>
      </c>
      <c r="I1918">
        <v>1</v>
      </c>
      <c r="J1918">
        <v>187.86</v>
      </c>
      <c r="K1918" t="str">
        <f t="shared" si="58"/>
        <v>July</v>
      </c>
      <c r="L1918">
        <f t="shared" si="59"/>
        <v>2026</v>
      </c>
    </row>
    <row r="1919" spans="1:12" x14ac:dyDescent="0.3">
      <c r="A1919" s="6">
        <v>46226</v>
      </c>
      <c r="B1919" t="s">
        <v>25</v>
      </c>
      <c r="C1919" t="s">
        <v>69</v>
      </c>
      <c r="D1919" t="s">
        <v>156</v>
      </c>
      <c r="E1919" t="s">
        <v>35</v>
      </c>
      <c r="F1919" t="s">
        <v>75</v>
      </c>
      <c r="G1919" t="s">
        <v>110</v>
      </c>
      <c r="H1919">
        <v>42270.15</v>
      </c>
      <c r="I1919">
        <v>1</v>
      </c>
      <c r="J1919">
        <v>3451.23</v>
      </c>
      <c r="K1919" t="str">
        <f t="shared" si="58"/>
        <v>July</v>
      </c>
      <c r="L1919">
        <f t="shared" si="59"/>
        <v>2026</v>
      </c>
    </row>
    <row r="1920" spans="1:12" x14ac:dyDescent="0.3">
      <c r="A1920" s="6">
        <v>46226</v>
      </c>
      <c r="B1920" t="s">
        <v>38</v>
      </c>
      <c r="C1920" t="s">
        <v>58</v>
      </c>
      <c r="D1920" t="s">
        <v>156</v>
      </c>
      <c r="E1920" t="s">
        <v>18</v>
      </c>
      <c r="F1920" t="s">
        <v>19</v>
      </c>
      <c r="G1920" t="s">
        <v>20</v>
      </c>
      <c r="H1920">
        <v>63879.9</v>
      </c>
      <c r="I1920">
        <v>1</v>
      </c>
      <c r="J1920">
        <v>10029.799999999999</v>
      </c>
      <c r="K1920" t="str">
        <f t="shared" si="58"/>
        <v>July</v>
      </c>
      <c r="L1920">
        <f t="shared" si="59"/>
        <v>2026</v>
      </c>
    </row>
    <row r="1921" spans="1:12" x14ac:dyDescent="0.3">
      <c r="A1921" s="6">
        <v>46227</v>
      </c>
      <c r="B1921" t="s">
        <v>45</v>
      </c>
      <c r="C1921" t="s">
        <v>46</v>
      </c>
      <c r="D1921" t="s">
        <v>156</v>
      </c>
      <c r="E1921" t="s">
        <v>13</v>
      </c>
      <c r="F1921" t="s">
        <v>23</v>
      </c>
      <c r="G1921" t="s">
        <v>24</v>
      </c>
      <c r="H1921">
        <v>161969.37</v>
      </c>
      <c r="I1921">
        <v>3</v>
      </c>
      <c r="J1921">
        <v>15686.4</v>
      </c>
      <c r="K1921" t="str">
        <f t="shared" si="58"/>
        <v>July</v>
      </c>
      <c r="L1921">
        <f t="shared" si="59"/>
        <v>2026</v>
      </c>
    </row>
    <row r="1922" spans="1:12" x14ac:dyDescent="0.3">
      <c r="A1922" s="6">
        <v>46227</v>
      </c>
      <c r="B1922" t="s">
        <v>74</v>
      </c>
      <c r="C1922" t="s">
        <v>69</v>
      </c>
      <c r="D1922" t="s">
        <v>156</v>
      </c>
      <c r="E1922" t="s">
        <v>18</v>
      </c>
      <c r="F1922" t="s">
        <v>40</v>
      </c>
      <c r="G1922" t="s">
        <v>41</v>
      </c>
      <c r="H1922">
        <v>37779.42</v>
      </c>
      <c r="I1922">
        <v>2</v>
      </c>
      <c r="J1922">
        <v>8177.15</v>
      </c>
      <c r="K1922" t="str">
        <f t="shared" si="58"/>
        <v>July</v>
      </c>
      <c r="L1922">
        <f t="shared" si="59"/>
        <v>2026</v>
      </c>
    </row>
    <row r="1923" spans="1:12" x14ac:dyDescent="0.3">
      <c r="A1923" s="6">
        <v>46227</v>
      </c>
      <c r="B1923" t="s">
        <v>65</v>
      </c>
      <c r="C1923" t="s">
        <v>39</v>
      </c>
      <c r="D1923" t="s">
        <v>156</v>
      </c>
      <c r="E1923" t="s">
        <v>26</v>
      </c>
      <c r="F1923" t="s">
        <v>27</v>
      </c>
      <c r="G1923" t="s">
        <v>82</v>
      </c>
      <c r="H1923">
        <v>62628.57</v>
      </c>
      <c r="I1923">
        <v>2</v>
      </c>
      <c r="J1923">
        <v>9204.2000000000007</v>
      </c>
      <c r="K1923" t="str">
        <f t="shared" ref="K1923:K1986" si="60">TEXT(A1923,"mmmm")</f>
        <v>July</v>
      </c>
      <c r="L1923">
        <f t="shared" ref="L1923:L1986" si="61">YEAR(A1923)</f>
        <v>2026</v>
      </c>
    </row>
    <row r="1924" spans="1:12" x14ac:dyDescent="0.3">
      <c r="A1924" s="6">
        <v>46227</v>
      </c>
      <c r="B1924" t="s">
        <v>60</v>
      </c>
      <c r="C1924" t="s">
        <v>39</v>
      </c>
      <c r="D1924" t="s">
        <v>156</v>
      </c>
      <c r="E1924" t="s">
        <v>13</v>
      </c>
      <c r="F1924" t="s">
        <v>23</v>
      </c>
      <c r="G1924" t="s">
        <v>108</v>
      </c>
      <c r="H1924">
        <v>57337.56</v>
      </c>
      <c r="I1924">
        <v>1</v>
      </c>
      <c r="J1924">
        <v>5152.6099999999997</v>
      </c>
      <c r="K1924" t="str">
        <f t="shared" si="60"/>
        <v>July</v>
      </c>
      <c r="L1924">
        <f t="shared" si="61"/>
        <v>2026</v>
      </c>
    </row>
    <row r="1925" spans="1:12" x14ac:dyDescent="0.3">
      <c r="A1925" s="6">
        <v>46228</v>
      </c>
      <c r="B1925" t="s">
        <v>16</v>
      </c>
      <c r="C1925" t="s">
        <v>17</v>
      </c>
      <c r="D1925" t="s">
        <v>156</v>
      </c>
      <c r="E1925" t="s">
        <v>13</v>
      </c>
      <c r="F1925" t="s">
        <v>14</v>
      </c>
      <c r="G1925" t="s">
        <v>15</v>
      </c>
      <c r="H1925">
        <v>4678.03</v>
      </c>
      <c r="I1925">
        <v>2</v>
      </c>
      <c r="J1925">
        <v>946.84</v>
      </c>
      <c r="K1925" t="str">
        <f t="shared" si="60"/>
        <v>July</v>
      </c>
      <c r="L1925">
        <f t="shared" si="61"/>
        <v>2026</v>
      </c>
    </row>
    <row r="1926" spans="1:12" x14ac:dyDescent="0.3">
      <c r="A1926" s="6">
        <v>46228</v>
      </c>
      <c r="B1926" t="s">
        <v>52</v>
      </c>
      <c r="C1926" t="s">
        <v>61</v>
      </c>
      <c r="D1926" t="s">
        <v>156</v>
      </c>
      <c r="E1926" t="s">
        <v>26</v>
      </c>
      <c r="F1926" t="s">
        <v>27</v>
      </c>
      <c r="G1926" t="s">
        <v>82</v>
      </c>
      <c r="H1926">
        <v>32276.75</v>
      </c>
      <c r="I1926">
        <v>1</v>
      </c>
      <c r="J1926">
        <v>4305.4799999999996</v>
      </c>
      <c r="K1926" t="str">
        <f t="shared" si="60"/>
        <v>July</v>
      </c>
      <c r="L1926">
        <f t="shared" si="61"/>
        <v>2026</v>
      </c>
    </row>
    <row r="1927" spans="1:12" x14ac:dyDescent="0.3">
      <c r="A1927" s="6">
        <v>46228</v>
      </c>
      <c r="B1927" t="s">
        <v>11</v>
      </c>
      <c r="C1927" t="s">
        <v>30</v>
      </c>
      <c r="D1927" t="s">
        <v>156</v>
      </c>
      <c r="E1927" t="s">
        <v>18</v>
      </c>
      <c r="F1927" t="s">
        <v>40</v>
      </c>
      <c r="G1927" t="s">
        <v>105</v>
      </c>
      <c r="H1927">
        <v>2191.9499999999998</v>
      </c>
      <c r="I1927">
        <v>1</v>
      </c>
      <c r="J1927">
        <v>335.66</v>
      </c>
      <c r="K1927" t="str">
        <f t="shared" si="60"/>
        <v>July</v>
      </c>
      <c r="L1927">
        <f t="shared" si="61"/>
        <v>2026</v>
      </c>
    </row>
    <row r="1928" spans="1:12" x14ac:dyDescent="0.3">
      <c r="A1928" s="6">
        <v>46229</v>
      </c>
      <c r="B1928" t="s">
        <v>65</v>
      </c>
      <c r="C1928" t="s">
        <v>56</v>
      </c>
      <c r="D1928" t="s">
        <v>156</v>
      </c>
      <c r="E1928" t="s">
        <v>18</v>
      </c>
      <c r="F1928" t="s">
        <v>19</v>
      </c>
      <c r="G1928" t="s">
        <v>106</v>
      </c>
      <c r="H1928">
        <v>267753.34999999998</v>
      </c>
      <c r="I1928">
        <v>3</v>
      </c>
      <c r="J1928">
        <v>56739.87</v>
      </c>
      <c r="K1928" t="str">
        <f t="shared" si="60"/>
        <v>July</v>
      </c>
      <c r="L1928">
        <f t="shared" si="61"/>
        <v>2026</v>
      </c>
    </row>
    <row r="1929" spans="1:12" x14ac:dyDescent="0.3">
      <c r="A1929" s="6">
        <v>46229</v>
      </c>
      <c r="B1929" t="s">
        <v>55</v>
      </c>
      <c r="C1929" t="s">
        <v>68</v>
      </c>
      <c r="D1929" t="s">
        <v>156</v>
      </c>
      <c r="E1929" t="s">
        <v>13</v>
      </c>
      <c r="F1929" t="s">
        <v>14</v>
      </c>
      <c r="G1929" t="s">
        <v>15</v>
      </c>
      <c r="H1929">
        <v>4358.0600000000004</v>
      </c>
      <c r="I1929">
        <v>2</v>
      </c>
      <c r="J1929">
        <v>648.17999999999995</v>
      </c>
      <c r="K1929" t="str">
        <f t="shared" si="60"/>
        <v>July</v>
      </c>
      <c r="L1929">
        <f t="shared" si="61"/>
        <v>2026</v>
      </c>
    </row>
    <row r="1930" spans="1:12" x14ac:dyDescent="0.3">
      <c r="A1930" s="6">
        <v>46229</v>
      </c>
      <c r="B1930" t="s">
        <v>71</v>
      </c>
      <c r="C1930" t="s">
        <v>22</v>
      </c>
      <c r="D1930" t="s">
        <v>156</v>
      </c>
      <c r="E1930" t="s">
        <v>42</v>
      </c>
      <c r="F1930" t="s">
        <v>43</v>
      </c>
      <c r="G1930" t="s">
        <v>44</v>
      </c>
      <c r="H1930">
        <v>13136.1</v>
      </c>
      <c r="I1930">
        <v>1</v>
      </c>
      <c r="J1930">
        <v>1458.21</v>
      </c>
      <c r="K1930" t="str">
        <f t="shared" si="60"/>
        <v>July</v>
      </c>
      <c r="L1930">
        <f t="shared" si="61"/>
        <v>2026</v>
      </c>
    </row>
    <row r="1931" spans="1:12" x14ac:dyDescent="0.3">
      <c r="A1931" s="6">
        <v>46230</v>
      </c>
      <c r="B1931" t="s">
        <v>32</v>
      </c>
      <c r="C1931" t="s">
        <v>39</v>
      </c>
      <c r="D1931" t="s">
        <v>156</v>
      </c>
      <c r="E1931" t="s">
        <v>18</v>
      </c>
      <c r="F1931" t="s">
        <v>40</v>
      </c>
      <c r="G1931" t="s">
        <v>117</v>
      </c>
      <c r="H1931">
        <v>8277.9699999999993</v>
      </c>
      <c r="I1931">
        <v>3</v>
      </c>
      <c r="J1931">
        <v>658.41</v>
      </c>
      <c r="K1931" t="str">
        <f t="shared" si="60"/>
        <v>July</v>
      </c>
      <c r="L1931">
        <f t="shared" si="61"/>
        <v>2026</v>
      </c>
    </row>
    <row r="1932" spans="1:12" x14ac:dyDescent="0.3">
      <c r="A1932" s="6">
        <v>46231</v>
      </c>
      <c r="B1932" t="s">
        <v>109</v>
      </c>
      <c r="C1932" t="s">
        <v>56</v>
      </c>
      <c r="D1932" t="s">
        <v>156</v>
      </c>
      <c r="E1932" t="s">
        <v>13</v>
      </c>
      <c r="F1932" t="s">
        <v>14</v>
      </c>
      <c r="G1932" t="s">
        <v>57</v>
      </c>
      <c r="H1932">
        <v>3045.53</v>
      </c>
      <c r="I1932">
        <v>2</v>
      </c>
      <c r="J1932">
        <v>658.35</v>
      </c>
      <c r="K1932" t="str">
        <f t="shared" si="60"/>
        <v>July</v>
      </c>
      <c r="L1932">
        <f t="shared" si="61"/>
        <v>2026</v>
      </c>
    </row>
    <row r="1933" spans="1:12" x14ac:dyDescent="0.3">
      <c r="A1933" s="6">
        <v>46231</v>
      </c>
      <c r="B1933" t="s">
        <v>95</v>
      </c>
      <c r="C1933" t="s">
        <v>56</v>
      </c>
      <c r="D1933" t="s">
        <v>156</v>
      </c>
      <c r="E1933" t="s">
        <v>42</v>
      </c>
      <c r="F1933" t="s">
        <v>90</v>
      </c>
      <c r="G1933" t="s">
        <v>97</v>
      </c>
      <c r="H1933">
        <v>10414.41</v>
      </c>
      <c r="I1933">
        <v>5</v>
      </c>
      <c r="J1933">
        <v>1768.15</v>
      </c>
      <c r="K1933" t="str">
        <f t="shared" si="60"/>
        <v>July</v>
      </c>
      <c r="L1933">
        <f t="shared" si="61"/>
        <v>2026</v>
      </c>
    </row>
    <row r="1934" spans="1:12" x14ac:dyDescent="0.3">
      <c r="A1934" s="6">
        <v>46233</v>
      </c>
      <c r="B1934" t="s">
        <v>38</v>
      </c>
      <c r="C1934" t="s">
        <v>81</v>
      </c>
      <c r="D1934" t="s">
        <v>156</v>
      </c>
      <c r="E1934" t="s">
        <v>26</v>
      </c>
      <c r="F1934" t="s">
        <v>53</v>
      </c>
      <c r="G1934" t="s">
        <v>104</v>
      </c>
      <c r="H1934">
        <v>237341.87</v>
      </c>
      <c r="I1934">
        <v>3</v>
      </c>
      <c r="J1934">
        <v>29589.73</v>
      </c>
      <c r="K1934" t="str">
        <f t="shared" si="60"/>
        <v>July</v>
      </c>
      <c r="L1934">
        <f t="shared" si="61"/>
        <v>2026</v>
      </c>
    </row>
    <row r="1935" spans="1:12" x14ac:dyDescent="0.3">
      <c r="A1935" s="6">
        <v>46234</v>
      </c>
      <c r="B1935" t="s">
        <v>60</v>
      </c>
      <c r="C1935" t="s">
        <v>49</v>
      </c>
      <c r="D1935" t="s">
        <v>156</v>
      </c>
      <c r="E1935" t="s">
        <v>35</v>
      </c>
      <c r="F1935" t="s">
        <v>63</v>
      </c>
      <c r="G1935" t="s">
        <v>64</v>
      </c>
      <c r="H1935">
        <v>26710.81</v>
      </c>
      <c r="I1935">
        <v>1</v>
      </c>
      <c r="J1935">
        <v>2263.9</v>
      </c>
      <c r="K1935" t="str">
        <f t="shared" si="60"/>
        <v>July</v>
      </c>
      <c r="L1935">
        <f t="shared" si="61"/>
        <v>2026</v>
      </c>
    </row>
    <row r="1936" spans="1:12" x14ac:dyDescent="0.3">
      <c r="A1936" s="6">
        <v>46234</v>
      </c>
      <c r="B1936" t="s">
        <v>34</v>
      </c>
      <c r="C1936" t="s">
        <v>17</v>
      </c>
      <c r="D1936" t="s">
        <v>156</v>
      </c>
      <c r="E1936" t="s">
        <v>26</v>
      </c>
      <c r="F1936" t="s">
        <v>27</v>
      </c>
      <c r="G1936" t="s">
        <v>94</v>
      </c>
      <c r="H1936">
        <v>11572.65</v>
      </c>
      <c r="I1936">
        <v>1</v>
      </c>
      <c r="J1936">
        <v>1725.49</v>
      </c>
      <c r="K1936" t="str">
        <f t="shared" si="60"/>
        <v>July</v>
      </c>
      <c r="L1936">
        <f t="shared" si="61"/>
        <v>2026</v>
      </c>
    </row>
    <row r="1937" spans="1:12" x14ac:dyDescent="0.3">
      <c r="A1937" s="6">
        <v>46234</v>
      </c>
      <c r="B1937" t="s">
        <v>11</v>
      </c>
      <c r="C1937" t="s">
        <v>81</v>
      </c>
      <c r="D1937" t="s">
        <v>156</v>
      </c>
      <c r="E1937" t="s">
        <v>13</v>
      </c>
      <c r="F1937" t="s">
        <v>14</v>
      </c>
      <c r="G1937" t="s">
        <v>111</v>
      </c>
      <c r="H1937">
        <v>3929.22</v>
      </c>
      <c r="I1937">
        <v>2</v>
      </c>
      <c r="J1937">
        <v>734.12</v>
      </c>
      <c r="K1937" t="str">
        <f t="shared" si="60"/>
        <v>July</v>
      </c>
      <c r="L1937">
        <f t="shared" si="61"/>
        <v>2026</v>
      </c>
    </row>
    <row r="1938" spans="1:12" x14ac:dyDescent="0.3">
      <c r="A1938" s="6">
        <v>46234</v>
      </c>
      <c r="B1938" t="s">
        <v>86</v>
      </c>
      <c r="C1938" t="s">
        <v>56</v>
      </c>
      <c r="D1938" t="s">
        <v>156</v>
      </c>
      <c r="E1938" t="s">
        <v>26</v>
      </c>
      <c r="F1938" t="s">
        <v>27</v>
      </c>
      <c r="G1938" t="s">
        <v>31</v>
      </c>
      <c r="H1938">
        <v>17870.61</v>
      </c>
      <c r="I1938">
        <v>2</v>
      </c>
      <c r="J1938">
        <v>2519.0300000000002</v>
      </c>
      <c r="K1938" t="str">
        <f t="shared" si="60"/>
        <v>July</v>
      </c>
      <c r="L1938">
        <f t="shared" si="61"/>
        <v>2026</v>
      </c>
    </row>
    <row r="1939" spans="1:12" x14ac:dyDescent="0.3">
      <c r="A1939" s="6">
        <v>46235</v>
      </c>
      <c r="B1939" t="s">
        <v>74</v>
      </c>
      <c r="C1939" t="s">
        <v>58</v>
      </c>
      <c r="D1939" t="s">
        <v>156</v>
      </c>
      <c r="E1939" t="s">
        <v>13</v>
      </c>
      <c r="F1939" t="s">
        <v>14</v>
      </c>
      <c r="G1939" t="s">
        <v>70</v>
      </c>
      <c r="H1939">
        <v>2759.32</v>
      </c>
      <c r="I1939">
        <v>1</v>
      </c>
      <c r="J1939">
        <v>582.30999999999995</v>
      </c>
      <c r="K1939" t="str">
        <f t="shared" si="60"/>
        <v>August</v>
      </c>
      <c r="L1939">
        <f t="shared" si="61"/>
        <v>2026</v>
      </c>
    </row>
    <row r="1940" spans="1:12" x14ac:dyDescent="0.3">
      <c r="A1940" s="6">
        <v>46236</v>
      </c>
      <c r="B1940" t="s">
        <v>80</v>
      </c>
      <c r="C1940" t="s">
        <v>69</v>
      </c>
      <c r="D1940" t="s">
        <v>156</v>
      </c>
      <c r="E1940" t="s">
        <v>35</v>
      </c>
      <c r="F1940" t="s">
        <v>63</v>
      </c>
      <c r="G1940" t="s">
        <v>114</v>
      </c>
      <c r="H1940">
        <v>28375.74</v>
      </c>
      <c r="I1940">
        <v>1</v>
      </c>
      <c r="J1940">
        <v>4313.3599999999997</v>
      </c>
      <c r="K1940" t="str">
        <f t="shared" si="60"/>
        <v>August</v>
      </c>
      <c r="L1940">
        <f t="shared" si="61"/>
        <v>2026</v>
      </c>
    </row>
    <row r="1941" spans="1:12" x14ac:dyDescent="0.3">
      <c r="A1941" s="6">
        <v>46236</v>
      </c>
      <c r="B1941" t="s">
        <v>92</v>
      </c>
      <c r="C1941" t="s">
        <v>49</v>
      </c>
      <c r="D1941" t="s">
        <v>156</v>
      </c>
      <c r="E1941" t="s">
        <v>35</v>
      </c>
      <c r="F1941" t="s">
        <v>50</v>
      </c>
      <c r="G1941" t="s">
        <v>119</v>
      </c>
      <c r="H1941">
        <v>2590.21</v>
      </c>
      <c r="I1941">
        <v>1</v>
      </c>
      <c r="J1941">
        <v>428.53</v>
      </c>
      <c r="K1941" t="str">
        <f t="shared" si="60"/>
        <v>August</v>
      </c>
      <c r="L1941">
        <f t="shared" si="61"/>
        <v>2026</v>
      </c>
    </row>
    <row r="1942" spans="1:12" x14ac:dyDescent="0.3">
      <c r="A1942" s="6">
        <v>46236</v>
      </c>
      <c r="B1942" t="s">
        <v>92</v>
      </c>
      <c r="C1942" t="s">
        <v>58</v>
      </c>
      <c r="D1942" t="s">
        <v>156</v>
      </c>
      <c r="E1942" t="s">
        <v>26</v>
      </c>
      <c r="F1942" t="s">
        <v>27</v>
      </c>
      <c r="G1942" t="s">
        <v>31</v>
      </c>
      <c r="H1942">
        <v>26408.75</v>
      </c>
      <c r="I1942">
        <v>3</v>
      </c>
      <c r="J1942">
        <v>1906.23</v>
      </c>
      <c r="K1942" t="str">
        <f t="shared" si="60"/>
        <v>August</v>
      </c>
      <c r="L1942">
        <f t="shared" si="61"/>
        <v>2026</v>
      </c>
    </row>
    <row r="1943" spans="1:12" x14ac:dyDescent="0.3">
      <c r="A1943" s="6">
        <v>46237</v>
      </c>
      <c r="B1943" t="s">
        <v>92</v>
      </c>
      <c r="C1943" t="s">
        <v>58</v>
      </c>
      <c r="D1943" t="s">
        <v>156</v>
      </c>
      <c r="E1943" t="s">
        <v>26</v>
      </c>
      <c r="F1943" t="s">
        <v>27</v>
      </c>
      <c r="G1943" t="s">
        <v>94</v>
      </c>
      <c r="H1943">
        <v>22571.82</v>
      </c>
      <c r="I1943">
        <v>2</v>
      </c>
      <c r="J1943">
        <v>2609.5300000000002</v>
      </c>
      <c r="K1943" t="str">
        <f t="shared" si="60"/>
        <v>August</v>
      </c>
      <c r="L1943">
        <f t="shared" si="61"/>
        <v>2026</v>
      </c>
    </row>
    <row r="1944" spans="1:12" x14ac:dyDescent="0.3">
      <c r="A1944" s="6">
        <v>46237</v>
      </c>
      <c r="B1944" t="s">
        <v>45</v>
      </c>
      <c r="C1944" t="s">
        <v>56</v>
      </c>
      <c r="D1944" t="s">
        <v>156</v>
      </c>
      <c r="E1944" t="s">
        <v>42</v>
      </c>
      <c r="F1944" t="s">
        <v>43</v>
      </c>
      <c r="G1944" t="s">
        <v>44</v>
      </c>
      <c r="H1944">
        <v>28151.360000000001</v>
      </c>
      <c r="I1944">
        <v>2</v>
      </c>
      <c r="J1944">
        <v>3051.98</v>
      </c>
      <c r="K1944" t="str">
        <f t="shared" si="60"/>
        <v>August</v>
      </c>
      <c r="L1944">
        <f t="shared" si="61"/>
        <v>2026</v>
      </c>
    </row>
    <row r="1945" spans="1:12" x14ac:dyDescent="0.3">
      <c r="A1945" s="6">
        <v>46238</v>
      </c>
      <c r="B1945" t="s">
        <v>65</v>
      </c>
      <c r="C1945" t="s">
        <v>49</v>
      </c>
      <c r="D1945" t="s">
        <v>156</v>
      </c>
      <c r="E1945" t="s">
        <v>35</v>
      </c>
      <c r="F1945" t="s">
        <v>50</v>
      </c>
      <c r="G1945" t="s">
        <v>121</v>
      </c>
      <c r="H1945">
        <v>4926.3599999999997</v>
      </c>
      <c r="I1945">
        <v>1</v>
      </c>
      <c r="J1945">
        <v>557.1</v>
      </c>
      <c r="K1945" t="str">
        <f t="shared" si="60"/>
        <v>August</v>
      </c>
      <c r="L1945">
        <f t="shared" si="61"/>
        <v>2026</v>
      </c>
    </row>
    <row r="1946" spans="1:12" x14ac:dyDescent="0.3">
      <c r="A1946" s="6">
        <v>46238</v>
      </c>
      <c r="B1946" t="s">
        <v>48</v>
      </c>
      <c r="C1946" t="s">
        <v>17</v>
      </c>
      <c r="D1946" t="s">
        <v>156</v>
      </c>
      <c r="E1946" t="s">
        <v>18</v>
      </c>
      <c r="F1946" t="s">
        <v>40</v>
      </c>
      <c r="G1946" t="s">
        <v>102</v>
      </c>
      <c r="H1946">
        <v>1294.93</v>
      </c>
      <c r="I1946">
        <v>1</v>
      </c>
      <c r="J1946">
        <v>174.26</v>
      </c>
      <c r="K1946" t="str">
        <f t="shared" si="60"/>
        <v>August</v>
      </c>
      <c r="L1946">
        <f t="shared" si="61"/>
        <v>2026</v>
      </c>
    </row>
    <row r="1947" spans="1:12" x14ac:dyDescent="0.3">
      <c r="A1947" s="6">
        <v>46238</v>
      </c>
      <c r="B1947" t="s">
        <v>92</v>
      </c>
      <c r="C1947" t="s">
        <v>68</v>
      </c>
      <c r="D1947" t="s">
        <v>156</v>
      </c>
      <c r="E1947" t="s">
        <v>18</v>
      </c>
      <c r="F1947" t="s">
        <v>40</v>
      </c>
      <c r="G1947" t="s">
        <v>41</v>
      </c>
      <c r="H1947">
        <v>17808.04</v>
      </c>
      <c r="I1947">
        <v>1</v>
      </c>
      <c r="J1947">
        <v>3843.44</v>
      </c>
      <c r="K1947" t="str">
        <f t="shared" si="60"/>
        <v>August</v>
      </c>
      <c r="L1947">
        <f t="shared" si="61"/>
        <v>2026</v>
      </c>
    </row>
    <row r="1948" spans="1:12" x14ac:dyDescent="0.3">
      <c r="A1948" s="6">
        <v>46238</v>
      </c>
      <c r="B1948" t="s">
        <v>73</v>
      </c>
      <c r="C1948" t="s">
        <v>49</v>
      </c>
      <c r="D1948" t="s">
        <v>156</v>
      </c>
      <c r="E1948" t="s">
        <v>13</v>
      </c>
      <c r="F1948" t="s">
        <v>23</v>
      </c>
      <c r="G1948" t="s">
        <v>77</v>
      </c>
      <c r="H1948">
        <v>68408.289999999994</v>
      </c>
      <c r="I1948">
        <v>2</v>
      </c>
      <c r="J1948">
        <v>12191.05</v>
      </c>
      <c r="K1948" t="str">
        <f t="shared" si="60"/>
        <v>August</v>
      </c>
      <c r="L1948">
        <f t="shared" si="61"/>
        <v>2026</v>
      </c>
    </row>
    <row r="1949" spans="1:12" x14ac:dyDescent="0.3">
      <c r="A1949" s="6">
        <v>46240</v>
      </c>
      <c r="B1949" t="s">
        <v>32</v>
      </c>
      <c r="C1949" t="s">
        <v>39</v>
      </c>
      <c r="D1949" t="s">
        <v>156</v>
      </c>
      <c r="E1949" t="s">
        <v>13</v>
      </c>
      <c r="F1949" t="s">
        <v>23</v>
      </c>
      <c r="G1949" t="s">
        <v>108</v>
      </c>
      <c r="H1949">
        <v>113869.19</v>
      </c>
      <c r="I1949">
        <v>2</v>
      </c>
      <c r="J1949">
        <v>13919.17</v>
      </c>
      <c r="K1949" t="str">
        <f t="shared" si="60"/>
        <v>August</v>
      </c>
      <c r="L1949">
        <f t="shared" si="61"/>
        <v>2026</v>
      </c>
    </row>
    <row r="1950" spans="1:12" x14ac:dyDescent="0.3">
      <c r="A1950" s="6">
        <v>46241</v>
      </c>
      <c r="B1950" t="s">
        <v>95</v>
      </c>
      <c r="C1950" t="s">
        <v>68</v>
      </c>
      <c r="D1950" t="s">
        <v>156</v>
      </c>
      <c r="E1950" t="s">
        <v>13</v>
      </c>
      <c r="F1950" t="s">
        <v>23</v>
      </c>
      <c r="G1950" t="s">
        <v>79</v>
      </c>
      <c r="H1950">
        <v>57809.87</v>
      </c>
      <c r="I1950">
        <v>1</v>
      </c>
      <c r="J1950">
        <v>7528.65</v>
      </c>
      <c r="K1950" t="str">
        <f t="shared" si="60"/>
        <v>August</v>
      </c>
      <c r="L1950">
        <f t="shared" si="61"/>
        <v>2026</v>
      </c>
    </row>
    <row r="1951" spans="1:12" x14ac:dyDescent="0.3">
      <c r="A1951" s="6">
        <v>46241</v>
      </c>
      <c r="B1951" t="s">
        <v>25</v>
      </c>
      <c r="C1951" t="s">
        <v>81</v>
      </c>
      <c r="D1951" t="s">
        <v>156</v>
      </c>
      <c r="E1951" t="s">
        <v>35</v>
      </c>
      <c r="F1951" t="s">
        <v>36</v>
      </c>
      <c r="G1951" t="s">
        <v>99</v>
      </c>
      <c r="H1951">
        <v>113691.86</v>
      </c>
      <c r="I1951">
        <v>3</v>
      </c>
      <c r="J1951">
        <v>22072.05</v>
      </c>
      <c r="K1951" t="str">
        <f t="shared" si="60"/>
        <v>August</v>
      </c>
      <c r="L1951">
        <f t="shared" si="61"/>
        <v>2026</v>
      </c>
    </row>
    <row r="1952" spans="1:12" x14ac:dyDescent="0.3">
      <c r="A1952" s="6">
        <v>46242</v>
      </c>
      <c r="B1952" t="s">
        <v>80</v>
      </c>
      <c r="C1952" t="s">
        <v>61</v>
      </c>
      <c r="D1952" t="s">
        <v>156</v>
      </c>
      <c r="E1952" t="s">
        <v>42</v>
      </c>
      <c r="F1952" t="s">
        <v>90</v>
      </c>
      <c r="G1952" t="s">
        <v>97</v>
      </c>
      <c r="H1952">
        <v>4353.51</v>
      </c>
      <c r="I1952">
        <v>2</v>
      </c>
      <c r="J1952">
        <v>394.02</v>
      </c>
      <c r="K1952" t="str">
        <f t="shared" si="60"/>
        <v>August</v>
      </c>
      <c r="L1952">
        <f t="shared" si="61"/>
        <v>2026</v>
      </c>
    </row>
    <row r="1953" spans="1:12" x14ac:dyDescent="0.3">
      <c r="A1953" s="6">
        <v>46242</v>
      </c>
      <c r="B1953" t="s">
        <v>74</v>
      </c>
      <c r="C1953" t="s">
        <v>62</v>
      </c>
      <c r="D1953" t="s">
        <v>156</v>
      </c>
      <c r="E1953" t="s">
        <v>35</v>
      </c>
      <c r="F1953" t="s">
        <v>36</v>
      </c>
      <c r="G1953" t="s">
        <v>37</v>
      </c>
      <c r="H1953">
        <v>50624.24</v>
      </c>
      <c r="I1953">
        <v>2</v>
      </c>
      <c r="J1953">
        <v>4706.34</v>
      </c>
      <c r="K1953" t="str">
        <f t="shared" si="60"/>
        <v>August</v>
      </c>
      <c r="L1953">
        <f t="shared" si="61"/>
        <v>2026</v>
      </c>
    </row>
    <row r="1954" spans="1:12" x14ac:dyDescent="0.3">
      <c r="A1954" s="6">
        <v>46242</v>
      </c>
      <c r="B1954" t="s">
        <v>74</v>
      </c>
      <c r="C1954" t="s">
        <v>69</v>
      </c>
      <c r="D1954" t="s">
        <v>156</v>
      </c>
      <c r="E1954" t="s">
        <v>26</v>
      </c>
      <c r="F1954" t="s">
        <v>27</v>
      </c>
      <c r="G1954" t="s">
        <v>31</v>
      </c>
      <c r="H1954">
        <v>8700.76</v>
      </c>
      <c r="I1954">
        <v>1</v>
      </c>
      <c r="J1954">
        <v>1220.72</v>
      </c>
      <c r="K1954" t="str">
        <f t="shared" si="60"/>
        <v>August</v>
      </c>
      <c r="L1954">
        <f t="shared" si="61"/>
        <v>2026</v>
      </c>
    </row>
    <row r="1955" spans="1:12" x14ac:dyDescent="0.3">
      <c r="A1955" s="6">
        <v>46243</v>
      </c>
      <c r="B1955" t="s">
        <v>80</v>
      </c>
      <c r="C1955" t="s">
        <v>61</v>
      </c>
      <c r="D1955" t="s">
        <v>156</v>
      </c>
      <c r="E1955" t="s">
        <v>26</v>
      </c>
      <c r="F1955" t="s">
        <v>27</v>
      </c>
      <c r="G1955" t="s">
        <v>28</v>
      </c>
      <c r="H1955">
        <v>69910.23</v>
      </c>
      <c r="I1955">
        <v>3</v>
      </c>
      <c r="J1955">
        <v>6278.77</v>
      </c>
      <c r="K1955" t="str">
        <f t="shared" si="60"/>
        <v>August</v>
      </c>
      <c r="L1955">
        <f t="shared" si="61"/>
        <v>2026</v>
      </c>
    </row>
    <row r="1956" spans="1:12" x14ac:dyDescent="0.3">
      <c r="A1956" s="6">
        <v>46243</v>
      </c>
      <c r="B1956" t="s">
        <v>92</v>
      </c>
      <c r="C1956" t="s">
        <v>81</v>
      </c>
      <c r="D1956" t="s">
        <v>156</v>
      </c>
      <c r="E1956" t="s">
        <v>35</v>
      </c>
      <c r="F1956" t="s">
        <v>36</v>
      </c>
      <c r="G1956" t="s">
        <v>99</v>
      </c>
      <c r="H1956">
        <v>38661.440000000002</v>
      </c>
      <c r="I1956">
        <v>1</v>
      </c>
      <c r="J1956">
        <v>4436.17</v>
      </c>
      <c r="K1956" t="str">
        <f t="shared" si="60"/>
        <v>August</v>
      </c>
      <c r="L1956">
        <f t="shared" si="61"/>
        <v>2026</v>
      </c>
    </row>
    <row r="1957" spans="1:12" x14ac:dyDescent="0.3">
      <c r="A1957" s="6">
        <v>46244</v>
      </c>
      <c r="B1957" t="s">
        <v>86</v>
      </c>
      <c r="C1957" t="s">
        <v>12</v>
      </c>
      <c r="D1957" t="s">
        <v>156</v>
      </c>
      <c r="E1957" t="s">
        <v>26</v>
      </c>
      <c r="F1957" t="s">
        <v>53</v>
      </c>
      <c r="G1957" t="s">
        <v>98</v>
      </c>
      <c r="H1957">
        <v>56987.5</v>
      </c>
      <c r="I1957">
        <v>2</v>
      </c>
      <c r="J1957">
        <v>8433.51</v>
      </c>
      <c r="K1957" t="str">
        <f t="shared" si="60"/>
        <v>August</v>
      </c>
      <c r="L1957">
        <f t="shared" si="61"/>
        <v>2026</v>
      </c>
    </row>
    <row r="1958" spans="1:12" x14ac:dyDescent="0.3">
      <c r="A1958" s="6">
        <v>46244</v>
      </c>
      <c r="B1958" t="s">
        <v>38</v>
      </c>
      <c r="C1958" t="s">
        <v>66</v>
      </c>
      <c r="D1958" t="s">
        <v>156</v>
      </c>
      <c r="E1958" t="s">
        <v>13</v>
      </c>
      <c r="F1958" t="s">
        <v>14</v>
      </c>
      <c r="G1958" t="s">
        <v>88</v>
      </c>
      <c r="H1958">
        <v>4396.74</v>
      </c>
      <c r="I1958">
        <v>3</v>
      </c>
      <c r="J1958">
        <v>616.59</v>
      </c>
      <c r="K1958" t="str">
        <f t="shared" si="60"/>
        <v>August</v>
      </c>
      <c r="L1958">
        <f t="shared" si="61"/>
        <v>2026</v>
      </c>
    </row>
    <row r="1959" spans="1:12" x14ac:dyDescent="0.3">
      <c r="A1959" s="6">
        <v>46245</v>
      </c>
      <c r="B1959" t="s">
        <v>109</v>
      </c>
      <c r="C1959" t="s">
        <v>69</v>
      </c>
      <c r="D1959" t="s">
        <v>156</v>
      </c>
      <c r="E1959" t="s">
        <v>35</v>
      </c>
      <c r="F1959" t="s">
        <v>50</v>
      </c>
      <c r="G1959" t="s">
        <v>119</v>
      </c>
      <c r="H1959">
        <v>4952.4399999999996</v>
      </c>
      <c r="I1959">
        <v>2</v>
      </c>
      <c r="J1959">
        <v>814.19</v>
      </c>
      <c r="K1959" t="str">
        <f t="shared" si="60"/>
        <v>August</v>
      </c>
      <c r="L1959">
        <f t="shared" si="61"/>
        <v>2026</v>
      </c>
    </row>
    <row r="1960" spans="1:12" x14ac:dyDescent="0.3">
      <c r="A1960" s="6">
        <v>46245</v>
      </c>
      <c r="B1960" t="s">
        <v>80</v>
      </c>
      <c r="C1960" t="s">
        <v>61</v>
      </c>
      <c r="D1960" t="s">
        <v>156</v>
      </c>
      <c r="E1960" t="s">
        <v>42</v>
      </c>
      <c r="F1960" t="s">
        <v>90</v>
      </c>
      <c r="G1960" t="s">
        <v>120</v>
      </c>
      <c r="H1960">
        <v>5764.89</v>
      </c>
      <c r="I1960">
        <v>1</v>
      </c>
      <c r="J1960">
        <v>469.25</v>
      </c>
      <c r="K1960" t="str">
        <f t="shared" si="60"/>
        <v>August</v>
      </c>
      <c r="L1960">
        <f t="shared" si="61"/>
        <v>2026</v>
      </c>
    </row>
    <row r="1961" spans="1:12" x14ac:dyDescent="0.3">
      <c r="A1961" s="6">
        <v>46246</v>
      </c>
      <c r="B1961" t="s">
        <v>80</v>
      </c>
      <c r="C1961" t="s">
        <v>17</v>
      </c>
      <c r="D1961" t="s">
        <v>156</v>
      </c>
      <c r="E1961" t="s">
        <v>35</v>
      </c>
      <c r="F1961" t="s">
        <v>63</v>
      </c>
      <c r="G1961" t="s">
        <v>114</v>
      </c>
      <c r="H1961">
        <v>149170.60999999999</v>
      </c>
      <c r="I1961">
        <v>5</v>
      </c>
      <c r="J1961">
        <v>15832.12</v>
      </c>
      <c r="K1961" t="str">
        <f t="shared" si="60"/>
        <v>August</v>
      </c>
      <c r="L1961">
        <f t="shared" si="61"/>
        <v>2026</v>
      </c>
    </row>
    <row r="1962" spans="1:12" x14ac:dyDescent="0.3">
      <c r="A1962" s="6">
        <v>46246</v>
      </c>
      <c r="B1962" t="s">
        <v>34</v>
      </c>
      <c r="C1962" t="s">
        <v>81</v>
      </c>
      <c r="D1962" t="s">
        <v>156</v>
      </c>
      <c r="E1962" t="s">
        <v>13</v>
      </c>
      <c r="F1962" t="s">
        <v>23</v>
      </c>
      <c r="G1962" t="s">
        <v>77</v>
      </c>
      <c r="H1962">
        <v>69958.95</v>
      </c>
      <c r="I1962">
        <v>2</v>
      </c>
      <c r="J1962">
        <v>12536.7</v>
      </c>
      <c r="K1962" t="str">
        <f t="shared" si="60"/>
        <v>August</v>
      </c>
      <c r="L1962">
        <f t="shared" si="61"/>
        <v>2026</v>
      </c>
    </row>
    <row r="1963" spans="1:12" x14ac:dyDescent="0.3">
      <c r="A1963" s="6">
        <v>46246</v>
      </c>
      <c r="B1963" t="s">
        <v>92</v>
      </c>
      <c r="C1963" t="s">
        <v>22</v>
      </c>
      <c r="D1963" t="s">
        <v>156</v>
      </c>
      <c r="E1963" t="s">
        <v>18</v>
      </c>
      <c r="F1963" t="s">
        <v>19</v>
      </c>
      <c r="G1963" t="s">
        <v>20</v>
      </c>
      <c r="H1963">
        <v>253247.4</v>
      </c>
      <c r="I1963">
        <v>4</v>
      </c>
      <c r="J1963">
        <v>24159.18</v>
      </c>
      <c r="K1963" t="str">
        <f t="shared" si="60"/>
        <v>August</v>
      </c>
      <c r="L1963">
        <f t="shared" si="61"/>
        <v>2026</v>
      </c>
    </row>
    <row r="1964" spans="1:12" x14ac:dyDescent="0.3">
      <c r="A1964" s="6">
        <v>46247</v>
      </c>
      <c r="B1964" t="s">
        <v>38</v>
      </c>
      <c r="C1964" t="s">
        <v>39</v>
      </c>
      <c r="D1964" t="s">
        <v>156</v>
      </c>
      <c r="E1964" t="s">
        <v>18</v>
      </c>
      <c r="F1964" t="s">
        <v>40</v>
      </c>
      <c r="G1964" t="s">
        <v>41</v>
      </c>
      <c r="H1964">
        <v>16197.96</v>
      </c>
      <c r="I1964">
        <v>1</v>
      </c>
      <c r="J1964">
        <v>1273.8800000000001</v>
      </c>
      <c r="K1964" t="str">
        <f t="shared" si="60"/>
        <v>August</v>
      </c>
      <c r="L1964">
        <f t="shared" si="61"/>
        <v>2026</v>
      </c>
    </row>
    <row r="1965" spans="1:12" x14ac:dyDescent="0.3">
      <c r="A1965" s="6">
        <v>46247</v>
      </c>
      <c r="B1965" t="s">
        <v>86</v>
      </c>
      <c r="C1965" t="s">
        <v>12</v>
      </c>
      <c r="D1965" t="s">
        <v>156</v>
      </c>
      <c r="E1965" t="s">
        <v>18</v>
      </c>
      <c r="F1965" t="s">
        <v>40</v>
      </c>
      <c r="G1965" t="s">
        <v>105</v>
      </c>
      <c r="H1965">
        <v>2311.59</v>
      </c>
      <c r="I1965">
        <v>1</v>
      </c>
      <c r="J1965">
        <v>-133.69999999999999</v>
      </c>
      <c r="K1965" t="str">
        <f t="shared" si="60"/>
        <v>August</v>
      </c>
      <c r="L1965">
        <f t="shared" si="61"/>
        <v>2026</v>
      </c>
    </row>
    <row r="1966" spans="1:12" x14ac:dyDescent="0.3">
      <c r="A1966" s="6">
        <v>46247</v>
      </c>
      <c r="B1966" t="s">
        <v>52</v>
      </c>
      <c r="C1966" t="s">
        <v>30</v>
      </c>
      <c r="D1966" t="s">
        <v>156</v>
      </c>
      <c r="E1966" t="s">
        <v>13</v>
      </c>
      <c r="F1966" t="s">
        <v>23</v>
      </c>
      <c r="G1966" t="s">
        <v>108</v>
      </c>
      <c r="H1966">
        <v>105029.1</v>
      </c>
      <c r="I1966">
        <v>2</v>
      </c>
      <c r="J1966">
        <v>16043.14</v>
      </c>
      <c r="K1966" t="str">
        <f t="shared" si="60"/>
        <v>August</v>
      </c>
      <c r="L1966">
        <f t="shared" si="61"/>
        <v>2026</v>
      </c>
    </row>
    <row r="1967" spans="1:12" x14ac:dyDescent="0.3">
      <c r="A1967" s="6">
        <v>46248</v>
      </c>
      <c r="B1967" t="s">
        <v>52</v>
      </c>
      <c r="C1967" t="s">
        <v>30</v>
      </c>
      <c r="D1967" t="s">
        <v>156</v>
      </c>
      <c r="E1967" t="s">
        <v>35</v>
      </c>
      <c r="F1967" t="s">
        <v>36</v>
      </c>
      <c r="G1967" t="s">
        <v>99</v>
      </c>
      <c r="H1967">
        <v>39965.24</v>
      </c>
      <c r="I1967">
        <v>1</v>
      </c>
      <c r="J1967">
        <v>8136</v>
      </c>
      <c r="K1967" t="str">
        <f t="shared" si="60"/>
        <v>August</v>
      </c>
      <c r="L1967">
        <f t="shared" si="61"/>
        <v>2026</v>
      </c>
    </row>
    <row r="1968" spans="1:12" x14ac:dyDescent="0.3">
      <c r="A1968" s="6">
        <v>46251</v>
      </c>
      <c r="B1968" t="s">
        <v>45</v>
      </c>
      <c r="C1968" t="s">
        <v>68</v>
      </c>
      <c r="D1968" t="s">
        <v>156</v>
      </c>
      <c r="E1968" t="s">
        <v>35</v>
      </c>
      <c r="F1968" t="s">
        <v>50</v>
      </c>
      <c r="G1968" t="s">
        <v>118</v>
      </c>
      <c r="H1968">
        <v>14246.34</v>
      </c>
      <c r="I1968">
        <v>2</v>
      </c>
      <c r="J1968">
        <v>2951.38</v>
      </c>
      <c r="K1968" t="str">
        <f t="shared" si="60"/>
        <v>August</v>
      </c>
      <c r="L1968">
        <f t="shared" si="61"/>
        <v>2026</v>
      </c>
    </row>
    <row r="1969" spans="1:12" x14ac:dyDescent="0.3">
      <c r="A1969" s="6">
        <v>46252</v>
      </c>
      <c r="B1969" t="s">
        <v>67</v>
      </c>
      <c r="C1969" t="s">
        <v>17</v>
      </c>
      <c r="D1969" t="s">
        <v>156</v>
      </c>
      <c r="E1969" t="s">
        <v>13</v>
      </c>
      <c r="F1969" t="s">
        <v>14</v>
      </c>
      <c r="G1969" t="s">
        <v>15</v>
      </c>
      <c r="H1969">
        <v>2085.6</v>
      </c>
      <c r="I1969">
        <v>1</v>
      </c>
      <c r="J1969">
        <v>150.81</v>
      </c>
      <c r="K1969" t="str">
        <f t="shared" si="60"/>
        <v>August</v>
      </c>
      <c r="L1969">
        <f t="shared" si="61"/>
        <v>2026</v>
      </c>
    </row>
    <row r="1970" spans="1:12" x14ac:dyDescent="0.3">
      <c r="A1970" s="6">
        <v>46252</v>
      </c>
      <c r="B1970" t="s">
        <v>21</v>
      </c>
      <c r="C1970" t="s">
        <v>30</v>
      </c>
      <c r="D1970" t="s">
        <v>156</v>
      </c>
      <c r="E1970" t="s">
        <v>26</v>
      </c>
      <c r="F1970" t="s">
        <v>53</v>
      </c>
      <c r="G1970" t="s">
        <v>96</v>
      </c>
      <c r="H1970">
        <v>65279.01</v>
      </c>
      <c r="I1970">
        <v>1</v>
      </c>
      <c r="J1970">
        <v>6998.32</v>
      </c>
      <c r="K1970" t="str">
        <f t="shared" si="60"/>
        <v>August</v>
      </c>
      <c r="L1970">
        <f t="shared" si="61"/>
        <v>2026</v>
      </c>
    </row>
    <row r="1971" spans="1:12" x14ac:dyDescent="0.3">
      <c r="A1971" s="6">
        <v>46252</v>
      </c>
      <c r="B1971" t="s">
        <v>113</v>
      </c>
      <c r="C1971" t="s">
        <v>46</v>
      </c>
      <c r="D1971" t="s">
        <v>156</v>
      </c>
      <c r="E1971" t="s">
        <v>18</v>
      </c>
      <c r="F1971" t="s">
        <v>40</v>
      </c>
      <c r="G1971" t="s">
        <v>105</v>
      </c>
      <c r="H1971">
        <v>9331.4</v>
      </c>
      <c r="I1971">
        <v>4</v>
      </c>
      <c r="J1971">
        <v>848.37</v>
      </c>
      <c r="K1971" t="str">
        <f t="shared" si="60"/>
        <v>August</v>
      </c>
      <c r="L1971">
        <f t="shared" si="61"/>
        <v>2026</v>
      </c>
    </row>
    <row r="1972" spans="1:12" x14ac:dyDescent="0.3">
      <c r="A1972" s="6">
        <v>46253</v>
      </c>
      <c r="B1972" t="s">
        <v>65</v>
      </c>
      <c r="C1972" t="s">
        <v>30</v>
      </c>
      <c r="D1972" t="s">
        <v>156</v>
      </c>
      <c r="E1972" t="s">
        <v>26</v>
      </c>
      <c r="F1972" t="s">
        <v>27</v>
      </c>
      <c r="G1972" t="s">
        <v>82</v>
      </c>
      <c r="H1972">
        <v>29616.58</v>
      </c>
      <c r="I1972">
        <v>1</v>
      </c>
      <c r="J1972">
        <v>6181.98</v>
      </c>
      <c r="K1972" t="str">
        <f t="shared" si="60"/>
        <v>August</v>
      </c>
      <c r="L1972">
        <f t="shared" si="61"/>
        <v>2026</v>
      </c>
    </row>
    <row r="1973" spans="1:12" x14ac:dyDescent="0.3">
      <c r="A1973" s="6">
        <v>46254</v>
      </c>
      <c r="B1973" t="s">
        <v>92</v>
      </c>
      <c r="C1973" t="s">
        <v>12</v>
      </c>
      <c r="D1973" t="s">
        <v>156</v>
      </c>
      <c r="E1973" t="s">
        <v>35</v>
      </c>
      <c r="F1973" t="s">
        <v>63</v>
      </c>
      <c r="G1973" t="s">
        <v>112</v>
      </c>
      <c r="H1973">
        <v>32853.550000000003</v>
      </c>
      <c r="I1973">
        <v>1</v>
      </c>
      <c r="J1973">
        <v>2906</v>
      </c>
      <c r="K1973" t="str">
        <f t="shared" si="60"/>
        <v>August</v>
      </c>
      <c r="L1973">
        <f t="shared" si="61"/>
        <v>2026</v>
      </c>
    </row>
    <row r="1974" spans="1:12" x14ac:dyDescent="0.3">
      <c r="A1974" s="6">
        <v>46254</v>
      </c>
      <c r="B1974" t="s">
        <v>52</v>
      </c>
      <c r="C1974" t="s">
        <v>12</v>
      </c>
      <c r="D1974" t="s">
        <v>156</v>
      </c>
      <c r="E1974" t="s">
        <v>42</v>
      </c>
      <c r="F1974" t="s">
        <v>90</v>
      </c>
      <c r="G1974" t="s">
        <v>97</v>
      </c>
      <c r="H1974">
        <v>2452.56</v>
      </c>
      <c r="I1974">
        <v>1</v>
      </c>
      <c r="J1974">
        <v>417.09</v>
      </c>
      <c r="K1974" t="str">
        <f t="shared" si="60"/>
        <v>August</v>
      </c>
      <c r="L1974">
        <f t="shared" si="61"/>
        <v>2026</v>
      </c>
    </row>
    <row r="1975" spans="1:12" x14ac:dyDescent="0.3">
      <c r="A1975" s="6">
        <v>46254</v>
      </c>
      <c r="B1975" t="s">
        <v>92</v>
      </c>
      <c r="C1975" t="s">
        <v>22</v>
      </c>
      <c r="D1975" t="s">
        <v>156</v>
      </c>
      <c r="E1975" t="s">
        <v>18</v>
      </c>
      <c r="F1975" t="s">
        <v>40</v>
      </c>
      <c r="G1975" t="s">
        <v>115</v>
      </c>
      <c r="H1975">
        <v>20895.63</v>
      </c>
      <c r="I1975">
        <v>2</v>
      </c>
      <c r="J1975">
        <v>1543.61</v>
      </c>
      <c r="K1975" t="str">
        <f t="shared" si="60"/>
        <v>August</v>
      </c>
      <c r="L1975">
        <f t="shared" si="61"/>
        <v>2026</v>
      </c>
    </row>
    <row r="1976" spans="1:12" x14ac:dyDescent="0.3">
      <c r="A1976" s="6">
        <v>46255</v>
      </c>
      <c r="B1976" t="s">
        <v>21</v>
      </c>
      <c r="C1976" t="s">
        <v>22</v>
      </c>
      <c r="D1976" t="s">
        <v>156</v>
      </c>
      <c r="E1976" t="s">
        <v>26</v>
      </c>
      <c r="F1976" t="s">
        <v>53</v>
      </c>
      <c r="G1976" t="s">
        <v>54</v>
      </c>
      <c r="H1976">
        <v>37527.24</v>
      </c>
      <c r="I1976">
        <v>1</v>
      </c>
      <c r="J1976">
        <v>4982.01</v>
      </c>
      <c r="K1976" t="str">
        <f t="shared" si="60"/>
        <v>August</v>
      </c>
      <c r="L1976">
        <f t="shared" si="61"/>
        <v>2026</v>
      </c>
    </row>
    <row r="1977" spans="1:12" x14ac:dyDescent="0.3">
      <c r="A1977" s="6">
        <v>46256</v>
      </c>
      <c r="B1977" t="s">
        <v>25</v>
      </c>
      <c r="C1977" t="s">
        <v>22</v>
      </c>
      <c r="D1977" t="s">
        <v>156</v>
      </c>
      <c r="E1977" t="s">
        <v>13</v>
      </c>
      <c r="F1977" t="s">
        <v>14</v>
      </c>
      <c r="G1977" t="s">
        <v>57</v>
      </c>
      <c r="H1977">
        <v>1733.76</v>
      </c>
      <c r="I1977">
        <v>1</v>
      </c>
      <c r="J1977">
        <v>174.04</v>
      </c>
      <c r="K1977" t="str">
        <f t="shared" si="60"/>
        <v>August</v>
      </c>
      <c r="L1977">
        <f t="shared" si="61"/>
        <v>2026</v>
      </c>
    </row>
    <row r="1978" spans="1:12" x14ac:dyDescent="0.3">
      <c r="A1978" s="6">
        <v>46257</v>
      </c>
      <c r="B1978" t="s">
        <v>74</v>
      </c>
      <c r="C1978" t="s">
        <v>56</v>
      </c>
      <c r="D1978" t="s">
        <v>156</v>
      </c>
      <c r="E1978" t="s">
        <v>26</v>
      </c>
      <c r="F1978" t="s">
        <v>27</v>
      </c>
      <c r="G1978" t="s">
        <v>31</v>
      </c>
      <c r="H1978">
        <v>18662.55</v>
      </c>
      <c r="I1978">
        <v>2</v>
      </c>
      <c r="J1978">
        <v>1410.68</v>
      </c>
      <c r="K1978" t="str">
        <f t="shared" si="60"/>
        <v>August</v>
      </c>
      <c r="L1978">
        <f t="shared" si="61"/>
        <v>2026</v>
      </c>
    </row>
    <row r="1979" spans="1:12" x14ac:dyDescent="0.3">
      <c r="A1979" s="6">
        <v>46257</v>
      </c>
      <c r="B1979" t="s">
        <v>34</v>
      </c>
      <c r="C1979" t="s">
        <v>69</v>
      </c>
      <c r="D1979" t="s">
        <v>156</v>
      </c>
      <c r="E1979" t="s">
        <v>18</v>
      </c>
      <c r="F1979" t="s">
        <v>19</v>
      </c>
      <c r="G1979" t="s">
        <v>59</v>
      </c>
      <c r="H1979">
        <v>47440.89</v>
      </c>
      <c r="I1979">
        <v>1</v>
      </c>
      <c r="J1979">
        <v>7368.32</v>
      </c>
      <c r="K1979" t="str">
        <f t="shared" si="60"/>
        <v>August</v>
      </c>
      <c r="L1979">
        <f t="shared" si="61"/>
        <v>2026</v>
      </c>
    </row>
    <row r="1980" spans="1:12" x14ac:dyDescent="0.3">
      <c r="A1980" s="6">
        <v>46258</v>
      </c>
      <c r="B1980" t="s">
        <v>25</v>
      </c>
      <c r="C1980" t="s">
        <v>22</v>
      </c>
      <c r="D1980" t="s">
        <v>156</v>
      </c>
      <c r="E1980" t="s">
        <v>18</v>
      </c>
      <c r="F1980" t="s">
        <v>19</v>
      </c>
      <c r="G1980" t="s">
        <v>20</v>
      </c>
      <c r="H1980">
        <v>57105.17</v>
      </c>
      <c r="I1980">
        <v>1</v>
      </c>
      <c r="J1980">
        <v>12124.25</v>
      </c>
      <c r="K1980" t="str">
        <f t="shared" si="60"/>
        <v>August</v>
      </c>
      <c r="L1980">
        <f t="shared" si="61"/>
        <v>2026</v>
      </c>
    </row>
    <row r="1981" spans="1:12" x14ac:dyDescent="0.3">
      <c r="A1981" s="6">
        <v>46258</v>
      </c>
      <c r="B1981" t="s">
        <v>92</v>
      </c>
      <c r="C1981" t="s">
        <v>58</v>
      </c>
      <c r="D1981" t="s">
        <v>156</v>
      </c>
      <c r="E1981" t="s">
        <v>13</v>
      </c>
      <c r="F1981" t="s">
        <v>23</v>
      </c>
      <c r="G1981" t="s">
        <v>47</v>
      </c>
      <c r="H1981">
        <v>126795.08</v>
      </c>
      <c r="I1981">
        <v>2</v>
      </c>
      <c r="J1981">
        <v>13182.19</v>
      </c>
      <c r="K1981" t="str">
        <f t="shared" si="60"/>
        <v>August</v>
      </c>
      <c r="L1981">
        <f t="shared" si="61"/>
        <v>2026</v>
      </c>
    </row>
    <row r="1982" spans="1:12" x14ac:dyDescent="0.3">
      <c r="A1982" s="6">
        <v>46258</v>
      </c>
      <c r="B1982" t="s">
        <v>65</v>
      </c>
      <c r="C1982" t="s">
        <v>58</v>
      </c>
      <c r="D1982" t="s">
        <v>156</v>
      </c>
      <c r="E1982" t="s">
        <v>13</v>
      </c>
      <c r="F1982" t="s">
        <v>23</v>
      </c>
      <c r="G1982" t="s">
        <v>77</v>
      </c>
      <c r="H1982">
        <v>34784.14</v>
      </c>
      <c r="I1982">
        <v>1</v>
      </c>
      <c r="J1982">
        <v>5887.54</v>
      </c>
      <c r="K1982" t="str">
        <f t="shared" si="60"/>
        <v>August</v>
      </c>
      <c r="L1982">
        <f t="shared" si="61"/>
        <v>2026</v>
      </c>
    </row>
    <row r="1983" spans="1:12" x14ac:dyDescent="0.3">
      <c r="A1983" s="6">
        <v>46258</v>
      </c>
      <c r="B1983" t="s">
        <v>48</v>
      </c>
      <c r="C1983" t="s">
        <v>61</v>
      </c>
      <c r="D1983" t="s">
        <v>156</v>
      </c>
      <c r="E1983" t="s">
        <v>13</v>
      </c>
      <c r="F1983" t="s">
        <v>14</v>
      </c>
      <c r="G1983" t="s">
        <v>70</v>
      </c>
      <c r="H1983">
        <v>2742.58</v>
      </c>
      <c r="I1983">
        <v>1</v>
      </c>
      <c r="J1983">
        <v>232.48</v>
      </c>
      <c r="K1983" t="str">
        <f t="shared" si="60"/>
        <v>August</v>
      </c>
      <c r="L1983">
        <f t="shared" si="61"/>
        <v>2026</v>
      </c>
    </row>
    <row r="1984" spans="1:12" x14ac:dyDescent="0.3">
      <c r="A1984" s="6">
        <v>46259</v>
      </c>
      <c r="B1984" t="s">
        <v>34</v>
      </c>
      <c r="C1984" t="s">
        <v>68</v>
      </c>
      <c r="D1984" t="s">
        <v>156</v>
      </c>
      <c r="E1984" t="s">
        <v>18</v>
      </c>
      <c r="F1984" t="s">
        <v>40</v>
      </c>
      <c r="G1984" t="s">
        <v>115</v>
      </c>
      <c r="H1984">
        <v>10699.73</v>
      </c>
      <c r="I1984">
        <v>1</v>
      </c>
      <c r="J1984">
        <v>-237.57</v>
      </c>
      <c r="K1984" t="str">
        <f t="shared" si="60"/>
        <v>August</v>
      </c>
      <c r="L1984">
        <f t="shared" si="61"/>
        <v>2026</v>
      </c>
    </row>
    <row r="1985" spans="1:12" x14ac:dyDescent="0.3">
      <c r="A1985" s="6">
        <v>46259</v>
      </c>
      <c r="B1985" t="s">
        <v>55</v>
      </c>
      <c r="C1985" t="s">
        <v>30</v>
      </c>
      <c r="D1985" t="s">
        <v>156</v>
      </c>
      <c r="E1985" t="s">
        <v>13</v>
      </c>
      <c r="F1985" t="s">
        <v>14</v>
      </c>
      <c r="G1985" t="s">
        <v>57</v>
      </c>
      <c r="H1985">
        <v>7029.82</v>
      </c>
      <c r="I1985">
        <v>4</v>
      </c>
      <c r="J1985">
        <v>1370</v>
      </c>
      <c r="K1985" t="str">
        <f t="shared" si="60"/>
        <v>August</v>
      </c>
      <c r="L1985">
        <f t="shared" si="61"/>
        <v>2026</v>
      </c>
    </row>
    <row r="1986" spans="1:12" x14ac:dyDescent="0.3">
      <c r="A1986" s="6">
        <v>46259</v>
      </c>
      <c r="B1986" t="s">
        <v>16</v>
      </c>
      <c r="C1986" t="s">
        <v>61</v>
      </c>
      <c r="D1986" t="s">
        <v>156</v>
      </c>
      <c r="E1986" t="s">
        <v>26</v>
      </c>
      <c r="F1986" t="s">
        <v>27</v>
      </c>
      <c r="G1986" t="s">
        <v>82</v>
      </c>
      <c r="H1986">
        <v>31117.94</v>
      </c>
      <c r="I1986">
        <v>1</v>
      </c>
      <c r="J1986">
        <v>2647.49</v>
      </c>
      <c r="K1986" t="str">
        <f t="shared" si="60"/>
        <v>August</v>
      </c>
      <c r="L1986">
        <f t="shared" si="61"/>
        <v>2026</v>
      </c>
    </row>
    <row r="1987" spans="1:12" x14ac:dyDescent="0.3">
      <c r="A1987" s="6">
        <v>46261</v>
      </c>
      <c r="B1987" t="s">
        <v>113</v>
      </c>
      <c r="C1987" t="s">
        <v>46</v>
      </c>
      <c r="D1987" t="s">
        <v>156</v>
      </c>
      <c r="E1987" t="s">
        <v>26</v>
      </c>
      <c r="F1987" t="s">
        <v>53</v>
      </c>
      <c r="G1987" t="s">
        <v>96</v>
      </c>
      <c r="H1987">
        <v>121035.96</v>
      </c>
      <c r="I1987">
        <v>2</v>
      </c>
      <c r="J1987">
        <v>25835.73</v>
      </c>
      <c r="K1987" t="str">
        <f t="shared" ref="K1987:K2001" si="62">TEXT(A1987,"mmmm")</f>
        <v>August</v>
      </c>
      <c r="L1987">
        <f t="shared" ref="L1987:L2001" si="63">YEAR(A1987)</f>
        <v>2026</v>
      </c>
    </row>
    <row r="1988" spans="1:12" x14ac:dyDescent="0.3">
      <c r="A1988" s="6">
        <v>46261</v>
      </c>
      <c r="B1988" t="s">
        <v>45</v>
      </c>
      <c r="C1988" t="s">
        <v>58</v>
      </c>
      <c r="D1988" t="s">
        <v>156</v>
      </c>
      <c r="E1988" t="s">
        <v>13</v>
      </c>
      <c r="F1988" t="s">
        <v>23</v>
      </c>
      <c r="G1988" t="s">
        <v>47</v>
      </c>
      <c r="H1988">
        <v>67878.42</v>
      </c>
      <c r="I1988">
        <v>1</v>
      </c>
      <c r="J1988">
        <v>6254.66</v>
      </c>
      <c r="K1988" t="str">
        <f t="shared" si="62"/>
        <v>August</v>
      </c>
      <c r="L1988">
        <f t="shared" si="63"/>
        <v>2026</v>
      </c>
    </row>
    <row r="1989" spans="1:12" x14ac:dyDescent="0.3">
      <c r="A1989" s="6">
        <v>46261</v>
      </c>
      <c r="B1989" t="s">
        <v>103</v>
      </c>
      <c r="C1989" t="s">
        <v>56</v>
      </c>
      <c r="D1989" t="s">
        <v>156</v>
      </c>
      <c r="E1989" t="s">
        <v>13</v>
      </c>
      <c r="F1989" t="s">
        <v>14</v>
      </c>
      <c r="G1989" t="s">
        <v>88</v>
      </c>
      <c r="H1989">
        <v>1343.46</v>
      </c>
      <c r="I1989">
        <v>1</v>
      </c>
      <c r="J1989">
        <v>271.61</v>
      </c>
      <c r="K1989" t="str">
        <f t="shared" si="62"/>
        <v>August</v>
      </c>
      <c r="L1989">
        <f t="shared" si="63"/>
        <v>2026</v>
      </c>
    </row>
    <row r="1990" spans="1:12" x14ac:dyDescent="0.3">
      <c r="A1990" s="6">
        <v>46261</v>
      </c>
      <c r="B1990" t="s">
        <v>78</v>
      </c>
      <c r="C1990" t="s">
        <v>66</v>
      </c>
      <c r="D1990" t="s">
        <v>156</v>
      </c>
      <c r="E1990" t="s">
        <v>35</v>
      </c>
      <c r="F1990" t="s">
        <v>36</v>
      </c>
      <c r="G1990" t="s">
        <v>99</v>
      </c>
      <c r="H1990">
        <v>106895.32</v>
      </c>
      <c r="I1990">
        <v>3</v>
      </c>
      <c r="J1990">
        <v>22591.599999999999</v>
      </c>
      <c r="K1990" t="str">
        <f t="shared" si="62"/>
        <v>August</v>
      </c>
      <c r="L1990">
        <f t="shared" si="63"/>
        <v>2026</v>
      </c>
    </row>
    <row r="1991" spans="1:12" x14ac:dyDescent="0.3">
      <c r="A1991" s="6">
        <v>46261</v>
      </c>
      <c r="B1991" t="s">
        <v>55</v>
      </c>
      <c r="C1991" t="s">
        <v>12</v>
      </c>
      <c r="D1991" t="s">
        <v>156</v>
      </c>
      <c r="E1991" t="s">
        <v>13</v>
      </c>
      <c r="F1991" t="s">
        <v>14</v>
      </c>
      <c r="G1991" t="s">
        <v>70</v>
      </c>
      <c r="H1991">
        <v>2523.73</v>
      </c>
      <c r="I1991">
        <v>1</v>
      </c>
      <c r="J1991">
        <v>343.76</v>
      </c>
      <c r="K1991" t="str">
        <f t="shared" si="62"/>
        <v>August</v>
      </c>
      <c r="L1991">
        <f t="shared" si="63"/>
        <v>2026</v>
      </c>
    </row>
    <row r="1992" spans="1:12" x14ac:dyDescent="0.3">
      <c r="A1992" s="6">
        <v>46262</v>
      </c>
      <c r="B1992" t="s">
        <v>55</v>
      </c>
      <c r="C1992" t="s">
        <v>69</v>
      </c>
      <c r="D1992" t="s">
        <v>156</v>
      </c>
      <c r="E1992" t="s">
        <v>18</v>
      </c>
      <c r="F1992" t="s">
        <v>19</v>
      </c>
      <c r="G1992" t="s">
        <v>33</v>
      </c>
      <c r="H1992">
        <v>55867.35</v>
      </c>
      <c r="I1992">
        <v>1</v>
      </c>
      <c r="J1992">
        <v>7291.91</v>
      </c>
      <c r="K1992" t="str">
        <f t="shared" si="62"/>
        <v>August</v>
      </c>
      <c r="L1992">
        <f t="shared" si="63"/>
        <v>2026</v>
      </c>
    </row>
    <row r="1993" spans="1:12" x14ac:dyDescent="0.3">
      <c r="A1993" s="6">
        <v>46262</v>
      </c>
      <c r="B1993" t="s">
        <v>48</v>
      </c>
      <c r="C1993" t="s">
        <v>12</v>
      </c>
      <c r="D1993" t="s">
        <v>156</v>
      </c>
      <c r="E1993" t="s">
        <v>26</v>
      </c>
      <c r="F1993" t="s">
        <v>53</v>
      </c>
      <c r="G1993" t="s">
        <v>100</v>
      </c>
      <c r="H1993">
        <v>87409.97</v>
      </c>
      <c r="I1993">
        <v>1</v>
      </c>
      <c r="J1993">
        <v>17956.759999999998</v>
      </c>
      <c r="K1993" t="str">
        <f t="shared" si="62"/>
        <v>August</v>
      </c>
      <c r="L1993">
        <f t="shared" si="63"/>
        <v>2026</v>
      </c>
    </row>
    <row r="1994" spans="1:12" x14ac:dyDescent="0.3">
      <c r="A1994" s="6">
        <v>46263</v>
      </c>
      <c r="B1994" t="s">
        <v>55</v>
      </c>
      <c r="C1994" t="s">
        <v>17</v>
      </c>
      <c r="D1994" t="s">
        <v>156</v>
      </c>
      <c r="E1994" t="s">
        <v>26</v>
      </c>
      <c r="F1994" t="s">
        <v>27</v>
      </c>
      <c r="G1994" t="s">
        <v>82</v>
      </c>
      <c r="H1994">
        <v>117891.26</v>
      </c>
      <c r="I1994">
        <v>4</v>
      </c>
      <c r="J1994">
        <v>17177.72</v>
      </c>
      <c r="K1994" t="str">
        <f t="shared" si="62"/>
        <v>August</v>
      </c>
      <c r="L1994">
        <f t="shared" si="63"/>
        <v>2026</v>
      </c>
    </row>
    <row r="1995" spans="1:12" x14ac:dyDescent="0.3">
      <c r="A1995" s="6">
        <v>46263</v>
      </c>
      <c r="B1995" t="s">
        <v>78</v>
      </c>
      <c r="C1995" t="s">
        <v>58</v>
      </c>
      <c r="D1995" t="s">
        <v>156</v>
      </c>
      <c r="E1995" t="s">
        <v>35</v>
      </c>
      <c r="F1995" t="s">
        <v>50</v>
      </c>
      <c r="G1995" t="s">
        <v>51</v>
      </c>
      <c r="H1995">
        <v>8979.67</v>
      </c>
      <c r="I1995">
        <v>1</v>
      </c>
      <c r="J1995">
        <v>1039.3</v>
      </c>
      <c r="K1995" t="str">
        <f t="shared" si="62"/>
        <v>August</v>
      </c>
      <c r="L1995">
        <f t="shared" si="63"/>
        <v>2026</v>
      </c>
    </row>
    <row r="1996" spans="1:12" x14ac:dyDescent="0.3">
      <c r="A1996" s="6">
        <v>46263</v>
      </c>
      <c r="B1996" t="s">
        <v>78</v>
      </c>
      <c r="C1996" t="s">
        <v>61</v>
      </c>
      <c r="D1996" t="s">
        <v>156</v>
      </c>
      <c r="E1996" t="s">
        <v>42</v>
      </c>
      <c r="F1996" t="s">
        <v>90</v>
      </c>
      <c r="G1996" t="s">
        <v>120</v>
      </c>
      <c r="H1996">
        <v>11359.77</v>
      </c>
      <c r="I1996">
        <v>2</v>
      </c>
      <c r="J1996">
        <v>1007.65</v>
      </c>
      <c r="K1996" t="str">
        <f t="shared" si="62"/>
        <v>August</v>
      </c>
      <c r="L1996">
        <f t="shared" si="63"/>
        <v>2026</v>
      </c>
    </row>
    <row r="1997" spans="1:12" x14ac:dyDescent="0.3">
      <c r="A1997" s="6">
        <v>46264</v>
      </c>
      <c r="B1997" t="s">
        <v>71</v>
      </c>
      <c r="C1997" t="s">
        <v>62</v>
      </c>
      <c r="D1997" t="s">
        <v>156</v>
      </c>
      <c r="E1997" t="s">
        <v>13</v>
      </c>
      <c r="F1997" t="s">
        <v>23</v>
      </c>
      <c r="G1997" t="s">
        <v>108</v>
      </c>
      <c r="H1997">
        <v>106545.19</v>
      </c>
      <c r="I1997">
        <v>2</v>
      </c>
      <c r="J1997">
        <v>13362.38</v>
      </c>
      <c r="K1997" t="str">
        <f t="shared" si="62"/>
        <v>August</v>
      </c>
      <c r="L1997">
        <f t="shared" si="63"/>
        <v>2026</v>
      </c>
    </row>
    <row r="1998" spans="1:12" x14ac:dyDescent="0.3">
      <c r="A1998" s="6">
        <v>46264</v>
      </c>
      <c r="B1998" t="s">
        <v>67</v>
      </c>
      <c r="C1998" t="s">
        <v>69</v>
      </c>
      <c r="D1998" t="s">
        <v>156</v>
      </c>
      <c r="E1998" t="s">
        <v>13</v>
      </c>
      <c r="F1998" t="s">
        <v>14</v>
      </c>
      <c r="G1998" t="s">
        <v>111</v>
      </c>
      <c r="H1998">
        <v>1683.43</v>
      </c>
      <c r="I1998">
        <v>1</v>
      </c>
      <c r="J1998">
        <v>281.27999999999997</v>
      </c>
      <c r="K1998" t="str">
        <f t="shared" si="62"/>
        <v>August</v>
      </c>
      <c r="L1998">
        <f t="shared" si="63"/>
        <v>2026</v>
      </c>
    </row>
    <row r="1999" spans="1:12" x14ac:dyDescent="0.3">
      <c r="A1999" s="6">
        <v>46264</v>
      </c>
      <c r="B1999" t="s">
        <v>113</v>
      </c>
      <c r="C1999" t="s">
        <v>39</v>
      </c>
      <c r="D1999" t="s">
        <v>156</v>
      </c>
      <c r="E1999" t="s">
        <v>35</v>
      </c>
      <c r="F1999" t="s">
        <v>36</v>
      </c>
      <c r="G1999" t="s">
        <v>84</v>
      </c>
      <c r="H1999">
        <v>60381.27</v>
      </c>
      <c r="I1999">
        <v>2</v>
      </c>
      <c r="J1999">
        <v>13186.15</v>
      </c>
      <c r="K1999" t="str">
        <f t="shared" si="62"/>
        <v>August</v>
      </c>
      <c r="L1999">
        <f t="shared" si="63"/>
        <v>2026</v>
      </c>
    </row>
    <row r="2000" spans="1:12" x14ac:dyDescent="0.3">
      <c r="A2000" s="6">
        <v>46264</v>
      </c>
      <c r="B2000" t="s">
        <v>95</v>
      </c>
      <c r="C2000" t="s">
        <v>61</v>
      </c>
      <c r="D2000" t="s">
        <v>156</v>
      </c>
      <c r="E2000" t="s">
        <v>26</v>
      </c>
      <c r="F2000" t="s">
        <v>27</v>
      </c>
      <c r="G2000" t="s">
        <v>28</v>
      </c>
      <c r="H2000">
        <v>24141.919999999998</v>
      </c>
      <c r="I2000">
        <v>1</v>
      </c>
      <c r="J2000">
        <v>4477.3100000000004</v>
      </c>
      <c r="K2000" t="str">
        <f t="shared" si="62"/>
        <v>August</v>
      </c>
      <c r="L2000">
        <f t="shared" si="63"/>
        <v>2026</v>
      </c>
    </row>
    <row r="2001" spans="1:12" x14ac:dyDescent="0.3">
      <c r="A2001" s="6">
        <v>46264</v>
      </c>
      <c r="B2001" t="s">
        <v>92</v>
      </c>
      <c r="C2001" t="s">
        <v>22</v>
      </c>
      <c r="D2001" t="s">
        <v>156</v>
      </c>
      <c r="E2001" t="s">
        <v>42</v>
      </c>
      <c r="F2001" t="s">
        <v>43</v>
      </c>
      <c r="G2001" t="s">
        <v>89</v>
      </c>
      <c r="H2001">
        <v>33896.58</v>
      </c>
      <c r="I2001">
        <v>1</v>
      </c>
      <c r="J2001">
        <v>4648.9399999999996</v>
      </c>
      <c r="K2001" t="str">
        <f t="shared" si="62"/>
        <v>August</v>
      </c>
      <c r="L2001">
        <f t="shared" si="63"/>
        <v>2026</v>
      </c>
    </row>
  </sheetData>
  <autoFilter ref="A1:L20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3A3C-F107-457B-97B1-FE845B6DF957}">
  <dimension ref="A1:AI116"/>
  <sheetViews>
    <sheetView topLeftCell="T1" zoomScale="127" workbookViewId="0">
      <selection activeCell="Z13" sqref="Z13"/>
    </sheetView>
  </sheetViews>
  <sheetFormatPr defaultRowHeight="14.4" x14ac:dyDescent="0.3"/>
  <cols>
    <col min="1" max="1" width="16.88671875" bestFit="1" customWidth="1"/>
    <col min="3" max="3" width="12.5546875" bestFit="1" customWidth="1"/>
    <col min="4" max="4" width="12.33203125" bestFit="1" customWidth="1"/>
    <col min="5" max="5" width="16.109375" bestFit="1" customWidth="1"/>
    <col min="6" max="6" width="20.5546875" bestFit="1" customWidth="1"/>
    <col min="7" max="7" width="15.6640625" bestFit="1" customWidth="1"/>
    <col min="8" max="8" width="19.109375" bestFit="1" customWidth="1"/>
    <col min="9" max="9" width="12.21875" bestFit="1" customWidth="1"/>
    <col min="12" max="12" width="19.21875" bestFit="1" customWidth="1"/>
    <col min="13" max="13" width="12.33203125" bestFit="1" customWidth="1"/>
    <col min="15" max="15" width="19.21875" bestFit="1" customWidth="1"/>
    <col min="16" max="16" width="12.33203125" bestFit="1" customWidth="1"/>
    <col min="18" max="18" width="14.6640625" bestFit="1" customWidth="1"/>
    <col min="19" max="19" width="5" bestFit="1" customWidth="1"/>
    <col min="21" max="21" width="12.5546875" bestFit="1" customWidth="1"/>
    <col min="22" max="22" width="22.6640625" bestFit="1" customWidth="1"/>
    <col min="24" max="24" width="19" bestFit="1" customWidth="1"/>
    <col min="25" max="25" width="11.6640625" bestFit="1" customWidth="1"/>
    <col min="26" max="26" width="15.6640625" bestFit="1" customWidth="1"/>
    <col min="27" max="27" width="15.88671875" bestFit="1" customWidth="1"/>
    <col min="28" max="29" width="11.33203125" bestFit="1" customWidth="1"/>
    <col min="30" max="30" width="11.44140625" customWidth="1"/>
    <col min="31" max="31" width="12.5546875" bestFit="1" customWidth="1"/>
    <col min="32" max="32" width="12.109375" bestFit="1" customWidth="1"/>
    <col min="34" max="34" width="12.5546875" bestFit="1" customWidth="1"/>
    <col min="35" max="36" width="12.33203125" bestFit="1" customWidth="1"/>
  </cols>
  <sheetData>
    <row r="1" spans="1:35" x14ac:dyDescent="0.3">
      <c r="A1" s="11"/>
      <c r="R1" s="1" t="s">
        <v>1</v>
      </c>
      <c r="S1" s="1" t="s">
        <v>10</v>
      </c>
    </row>
    <row r="2" spans="1:35" x14ac:dyDescent="0.3">
      <c r="A2" s="10" t="s">
        <v>132</v>
      </c>
      <c r="B2" s="15" t="s">
        <v>154</v>
      </c>
      <c r="C2" s="15"/>
      <c r="D2" s="15"/>
      <c r="E2" s="15"/>
      <c r="F2" s="15"/>
      <c r="G2" s="15"/>
      <c r="H2" s="15"/>
      <c r="I2" s="15"/>
      <c r="L2" s="15" t="s">
        <v>136</v>
      </c>
      <c r="M2" s="15"/>
      <c r="R2" t="s">
        <v>11</v>
      </c>
      <c r="S2">
        <v>2023</v>
      </c>
      <c r="U2" s="15" t="s">
        <v>138</v>
      </c>
      <c r="V2" s="15"/>
      <c r="X2" s="15" t="s">
        <v>139</v>
      </c>
      <c r="Y2" s="15"/>
    </row>
    <row r="3" spans="1:35" x14ac:dyDescent="0.3">
      <c r="A3" s="9" t="s">
        <v>130</v>
      </c>
      <c r="C3" s="7" t="s">
        <v>134</v>
      </c>
      <c r="D3" t="s">
        <v>131</v>
      </c>
      <c r="L3" s="7" t="s">
        <v>134</v>
      </c>
      <c r="M3" t="s">
        <v>130</v>
      </c>
      <c r="O3" t="s">
        <v>3</v>
      </c>
      <c r="P3" t="s">
        <v>6</v>
      </c>
      <c r="R3" t="s">
        <v>16</v>
      </c>
      <c r="S3">
        <v>2023</v>
      </c>
      <c r="U3" s="7" t="s">
        <v>134</v>
      </c>
      <c r="V3" t="s">
        <v>137</v>
      </c>
      <c r="X3" s="7" t="s">
        <v>134</v>
      </c>
      <c r="Y3" t="s">
        <v>130</v>
      </c>
      <c r="AA3" t="s">
        <v>2</v>
      </c>
      <c r="AB3" t="s">
        <v>6</v>
      </c>
      <c r="AE3" s="15" t="s">
        <v>140</v>
      </c>
      <c r="AF3" s="15"/>
      <c r="AH3" s="15" t="s">
        <v>141</v>
      </c>
      <c r="AI3" s="15"/>
    </row>
    <row r="4" spans="1:35" x14ac:dyDescent="0.3">
      <c r="A4" s="12">
        <v>107515188.76000004</v>
      </c>
      <c r="C4" s="8">
        <v>2023</v>
      </c>
      <c r="D4" s="17">
        <v>3403602.7900000014</v>
      </c>
      <c r="L4" s="8" t="s">
        <v>19</v>
      </c>
      <c r="M4" s="17">
        <v>26652844.450000007</v>
      </c>
      <c r="O4" t="str">
        <f>L4</f>
        <v>Laptops</v>
      </c>
      <c r="P4">
        <f>GETPIVOTDATA("Sales",$L$3,"Sub-Category",L4)</f>
        <v>26652844.450000007</v>
      </c>
      <c r="R4" t="s">
        <v>21</v>
      </c>
      <c r="S4">
        <v>2023</v>
      </c>
      <c r="U4" s="8">
        <v>2023</v>
      </c>
      <c r="V4" s="17">
        <v>30</v>
      </c>
      <c r="X4" s="8" t="s">
        <v>156</v>
      </c>
      <c r="Y4" s="16">
        <v>107515188.76000001</v>
      </c>
      <c r="AA4" s="13" t="s">
        <v>56</v>
      </c>
      <c r="AB4">
        <f>SUMIF($X$5:$X$19,AA4,$Y$5:$Y$19)</f>
        <v>6363403.3099999996</v>
      </c>
      <c r="AE4" s="7" t="s">
        <v>134</v>
      </c>
      <c r="AF4" t="s">
        <v>131</v>
      </c>
      <c r="AH4" s="7" t="s">
        <v>134</v>
      </c>
      <c r="AI4" t="s">
        <v>130</v>
      </c>
    </row>
    <row r="5" spans="1:35" x14ac:dyDescent="0.3">
      <c r="C5" s="8">
        <v>2024</v>
      </c>
      <c r="D5" s="17">
        <v>3169428.4000000022</v>
      </c>
      <c r="L5" s="8" t="s">
        <v>53</v>
      </c>
      <c r="M5" s="17">
        <v>21800680.039999999</v>
      </c>
      <c r="O5" t="str">
        <f t="shared" ref="O5:O15" si="0">L5</f>
        <v>Televisions</v>
      </c>
      <c r="P5">
        <f t="shared" ref="P5:P15" si="1">GETPIVOTDATA("Sales",$L$3,"Sub-Category",L5)</f>
        <v>21800680.039999999</v>
      </c>
      <c r="R5" t="s">
        <v>25</v>
      </c>
      <c r="S5">
        <v>2023</v>
      </c>
      <c r="U5" s="8">
        <v>2024</v>
      </c>
      <c r="V5" s="17">
        <v>30</v>
      </c>
      <c r="X5" s="13" t="s">
        <v>56</v>
      </c>
      <c r="Y5" s="16">
        <v>6363403.3099999996</v>
      </c>
      <c r="AA5" s="13" t="s">
        <v>62</v>
      </c>
      <c r="AB5">
        <f t="shared" ref="AB5:AB18" si="2">SUMIF($X$5:$X$19,AA5,$Y$5:$Y$19)</f>
        <v>9530722.4099999964</v>
      </c>
      <c r="AE5" s="8" t="s">
        <v>80</v>
      </c>
      <c r="AF5" s="17">
        <v>764250.7200000002</v>
      </c>
      <c r="AH5" s="8" t="s">
        <v>142</v>
      </c>
      <c r="AI5" s="14">
        <v>8520512.910000002</v>
      </c>
    </row>
    <row r="6" spans="1:35" x14ac:dyDescent="0.3">
      <c r="A6" s="10" t="s">
        <v>133</v>
      </c>
      <c r="C6" s="8">
        <v>2025</v>
      </c>
      <c r="D6" s="17">
        <v>3022157.5400000005</v>
      </c>
      <c r="L6" s="8" t="s">
        <v>23</v>
      </c>
      <c r="M6" s="17">
        <v>21197184.720000003</v>
      </c>
      <c r="O6" t="str">
        <f t="shared" si="0"/>
        <v>Smartphones</v>
      </c>
      <c r="P6">
        <f t="shared" si="1"/>
        <v>21197184.720000003</v>
      </c>
      <c r="R6" t="s">
        <v>29</v>
      </c>
      <c r="S6">
        <v>2023</v>
      </c>
      <c r="U6" s="8">
        <v>2025</v>
      </c>
      <c r="V6" s="17">
        <v>30</v>
      </c>
      <c r="X6" s="13" t="s">
        <v>62</v>
      </c>
      <c r="Y6" s="16">
        <v>9530722.4099999964</v>
      </c>
      <c r="AA6" s="13" t="s">
        <v>22</v>
      </c>
      <c r="AB6">
        <f t="shared" si="2"/>
        <v>7115530.1599999992</v>
      </c>
      <c r="AE6" s="8" t="s">
        <v>65</v>
      </c>
      <c r="AF6" s="17">
        <v>599053.62999999977</v>
      </c>
      <c r="AH6" s="8" t="s">
        <v>143</v>
      </c>
      <c r="AI6" s="14">
        <v>10623287.26</v>
      </c>
    </row>
    <row r="7" spans="1:35" x14ac:dyDescent="0.3">
      <c r="A7" s="9" t="s">
        <v>131</v>
      </c>
      <c r="C7" s="8">
        <v>2026</v>
      </c>
      <c r="D7" s="17">
        <v>3519300.9799999986</v>
      </c>
      <c r="L7" s="8" t="s">
        <v>75</v>
      </c>
      <c r="M7" s="17">
        <v>8015376.3099999987</v>
      </c>
      <c r="O7" t="str">
        <f t="shared" si="0"/>
        <v>Air Conditioners</v>
      </c>
      <c r="P7">
        <f t="shared" si="1"/>
        <v>8015376.3099999987</v>
      </c>
      <c r="R7" t="s">
        <v>32</v>
      </c>
      <c r="S7">
        <v>2023</v>
      </c>
      <c r="U7" s="8">
        <v>2026</v>
      </c>
      <c r="V7" s="17">
        <v>25</v>
      </c>
      <c r="X7" s="13" t="s">
        <v>22</v>
      </c>
      <c r="Y7" s="16">
        <v>7115530.1599999992</v>
      </c>
      <c r="AA7" s="13" t="s">
        <v>30</v>
      </c>
      <c r="AB7">
        <f t="shared" si="2"/>
        <v>5464564.2900000019</v>
      </c>
      <c r="AE7" s="8" t="s">
        <v>78</v>
      </c>
      <c r="AF7" s="17">
        <v>591977.54</v>
      </c>
      <c r="AH7" s="8" t="s">
        <v>144</v>
      </c>
      <c r="AI7" s="14">
        <v>11450374.209999997</v>
      </c>
    </row>
    <row r="8" spans="1:35" x14ac:dyDescent="0.3">
      <c r="A8" s="12">
        <v>13114489.710000005</v>
      </c>
      <c r="C8" s="8" t="s">
        <v>135</v>
      </c>
      <c r="D8" s="17">
        <v>13114489.710000003</v>
      </c>
      <c r="L8" s="8" t="s">
        <v>27</v>
      </c>
      <c r="M8" s="17">
        <v>6905994.3000000026</v>
      </c>
      <c r="O8" t="str">
        <f t="shared" si="0"/>
        <v>Audio</v>
      </c>
      <c r="P8">
        <f t="shared" si="1"/>
        <v>6905994.3000000026</v>
      </c>
      <c r="R8" t="s">
        <v>34</v>
      </c>
      <c r="S8">
        <v>2023</v>
      </c>
      <c r="U8" s="8" t="s">
        <v>135</v>
      </c>
      <c r="V8" s="17">
        <v>115</v>
      </c>
      <c r="X8" s="13" t="s">
        <v>30</v>
      </c>
      <c r="Y8" s="16">
        <v>5464564.2900000019</v>
      </c>
      <c r="AA8" s="13" t="s">
        <v>49</v>
      </c>
      <c r="AB8">
        <f t="shared" si="2"/>
        <v>6806557.5900000008</v>
      </c>
      <c r="AE8" s="8" t="s">
        <v>25</v>
      </c>
      <c r="AF8" s="17">
        <v>569352.10000000021</v>
      </c>
      <c r="AH8" s="8" t="s">
        <v>145</v>
      </c>
      <c r="AI8" s="14">
        <v>10279336.609999994</v>
      </c>
    </row>
    <row r="9" spans="1:35" x14ac:dyDescent="0.3">
      <c r="L9" s="8" t="s">
        <v>43</v>
      </c>
      <c r="M9" s="17">
        <v>6871227.3500000006</v>
      </c>
      <c r="O9" t="str">
        <f t="shared" si="0"/>
        <v>Home Care</v>
      </c>
      <c r="P9">
        <f t="shared" si="1"/>
        <v>6871227.3500000006</v>
      </c>
      <c r="R9" t="s">
        <v>38</v>
      </c>
      <c r="S9">
        <v>2023</v>
      </c>
      <c r="X9" s="13" t="s">
        <v>49</v>
      </c>
      <c r="Y9" s="16">
        <v>6806557.5900000008</v>
      </c>
      <c r="AA9" s="13" t="s">
        <v>61</v>
      </c>
      <c r="AB9">
        <f t="shared" si="2"/>
        <v>6478106.9100000001</v>
      </c>
      <c r="AE9" s="8" t="s">
        <v>21</v>
      </c>
      <c r="AF9" s="17">
        <v>548449.18999999983</v>
      </c>
      <c r="AH9" s="8" t="s">
        <v>146</v>
      </c>
      <c r="AI9" s="14">
        <v>10284989.230000002</v>
      </c>
    </row>
    <row r="10" spans="1:35" x14ac:dyDescent="0.3">
      <c r="L10" s="8" t="s">
        <v>63</v>
      </c>
      <c r="M10" s="17">
        <v>5404828.5700000012</v>
      </c>
      <c r="O10" t="str">
        <f t="shared" si="0"/>
        <v>Refrigerators</v>
      </c>
      <c r="P10">
        <f t="shared" si="1"/>
        <v>5404828.5700000012</v>
      </c>
      <c r="R10" t="s">
        <v>45</v>
      </c>
      <c r="S10">
        <v>2023</v>
      </c>
      <c r="X10" s="13" t="s">
        <v>61</v>
      </c>
      <c r="Y10" s="16">
        <v>6478106.9100000001</v>
      </c>
      <c r="AA10" s="13" t="s">
        <v>46</v>
      </c>
      <c r="AB10">
        <f t="shared" si="2"/>
        <v>7198538.6299999999</v>
      </c>
      <c r="AE10" s="8" t="s">
        <v>135</v>
      </c>
      <c r="AF10" s="17">
        <v>3073083.18</v>
      </c>
      <c r="AH10" s="8" t="s">
        <v>147</v>
      </c>
      <c r="AI10" s="14">
        <v>11549224.299999995</v>
      </c>
    </row>
    <row r="11" spans="1:35" x14ac:dyDescent="0.3">
      <c r="L11" s="8" t="s">
        <v>36</v>
      </c>
      <c r="M11" s="17">
        <v>5130475.1000000006</v>
      </c>
      <c r="O11" t="str">
        <f t="shared" si="0"/>
        <v>Washing Machines</v>
      </c>
      <c r="P11">
        <f t="shared" si="1"/>
        <v>5130475.1000000006</v>
      </c>
      <c r="R11" t="s">
        <v>48</v>
      </c>
      <c r="S11">
        <v>2023</v>
      </c>
      <c r="X11" s="13" t="s">
        <v>46</v>
      </c>
      <c r="Y11" s="16">
        <v>7198538.6299999999</v>
      </c>
      <c r="AA11" s="13" t="s">
        <v>39</v>
      </c>
      <c r="AB11">
        <f t="shared" si="2"/>
        <v>8750173.4400000013</v>
      </c>
      <c r="AH11" s="8" t="s">
        <v>148</v>
      </c>
      <c r="AI11" s="14">
        <v>11285208.98</v>
      </c>
    </row>
    <row r="12" spans="1:35" x14ac:dyDescent="0.3">
      <c r="A12" s="12">
        <f>GETPIVOTDATA("Sales",$A$3)</f>
        <v>107515188.76000004</v>
      </c>
      <c r="L12" s="8" t="s">
        <v>40</v>
      </c>
      <c r="M12" s="17">
        <v>2498944.02</v>
      </c>
      <c r="O12" t="str">
        <f t="shared" si="0"/>
        <v>Computer Accessories</v>
      </c>
      <c r="P12">
        <f t="shared" si="1"/>
        <v>2498944.02</v>
      </c>
      <c r="R12" t="s">
        <v>52</v>
      </c>
      <c r="S12">
        <v>2023</v>
      </c>
      <c r="X12" s="13" t="s">
        <v>39</v>
      </c>
      <c r="Y12" s="16">
        <v>8750173.4400000013</v>
      </c>
      <c r="AA12" s="13" t="s">
        <v>66</v>
      </c>
      <c r="AB12">
        <f t="shared" si="2"/>
        <v>5968728.7199999988</v>
      </c>
      <c r="AH12" s="8" t="s">
        <v>149</v>
      </c>
      <c r="AI12" s="14">
        <v>7905557.3400000026</v>
      </c>
    </row>
    <row r="13" spans="1:35" x14ac:dyDescent="0.3">
      <c r="A13" s="12">
        <f>GETPIVOTDATA("Profit",$A$7)</f>
        <v>13114489.710000005</v>
      </c>
      <c r="L13" s="8" t="s">
        <v>90</v>
      </c>
      <c r="M13" s="17">
        <v>1274946.2899999998</v>
      </c>
      <c r="O13" t="str">
        <f t="shared" si="0"/>
        <v>Personal Care</v>
      </c>
      <c r="P13">
        <f t="shared" si="1"/>
        <v>1274946.2899999998</v>
      </c>
      <c r="R13" t="s">
        <v>55</v>
      </c>
      <c r="S13">
        <v>2023</v>
      </c>
      <c r="X13" s="13" t="s">
        <v>66</v>
      </c>
      <c r="Y13" s="16">
        <v>5968728.7199999988</v>
      </c>
      <c r="AA13" s="13" t="s">
        <v>69</v>
      </c>
      <c r="AB13">
        <f t="shared" si="2"/>
        <v>8671939.209999999</v>
      </c>
      <c r="AH13" s="8" t="s">
        <v>150</v>
      </c>
      <c r="AI13" s="14">
        <v>6668004.8300000001</v>
      </c>
    </row>
    <row r="14" spans="1:35" x14ac:dyDescent="0.3">
      <c r="L14" s="8" t="s">
        <v>50</v>
      </c>
      <c r="M14" s="17">
        <v>1139939.94</v>
      </c>
      <c r="O14" t="str">
        <f t="shared" si="0"/>
        <v>Kitchen Appliances</v>
      </c>
      <c r="P14">
        <f t="shared" si="1"/>
        <v>1139939.94</v>
      </c>
      <c r="R14" t="s">
        <v>60</v>
      </c>
      <c r="S14">
        <v>2023</v>
      </c>
      <c r="X14" s="13" t="s">
        <v>69</v>
      </c>
      <c r="Y14" s="16">
        <v>8671939.209999999</v>
      </c>
      <c r="AA14" s="13" t="s">
        <v>58</v>
      </c>
      <c r="AB14">
        <f t="shared" si="2"/>
        <v>7952518.2900000019</v>
      </c>
      <c r="AH14" s="8" t="s">
        <v>151</v>
      </c>
      <c r="AI14" s="14">
        <v>6688437.1800000025</v>
      </c>
    </row>
    <row r="15" spans="1:35" x14ac:dyDescent="0.3">
      <c r="L15" s="8" t="s">
        <v>14</v>
      </c>
      <c r="M15" s="17">
        <v>622747.66999999946</v>
      </c>
      <c r="O15" t="str">
        <f t="shared" si="0"/>
        <v>Mobile Accessories</v>
      </c>
      <c r="P15">
        <f t="shared" si="1"/>
        <v>622747.66999999946</v>
      </c>
      <c r="R15" t="s">
        <v>65</v>
      </c>
      <c r="S15">
        <v>2023</v>
      </c>
      <c r="X15" s="13" t="s">
        <v>58</v>
      </c>
      <c r="Y15" s="16">
        <v>7952518.2900000019</v>
      </c>
      <c r="AA15" s="13" t="s">
        <v>81</v>
      </c>
      <c r="AB15">
        <f t="shared" si="2"/>
        <v>5264999.9100000029</v>
      </c>
      <c r="AH15" s="8" t="s">
        <v>152</v>
      </c>
      <c r="AI15" s="14">
        <v>4943258.4399999995</v>
      </c>
    </row>
    <row r="16" spans="1:35" x14ac:dyDescent="0.3">
      <c r="L16" s="8" t="s">
        <v>135</v>
      </c>
      <c r="M16" s="17">
        <v>107515188.76000002</v>
      </c>
      <c r="R16" t="s">
        <v>67</v>
      </c>
      <c r="S16">
        <v>2023</v>
      </c>
      <c r="X16" s="13" t="s">
        <v>81</v>
      </c>
      <c r="Y16" s="16">
        <v>5264999.9100000029</v>
      </c>
      <c r="AA16" s="13" t="s">
        <v>12</v>
      </c>
      <c r="AB16">
        <f t="shared" si="2"/>
        <v>7793563.0899999989</v>
      </c>
      <c r="AH16" s="8" t="s">
        <v>153</v>
      </c>
      <c r="AI16" s="14">
        <v>7316997.4699999997</v>
      </c>
    </row>
    <row r="17" spans="18:35" x14ac:dyDescent="0.3">
      <c r="R17" t="s">
        <v>71</v>
      </c>
      <c r="S17">
        <v>2023</v>
      </c>
      <c r="X17" s="13" t="s">
        <v>12</v>
      </c>
      <c r="Y17" s="16">
        <v>7793563.0899999989</v>
      </c>
      <c r="AA17" s="13" t="s">
        <v>17</v>
      </c>
      <c r="AB17">
        <f t="shared" si="2"/>
        <v>8045484.6699999999</v>
      </c>
      <c r="AH17" s="8" t="s">
        <v>135</v>
      </c>
      <c r="AI17" s="17">
        <v>107515188.76000001</v>
      </c>
    </row>
    <row r="18" spans="18:35" x14ac:dyDescent="0.3">
      <c r="R18" t="s">
        <v>73</v>
      </c>
      <c r="S18">
        <v>2023</v>
      </c>
      <c r="X18" s="13" t="s">
        <v>17</v>
      </c>
      <c r="Y18" s="16">
        <v>8045484.6699999999</v>
      </c>
      <c r="AA18" s="13" t="s">
        <v>68</v>
      </c>
      <c r="AB18">
        <f t="shared" si="2"/>
        <v>6110358.1300000008</v>
      </c>
    </row>
    <row r="19" spans="18:35" x14ac:dyDescent="0.3">
      <c r="R19" t="s">
        <v>74</v>
      </c>
      <c r="S19">
        <v>2023</v>
      </c>
      <c r="X19" s="13" t="s">
        <v>68</v>
      </c>
      <c r="Y19" s="16">
        <v>6110358.1300000008</v>
      </c>
    </row>
    <row r="20" spans="18:35" x14ac:dyDescent="0.3">
      <c r="R20" t="s">
        <v>78</v>
      </c>
      <c r="S20">
        <v>2023</v>
      </c>
      <c r="X20" s="8" t="s">
        <v>135</v>
      </c>
      <c r="Y20" s="16">
        <v>107515188.76000001</v>
      </c>
    </row>
    <row r="21" spans="18:35" x14ac:dyDescent="0.3">
      <c r="R21" t="s">
        <v>80</v>
      </c>
      <c r="S21">
        <v>2023</v>
      </c>
    </row>
    <row r="22" spans="18:35" x14ac:dyDescent="0.3">
      <c r="R22" t="s">
        <v>83</v>
      </c>
      <c r="S22">
        <v>2023</v>
      </c>
    </row>
    <row r="23" spans="18:35" x14ac:dyDescent="0.3">
      <c r="R23" t="s">
        <v>86</v>
      </c>
      <c r="S23">
        <v>2023</v>
      </c>
    </row>
    <row r="24" spans="18:35" x14ac:dyDescent="0.3">
      <c r="R24" t="s">
        <v>92</v>
      </c>
      <c r="S24">
        <v>2023</v>
      </c>
    </row>
    <row r="25" spans="18:35" x14ac:dyDescent="0.3">
      <c r="R25" t="s">
        <v>93</v>
      </c>
      <c r="S25">
        <v>2023</v>
      </c>
    </row>
    <row r="26" spans="18:35" x14ac:dyDescent="0.3">
      <c r="R26" t="s">
        <v>95</v>
      </c>
      <c r="S26">
        <v>2023</v>
      </c>
    </row>
    <row r="27" spans="18:35" x14ac:dyDescent="0.3">
      <c r="R27" t="s">
        <v>101</v>
      </c>
      <c r="S27">
        <v>2023</v>
      </c>
    </row>
    <row r="28" spans="18:35" x14ac:dyDescent="0.3">
      <c r="R28" t="s">
        <v>103</v>
      </c>
      <c r="S28">
        <v>2023</v>
      </c>
    </row>
    <row r="29" spans="18:35" x14ac:dyDescent="0.3">
      <c r="R29" t="s">
        <v>109</v>
      </c>
      <c r="S29">
        <v>2023</v>
      </c>
    </row>
    <row r="30" spans="18:35" x14ac:dyDescent="0.3">
      <c r="R30" t="s">
        <v>113</v>
      </c>
      <c r="S30">
        <v>2023</v>
      </c>
    </row>
    <row r="31" spans="18:35" x14ac:dyDescent="0.3">
      <c r="R31" t="s">
        <v>116</v>
      </c>
      <c r="S31">
        <v>2023</v>
      </c>
    </row>
    <row r="32" spans="18:35" x14ac:dyDescent="0.3">
      <c r="R32" t="s">
        <v>45</v>
      </c>
      <c r="S32">
        <v>2024</v>
      </c>
    </row>
    <row r="33" spans="18:19" x14ac:dyDescent="0.3">
      <c r="R33" t="s">
        <v>32</v>
      </c>
      <c r="S33">
        <v>2024</v>
      </c>
    </row>
    <row r="34" spans="18:19" x14ac:dyDescent="0.3">
      <c r="R34" t="s">
        <v>86</v>
      </c>
      <c r="S34">
        <v>2024</v>
      </c>
    </row>
    <row r="35" spans="18:19" x14ac:dyDescent="0.3">
      <c r="R35" t="s">
        <v>116</v>
      </c>
      <c r="S35">
        <v>2024</v>
      </c>
    </row>
    <row r="36" spans="18:19" x14ac:dyDescent="0.3">
      <c r="R36" t="s">
        <v>109</v>
      </c>
      <c r="S36">
        <v>2024</v>
      </c>
    </row>
    <row r="37" spans="18:19" x14ac:dyDescent="0.3">
      <c r="R37" t="s">
        <v>78</v>
      </c>
      <c r="S37">
        <v>2024</v>
      </c>
    </row>
    <row r="38" spans="18:19" x14ac:dyDescent="0.3">
      <c r="R38" t="s">
        <v>38</v>
      </c>
      <c r="S38">
        <v>2024</v>
      </c>
    </row>
    <row r="39" spans="18:19" x14ac:dyDescent="0.3">
      <c r="R39" t="s">
        <v>93</v>
      </c>
      <c r="S39">
        <v>2024</v>
      </c>
    </row>
    <row r="40" spans="18:19" x14ac:dyDescent="0.3">
      <c r="R40" t="s">
        <v>29</v>
      </c>
      <c r="S40">
        <v>2024</v>
      </c>
    </row>
    <row r="41" spans="18:19" x14ac:dyDescent="0.3">
      <c r="R41" t="s">
        <v>60</v>
      </c>
      <c r="S41">
        <v>2024</v>
      </c>
    </row>
    <row r="42" spans="18:19" x14ac:dyDescent="0.3">
      <c r="R42" t="s">
        <v>92</v>
      </c>
      <c r="S42">
        <v>2024</v>
      </c>
    </row>
    <row r="43" spans="18:19" x14ac:dyDescent="0.3">
      <c r="R43" t="s">
        <v>16</v>
      </c>
      <c r="S43">
        <v>2024</v>
      </c>
    </row>
    <row r="44" spans="18:19" x14ac:dyDescent="0.3">
      <c r="R44" t="s">
        <v>48</v>
      </c>
      <c r="S44">
        <v>2024</v>
      </c>
    </row>
    <row r="45" spans="18:19" x14ac:dyDescent="0.3">
      <c r="R45" t="s">
        <v>103</v>
      </c>
      <c r="S45">
        <v>2024</v>
      </c>
    </row>
    <row r="46" spans="18:19" x14ac:dyDescent="0.3">
      <c r="R46" t="s">
        <v>113</v>
      </c>
      <c r="S46">
        <v>2024</v>
      </c>
    </row>
    <row r="47" spans="18:19" x14ac:dyDescent="0.3">
      <c r="R47" t="s">
        <v>71</v>
      </c>
      <c r="S47">
        <v>2024</v>
      </c>
    </row>
    <row r="48" spans="18:19" x14ac:dyDescent="0.3">
      <c r="R48" t="s">
        <v>73</v>
      </c>
      <c r="S48">
        <v>2024</v>
      </c>
    </row>
    <row r="49" spans="18:19" x14ac:dyDescent="0.3">
      <c r="R49" t="s">
        <v>83</v>
      </c>
      <c r="S49">
        <v>2024</v>
      </c>
    </row>
    <row r="50" spans="18:19" x14ac:dyDescent="0.3">
      <c r="R50" t="s">
        <v>74</v>
      </c>
      <c r="S50">
        <v>2024</v>
      </c>
    </row>
    <row r="51" spans="18:19" x14ac:dyDescent="0.3">
      <c r="R51" t="s">
        <v>101</v>
      </c>
      <c r="S51">
        <v>2024</v>
      </c>
    </row>
    <row r="52" spans="18:19" x14ac:dyDescent="0.3">
      <c r="R52" t="s">
        <v>65</v>
      </c>
      <c r="S52">
        <v>2024</v>
      </c>
    </row>
    <row r="53" spans="18:19" x14ac:dyDescent="0.3">
      <c r="R53" t="s">
        <v>21</v>
      </c>
      <c r="S53">
        <v>2024</v>
      </c>
    </row>
    <row r="54" spans="18:19" x14ac:dyDescent="0.3">
      <c r="R54" t="s">
        <v>80</v>
      </c>
      <c r="S54">
        <v>2024</v>
      </c>
    </row>
    <row r="55" spans="18:19" x14ac:dyDescent="0.3">
      <c r="R55" t="s">
        <v>67</v>
      </c>
      <c r="S55">
        <v>2024</v>
      </c>
    </row>
    <row r="56" spans="18:19" x14ac:dyDescent="0.3">
      <c r="R56" t="s">
        <v>55</v>
      </c>
      <c r="S56">
        <v>2024</v>
      </c>
    </row>
    <row r="57" spans="18:19" x14ac:dyDescent="0.3">
      <c r="R57" t="s">
        <v>95</v>
      </c>
      <c r="S57">
        <v>2024</v>
      </c>
    </row>
    <row r="58" spans="18:19" x14ac:dyDescent="0.3">
      <c r="R58" t="s">
        <v>11</v>
      </c>
      <c r="S58">
        <v>2024</v>
      </c>
    </row>
    <row r="59" spans="18:19" x14ac:dyDescent="0.3">
      <c r="R59" t="s">
        <v>52</v>
      </c>
      <c r="S59">
        <v>2024</v>
      </c>
    </row>
    <row r="60" spans="18:19" x14ac:dyDescent="0.3">
      <c r="R60" t="s">
        <v>34</v>
      </c>
      <c r="S60">
        <v>2024</v>
      </c>
    </row>
    <row r="61" spans="18:19" x14ac:dyDescent="0.3">
      <c r="R61" t="s">
        <v>25</v>
      </c>
      <c r="S61">
        <v>2024</v>
      </c>
    </row>
    <row r="62" spans="18:19" x14ac:dyDescent="0.3">
      <c r="R62" t="s">
        <v>103</v>
      </c>
      <c r="S62">
        <v>2025</v>
      </c>
    </row>
    <row r="63" spans="18:19" x14ac:dyDescent="0.3">
      <c r="R63" t="s">
        <v>67</v>
      </c>
      <c r="S63">
        <v>2025</v>
      </c>
    </row>
    <row r="64" spans="18:19" x14ac:dyDescent="0.3">
      <c r="R64" t="s">
        <v>32</v>
      </c>
      <c r="S64">
        <v>2025</v>
      </c>
    </row>
    <row r="65" spans="18:19" x14ac:dyDescent="0.3">
      <c r="R65" t="s">
        <v>25</v>
      </c>
      <c r="S65">
        <v>2025</v>
      </c>
    </row>
    <row r="66" spans="18:19" x14ac:dyDescent="0.3">
      <c r="R66" t="s">
        <v>80</v>
      </c>
      <c r="S66">
        <v>2025</v>
      </c>
    </row>
    <row r="67" spans="18:19" x14ac:dyDescent="0.3">
      <c r="R67" t="s">
        <v>95</v>
      </c>
      <c r="S67">
        <v>2025</v>
      </c>
    </row>
    <row r="68" spans="18:19" x14ac:dyDescent="0.3">
      <c r="R68" t="s">
        <v>92</v>
      </c>
      <c r="S68">
        <v>2025</v>
      </c>
    </row>
    <row r="69" spans="18:19" x14ac:dyDescent="0.3">
      <c r="R69" t="s">
        <v>74</v>
      </c>
      <c r="S69">
        <v>2025</v>
      </c>
    </row>
    <row r="70" spans="18:19" x14ac:dyDescent="0.3">
      <c r="R70" t="s">
        <v>48</v>
      </c>
      <c r="S70">
        <v>2025</v>
      </c>
    </row>
    <row r="71" spans="18:19" x14ac:dyDescent="0.3">
      <c r="R71" t="s">
        <v>93</v>
      </c>
      <c r="S71">
        <v>2025</v>
      </c>
    </row>
    <row r="72" spans="18:19" x14ac:dyDescent="0.3">
      <c r="R72" t="s">
        <v>86</v>
      </c>
      <c r="S72">
        <v>2025</v>
      </c>
    </row>
    <row r="73" spans="18:19" x14ac:dyDescent="0.3">
      <c r="R73" t="s">
        <v>21</v>
      </c>
      <c r="S73">
        <v>2025</v>
      </c>
    </row>
    <row r="74" spans="18:19" x14ac:dyDescent="0.3">
      <c r="R74" t="s">
        <v>83</v>
      </c>
      <c r="S74">
        <v>2025</v>
      </c>
    </row>
    <row r="75" spans="18:19" x14ac:dyDescent="0.3">
      <c r="R75" t="s">
        <v>16</v>
      </c>
      <c r="S75">
        <v>2025</v>
      </c>
    </row>
    <row r="76" spans="18:19" x14ac:dyDescent="0.3">
      <c r="R76" t="s">
        <v>71</v>
      </c>
      <c r="S76">
        <v>2025</v>
      </c>
    </row>
    <row r="77" spans="18:19" x14ac:dyDescent="0.3">
      <c r="R77" t="s">
        <v>73</v>
      </c>
      <c r="S77">
        <v>2025</v>
      </c>
    </row>
    <row r="78" spans="18:19" x14ac:dyDescent="0.3">
      <c r="R78" t="s">
        <v>29</v>
      </c>
      <c r="S78">
        <v>2025</v>
      </c>
    </row>
    <row r="79" spans="18:19" x14ac:dyDescent="0.3">
      <c r="R79" t="s">
        <v>101</v>
      </c>
      <c r="S79">
        <v>2025</v>
      </c>
    </row>
    <row r="80" spans="18:19" x14ac:dyDescent="0.3">
      <c r="R80" t="s">
        <v>38</v>
      </c>
      <c r="S80">
        <v>2025</v>
      </c>
    </row>
    <row r="81" spans="18:19" x14ac:dyDescent="0.3">
      <c r="R81" t="s">
        <v>45</v>
      </c>
      <c r="S81">
        <v>2025</v>
      </c>
    </row>
    <row r="82" spans="18:19" x14ac:dyDescent="0.3">
      <c r="R82" t="s">
        <v>78</v>
      </c>
      <c r="S82">
        <v>2025</v>
      </c>
    </row>
    <row r="83" spans="18:19" x14ac:dyDescent="0.3">
      <c r="R83" t="s">
        <v>60</v>
      </c>
      <c r="S83">
        <v>2025</v>
      </c>
    </row>
    <row r="84" spans="18:19" x14ac:dyDescent="0.3">
      <c r="R84" t="s">
        <v>55</v>
      </c>
      <c r="S84">
        <v>2025</v>
      </c>
    </row>
    <row r="85" spans="18:19" x14ac:dyDescent="0.3">
      <c r="R85" t="s">
        <v>11</v>
      </c>
      <c r="S85">
        <v>2025</v>
      </c>
    </row>
    <row r="86" spans="18:19" x14ac:dyDescent="0.3">
      <c r="R86" t="s">
        <v>109</v>
      </c>
      <c r="S86">
        <v>2025</v>
      </c>
    </row>
    <row r="87" spans="18:19" x14ac:dyDescent="0.3">
      <c r="R87" t="s">
        <v>113</v>
      </c>
      <c r="S87">
        <v>2025</v>
      </c>
    </row>
    <row r="88" spans="18:19" x14ac:dyDescent="0.3">
      <c r="R88" t="s">
        <v>34</v>
      </c>
      <c r="S88">
        <v>2025</v>
      </c>
    </row>
    <row r="89" spans="18:19" x14ac:dyDescent="0.3">
      <c r="R89" t="s">
        <v>65</v>
      </c>
      <c r="S89">
        <v>2025</v>
      </c>
    </row>
    <row r="90" spans="18:19" x14ac:dyDescent="0.3">
      <c r="R90" t="s">
        <v>116</v>
      </c>
      <c r="S90">
        <v>2025</v>
      </c>
    </row>
    <row r="91" spans="18:19" x14ac:dyDescent="0.3">
      <c r="R91" t="s">
        <v>52</v>
      </c>
      <c r="S91">
        <v>2025</v>
      </c>
    </row>
    <row r="92" spans="18:19" x14ac:dyDescent="0.3">
      <c r="R92" t="s">
        <v>52</v>
      </c>
      <c r="S92">
        <v>2026</v>
      </c>
    </row>
    <row r="93" spans="18:19" x14ac:dyDescent="0.3">
      <c r="R93" t="s">
        <v>38</v>
      </c>
      <c r="S93">
        <v>2026</v>
      </c>
    </row>
    <row r="94" spans="18:19" x14ac:dyDescent="0.3">
      <c r="R94" t="s">
        <v>45</v>
      </c>
      <c r="S94">
        <v>2026</v>
      </c>
    </row>
    <row r="95" spans="18:19" x14ac:dyDescent="0.3">
      <c r="R95" t="s">
        <v>73</v>
      </c>
      <c r="S95">
        <v>2026</v>
      </c>
    </row>
    <row r="96" spans="18:19" x14ac:dyDescent="0.3">
      <c r="R96" t="s">
        <v>71</v>
      </c>
      <c r="S96">
        <v>2026</v>
      </c>
    </row>
    <row r="97" spans="18:19" x14ac:dyDescent="0.3">
      <c r="R97" t="s">
        <v>67</v>
      </c>
      <c r="S97">
        <v>2026</v>
      </c>
    </row>
    <row r="98" spans="18:19" x14ac:dyDescent="0.3">
      <c r="R98" t="s">
        <v>32</v>
      </c>
      <c r="S98">
        <v>2026</v>
      </c>
    </row>
    <row r="99" spans="18:19" x14ac:dyDescent="0.3">
      <c r="R99" t="s">
        <v>21</v>
      </c>
      <c r="S99">
        <v>2026</v>
      </c>
    </row>
    <row r="100" spans="18:19" x14ac:dyDescent="0.3">
      <c r="R100" t="s">
        <v>78</v>
      </c>
      <c r="S100">
        <v>2026</v>
      </c>
    </row>
    <row r="101" spans="18:19" x14ac:dyDescent="0.3">
      <c r="R101" t="s">
        <v>74</v>
      </c>
      <c r="S101">
        <v>2026</v>
      </c>
    </row>
    <row r="102" spans="18:19" x14ac:dyDescent="0.3">
      <c r="R102" t="s">
        <v>113</v>
      </c>
      <c r="S102">
        <v>2026</v>
      </c>
    </row>
    <row r="103" spans="18:19" x14ac:dyDescent="0.3">
      <c r="R103" t="s">
        <v>48</v>
      </c>
      <c r="S103">
        <v>2026</v>
      </c>
    </row>
    <row r="104" spans="18:19" x14ac:dyDescent="0.3">
      <c r="R104" t="s">
        <v>103</v>
      </c>
      <c r="S104">
        <v>2026</v>
      </c>
    </row>
    <row r="105" spans="18:19" x14ac:dyDescent="0.3">
      <c r="R105" t="s">
        <v>86</v>
      </c>
      <c r="S105">
        <v>2026</v>
      </c>
    </row>
    <row r="106" spans="18:19" x14ac:dyDescent="0.3">
      <c r="R106" t="s">
        <v>60</v>
      </c>
      <c r="S106">
        <v>2026</v>
      </c>
    </row>
    <row r="107" spans="18:19" x14ac:dyDescent="0.3">
      <c r="R107" t="s">
        <v>16</v>
      </c>
      <c r="S107">
        <v>2026</v>
      </c>
    </row>
    <row r="108" spans="18:19" x14ac:dyDescent="0.3">
      <c r="R108" t="s">
        <v>109</v>
      </c>
      <c r="S108">
        <v>2026</v>
      </c>
    </row>
    <row r="109" spans="18:19" x14ac:dyDescent="0.3">
      <c r="R109" t="s">
        <v>55</v>
      </c>
      <c r="S109">
        <v>2026</v>
      </c>
    </row>
    <row r="110" spans="18:19" x14ac:dyDescent="0.3">
      <c r="R110" t="s">
        <v>95</v>
      </c>
      <c r="S110">
        <v>2026</v>
      </c>
    </row>
    <row r="111" spans="18:19" x14ac:dyDescent="0.3">
      <c r="R111" t="s">
        <v>11</v>
      </c>
      <c r="S111">
        <v>2026</v>
      </c>
    </row>
    <row r="112" spans="18:19" x14ac:dyDescent="0.3">
      <c r="R112" t="s">
        <v>65</v>
      </c>
      <c r="S112">
        <v>2026</v>
      </c>
    </row>
    <row r="113" spans="18:19" x14ac:dyDescent="0.3">
      <c r="R113" t="s">
        <v>80</v>
      </c>
      <c r="S113">
        <v>2026</v>
      </c>
    </row>
    <row r="114" spans="18:19" x14ac:dyDescent="0.3">
      <c r="R114" t="s">
        <v>25</v>
      </c>
      <c r="S114">
        <v>2026</v>
      </c>
    </row>
    <row r="115" spans="18:19" x14ac:dyDescent="0.3">
      <c r="R115" t="s">
        <v>92</v>
      </c>
      <c r="S115">
        <v>2026</v>
      </c>
    </row>
    <row r="116" spans="18:19" x14ac:dyDescent="0.3">
      <c r="R116" t="s">
        <v>34</v>
      </c>
      <c r="S116">
        <v>2026</v>
      </c>
    </row>
  </sheetData>
  <mergeCells count="6">
    <mergeCell ref="AH3:AI3"/>
    <mergeCell ref="B2:I2"/>
    <mergeCell ref="L2:M2"/>
    <mergeCell ref="U2:V2"/>
    <mergeCell ref="X2:Y2"/>
    <mergeCell ref="AE3:AF3"/>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9E362-E015-4D50-8710-CBEDC7F78AB2}">
  <sheetPr>
    <pageSetUpPr fitToPage="1"/>
  </sheetPr>
  <dimension ref="A1"/>
  <sheetViews>
    <sheetView showGridLines="0" showRowColHeaders="0" tabSelected="1" zoomScale="90" zoomScaleNormal="90" workbookViewId="0">
      <selection activeCell="AA27" sqref="AA27"/>
    </sheetView>
  </sheetViews>
  <sheetFormatPr defaultRowHeight="14.4" x14ac:dyDescent="0.3"/>
  <cols>
    <col min="28" max="28" width="10.77734375" customWidth="1"/>
  </cols>
  <sheetData/>
  <pageMargins left="0.25" right="0.25" top="0.75" bottom="0.75" header="0.3" footer="0.3"/>
  <pageSetup paperSize="9" scale="61"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4" x14ac:dyDescent="0.3"/>
  <cols>
    <col min="1" max="1" width="20" customWidth="1"/>
    <col min="2" max="2" width="90" customWidth="1"/>
  </cols>
  <sheetData>
    <row r="1" spans="1:2" ht="21" x14ac:dyDescent="0.4">
      <c r="A1" s="5" t="s">
        <v>122</v>
      </c>
    </row>
    <row r="3" spans="1:2" x14ac:dyDescent="0.3">
      <c r="A3" t="s">
        <v>123</v>
      </c>
      <c r="B3" t="s">
        <v>124</v>
      </c>
    </row>
    <row r="4" spans="1:2" x14ac:dyDescent="0.3">
      <c r="A4" t="s">
        <v>125</v>
      </c>
      <c r="B4">
        <v>2000</v>
      </c>
    </row>
    <row r="5" spans="1:2" x14ac:dyDescent="0.3">
      <c r="A5" t="s">
        <v>126</v>
      </c>
      <c r="B5" t="s">
        <v>127</v>
      </c>
    </row>
    <row r="6" spans="1:2" x14ac:dyDescent="0.3">
      <c r="A6" t="s">
        <v>128</v>
      </c>
      <c r="B6"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Table</vt:lpstr>
      <vt:lpstr>Dashboard</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Tejas Kadam</cp:lastModifiedBy>
  <dcterms:created xsi:type="dcterms:W3CDTF">2026-08-29T18:26:22Z</dcterms:created>
  <dcterms:modified xsi:type="dcterms:W3CDTF">2026-10-10T11:26:39Z</dcterms:modified>
</cp:coreProperties>
</file>